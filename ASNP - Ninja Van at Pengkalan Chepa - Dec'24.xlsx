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javan\Downloads\Ahmad Work\Dec'24\ASN Walk-in\"/>
    </mc:Choice>
  </mc:AlternateContent>
  <xr:revisionPtr revIDLastSave="0" documentId="8_{81A212A4-1F19-4D1E-9552-56E33E5D6C88}" xr6:coauthVersionLast="47" xr6:coauthVersionMax="47" xr10:uidLastSave="{00000000-0000-0000-0000-000000000000}"/>
  <bookViews>
    <workbookView xWindow="-110" yWindow="-110" windowWidth="38620" windowHeight="21220" xr2:uid="{F872D4D3-A0D9-48D1-A89C-F98B0C8B9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895" i="1" l="1"/>
  <c r="AH1895" i="1"/>
  <c r="AG1895" i="1"/>
  <c r="AF1895" i="1"/>
  <c r="AE1895" i="1"/>
  <c r="AD1895" i="1"/>
  <c r="AC1895" i="1"/>
  <c r="AB1895" i="1"/>
  <c r="AA1895" i="1"/>
  <c r="Z1895" i="1"/>
  <c r="Z1893" i="1"/>
  <c r="Z1892" i="1"/>
  <c r="Z1891" i="1"/>
  <c r="AF1890" i="1"/>
  <c r="AG1890" i="1" s="1"/>
  <c r="AI1890" i="1" s="1"/>
  <c r="Z1890" i="1"/>
  <c r="Z1889" i="1"/>
  <c r="Z1888" i="1"/>
  <c r="Z1887" i="1"/>
  <c r="AF1886" i="1"/>
  <c r="AG1886" i="1" s="1"/>
  <c r="AI1886" i="1" s="1"/>
  <c r="Z1886" i="1"/>
  <c r="Z1885" i="1"/>
  <c r="Z1884" i="1"/>
  <c r="Z1883" i="1"/>
  <c r="AF1882" i="1"/>
  <c r="AG1882" i="1" s="1"/>
  <c r="AI1882" i="1" s="1"/>
  <c r="Z1882" i="1"/>
  <c r="Z1881" i="1"/>
  <c r="Z1880" i="1"/>
  <c r="Z1879" i="1"/>
  <c r="AF1878" i="1"/>
  <c r="AG1878" i="1" s="1"/>
  <c r="AI1878" i="1" s="1"/>
  <c r="Z1878" i="1"/>
  <c r="Z1877" i="1"/>
  <c r="Z1876" i="1"/>
  <c r="Z1875" i="1"/>
  <c r="AF1874" i="1"/>
  <c r="AG1874" i="1" s="1"/>
  <c r="AI1874" i="1" s="1"/>
  <c r="Z1874" i="1"/>
  <c r="Z1873" i="1"/>
  <c r="Z1872" i="1"/>
  <c r="Z1871" i="1"/>
  <c r="AF1870" i="1"/>
  <c r="AG1870" i="1" s="1"/>
  <c r="AI1870" i="1" s="1"/>
  <c r="Z1870" i="1"/>
  <c r="Z1869" i="1"/>
  <c r="Z1868" i="1"/>
  <c r="Z1867" i="1"/>
  <c r="AF1866" i="1"/>
  <c r="AG1866" i="1" s="1"/>
  <c r="AI1866" i="1" s="1"/>
  <c r="Z1866" i="1"/>
  <c r="Z1865" i="1"/>
  <c r="Z1864" i="1"/>
  <c r="Z1863" i="1"/>
  <c r="AF1862" i="1"/>
  <c r="AG1862" i="1" s="1"/>
  <c r="AI1862" i="1" s="1"/>
  <c r="Z1862" i="1"/>
  <c r="Z1861" i="1"/>
  <c r="Z1860" i="1"/>
  <c r="Z1859" i="1"/>
  <c r="AF1858" i="1"/>
  <c r="AG1858" i="1" s="1"/>
  <c r="AI1858" i="1" s="1"/>
  <c r="Z1858" i="1"/>
  <c r="Z1857" i="1"/>
  <c r="Z1856" i="1"/>
  <c r="Z1855" i="1"/>
  <c r="AF1854" i="1"/>
  <c r="AG1854" i="1" s="1"/>
  <c r="AI1854" i="1" s="1"/>
  <c r="Z1854" i="1"/>
  <c r="Z1853" i="1"/>
  <c r="Z1852" i="1"/>
  <c r="Z1851" i="1"/>
  <c r="AF1850" i="1"/>
  <c r="AG1850" i="1" s="1"/>
  <c r="AI1850" i="1" s="1"/>
  <c r="Z1850" i="1"/>
  <c r="Z1849" i="1"/>
  <c r="Z1848" i="1"/>
  <c r="Z1847" i="1"/>
  <c r="AF1846" i="1"/>
  <c r="AG1846" i="1" s="1"/>
  <c r="AI1846" i="1" s="1"/>
  <c r="Z1846" i="1"/>
  <c r="Z1845" i="1"/>
  <c r="Z1844" i="1"/>
  <c r="Z1843" i="1"/>
  <c r="AF1842" i="1"/>
  <c r="AG1842" i="1" s="1"/>
  <c r="AI1842" i="1" s="1"/>
  <c r="Z1842" i="1"/>
  <c r="Z1841" i="1"/>
  <c r="Z1840" i="1"/>
  <c r="Z1839" i="1"/>
  <c r="AF1838" i="1"/>
  <c r="AG1838" i="1" s="1"/>
  <c r="AI1838" i="1" s="1"/>
  <c r="Z1838" i="1"/>
  <c r="Z1837" i="1"/>
  <c r="Z1836" i="1"/>
  <c r="Z1835" i="1"/>
  <c r="AF1834" i="1"/>
  <c r="AG1834" i="1" s="1"/>
  <c r="AI1834" i="1" s="1"/>
  <c r="Z1834" i="1"/>
  <c r="Z1833" i="1"/>
  <c r="Z1832" i="1"/>
  <c r="Z1831" i="1"/>
  <c r="AF1830" i="1"/>
  <c r="AG1830" i="1" s="1"/>
  <c r="AI1830" i="1" s="1"/>
  <c r="Z1830" i="1"/>
  <c r="Z1829" i="1"/>
  <c r="Z1828" i="1"/>
  <c r="Z1827" i="1"/>
  <c r="AF1826" i="1"/>
  <c r="AG1826" i="1" s="1"/>
  <c r="AI1826" i="1" s="1"/>
  <c r="Z1826" i="1"/>
  <c r="Z1825" i="1"/>
  <c r="Z1824" i="1"/>
  <c r="Z1823" i="1"/>
  <c r="AF1822" i="1"/>
  <c r="AG1822" i="1" s="1"/>
  <c r="AI1822" i="1" s="1"/>
  <c r="Z1822" i="1"/>
  <c r="Z1821" i="1"/>
  <c r="Z1820" i="1"/>
  <c r="Z1819" i="1"/>
  <c r="AF1818" i="1"/>
  <c r="AG1818" i="1" s="1"/>
  <c r="AI1818" i="1" s="1"/>
  <c r="Z1818" i="1"/>
  <c r="Z1817" i="1"/>
  <c r="Z1816" i="1"/>
  <c r="Z1815" i="1"/>
  <c r="AF1814" i="1"/>
  <c r="AG1814" i="1" s="1"/>
  <c r="AI1814" i="1" s="1"/>
  <c r="Z1814" i="1"/>
  <c r="Z1813" i="1"/>
  <c r="Z1812" i="1"/>
  <c r="Z1811" i="1"/>
  <c r="AF1810" i="1"/>
  <c r="AG1810" i="1" s="1"/>
  <c r="AI1810" i="1" s="1"/>
  <c r="Z1810" i="1"/>
  <c r="Z1809" i="1"/>
  <c r="Z1808" i="1"/>
  <c r="Z1807" i="1"/>
  <c r="AF1806" i="1"/>
  <c r="AG1806" i="1" s="1"/>
  <c r="AI1806" i="1" s="1"/>
  <c r="Z1806" i="1"/>
  <c r="Z1805" i="1"/>
  <c r="Z1804" i="1"/>
  <c r="Z1803" i="1"/>
  <c r="AF1802" i="1"/>
  <c r="AG1802" i="1" s="1"/>
  <c r="AI1802" i="1" s="1"/>
  <c r="Z1802" i="1"/>
  <c r="Z1801" i="1"/>
  <c r="Z1800" i="1"/>
  <c r="Z1799" i="1"/>
  <c r="AF1798" i="1"/>
  <c r="AG1798" i="1" s="1"/>
  <c r="AI1798" i="1" s="1"/>
  <c r="Z1798" i="1"/>
  <c r="Z1797" i="1"/>
  <c r="Z1796" i="1"/>
  <c r="Z1795" i="1"/>
  <c r="AF1794" i="1"/>
  <c r="AG1794" i="1" s="1"/>
  <c r="AI1794" i="1" s="1"/>
  <c r="Z1794" i="1"/>
  <c r="Z1793" i="1"/>
  <c r="Z1792" i="1"/>
  <c r="Z1791" i="1"/>
  <c r="AF1790" i="1"/>
  <c r="AG1790" i="1" s="1"/>
  <c r="AI1790" i="1" s="1"/>
  <c r="Z1790" i="1"/>
  <c r="Z1789" i="1"/>
  <c r="Z1788" i="1"/>
  <c r="Z1787" i="1"/>
  <c r="AF1786" i="1"/>
  <c r="AG1786" i="1" s="1"/>
  <c r="AI1786" i="1" s="1"/>
  <c r="Z1786" i="1"/>
  <c r="Z1785" i="1"/>
  <c r="Z1784" i="1"/>
  <c r="Z1783" i="1"/>
  <c r="AF1782" i="1"/>
  <c r="AG1782" i="1" s="1"/>
  <c r="AI1782" i="1" s="1"/>
  <c r="Z1782" i="1"/>
  <c r="Z1781" i="1"/>
  <c r="Z1780" i="1"/>
  <c r="Z1779" i="1"/>
  <c r="AF1778" i="1"/>
  <c r="AG1778" i="1" s="1"/>
  <c r="AI1778" i="1" s="1"/>
  <c r="Z1778" i="1"/>
  <c r="Z1777" i="1"/>
  <c r="Z1776" i="1"/>
  <c r="Z1775" i="1"/>
  <c r="AF1774" i="1"/>
  <c r="AG1774" i="1" s="1"/>
  <c r="AI1774" i="1" s="1"/>
  <c r="Z1774" i="1"/>
  <c r="Z1773" i="1"/>
  <c r="Z1772" i="1"/>
  <c r="Z1771" i="1"/>
  <c r="AF1770" i="1"/>
  <c r="AG1770" i="1" s="1"/>
  <c r="AI1770" i="1" s="1"/>
  <c r="Z1770" i="1"/>
  <c r="Z1769" i="1"/>
  <c r="Z1768" i="1"/>
  <c r="Z1767" i="1"/>
  <c r="AF1766" i="1"/>
  <c r="AG1766" i="1" s="1"/>
  <c r="AI1766" i="1" s="1"/>
  <c r="Z1766" i="1"/>
  <c r="Z1765" i="1"/>
  <c r="Z1764" i="1"/>
  <c r="Z1763" i="1"/>
  <c r="AF1762" i="1"/>
  <c r="AG1762" i="1" s="1"/>
  <c r="AI1762" i="1" s="1"/>
  <c r="Z1762" i="1"/>
  <c r="Z1761" i="1"/>
  <c r="Z1760" i="1"/>
  <c r="Z1759" i="1"/>
  <c r="AG1758" i="1"/>
  <c r="AI1758" i="1" s="1"/>
  <c r="AF1758" i="1"/>
  <c r="Z1758" i="1"/>
  <c r="Z1757" i="1"/>
  <c r="Z1756" i="1"/>
  <c r="Z1755" i="1"/>
  <c r="AG1754" i="1"/>
  <c r="AI1754" i="1" s="1"/>
  <c r="AF1754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AF1738" i="1"/>
  <c r="Z1738" i="1"/>
  <c r="AG1738" i="1" s="1"/>
  <c r="AI1738" i="1" s="1"/>
  <c r="Z1737" i="1"/>
  <c r="Z1736" i="1"/>
  <c r="Z1735" i="1"/>
  <c r="Z1734" i="1"/>
  <c r="Z1733" i="1"/>
  <c r="Z1732" i="1"/>
  <c r="Z1731" i="1"/>
  <c r="AF1730" i="1"/>
  <c r="AG1730" i="1" s="1"/>
  <c r="AI1730" i="1" s="1"/>
  <c r="Z1730" i="1"/>
  <c r="Z1729" i="1"/>
  <c r="Z1728" i="1"/>
  <c r="Z1727" i="1"/>
  <c r="Z1726" i="1"/>
  <c r="Z1725" i="1"/>
  <c r="Z1724" i="1"/>
  <c r="Z1723" i="1"/>
  <c r="AG1722" i="1"/>
  <c r="AI1722" i="1" s="1"/>
  <c r="AF1722" i="1"/>
  <c r="Z1722" i="1"/>
  <c r="Z1721" i="1"/>
  <c r="Z1720" i="1"/>
  <c r="Z1719" i="1"/>
  <c r="Z1718" i="1"/>
  <c r="Z1717" i="1"/>
  <c r="Z1716" i="1"/>
  <c r="Z1715" i="1"/>
  <c r="Z1714" i="1"/>
  <c r="AF1714" i="1" s="1"/>
  <c r="AG1714" i="1" s="1"/>
  <c r="AI1714" i="1" s="1"/>
  <c r="Z1713" i="1"/>
  <c r="Z1712" i="1"/>
  <c r="Z1711" i="1"/>
  <c r="Z1710" i="1"/>
  <c r="Z1709" i="1"/>
  <c r="Z1708" i="1"/>
  <c r="Z1707" i="1"/>
  <c r="AF1706" i="1"/>
  <c r="Z1706" i="1"/>
  <c r="AG1706" i="1" s="1"/>
  <c r="AI1706" i="1" s="1"/>
  <c r="Z1705" i="1"/>
  <c r="Z1704" i="1"/>
  <c r="Z1703" i="1"/>
  <c r="Z1702" i="1"/>
  <c r="Z1701" i="1"/>
  <c r="Z1700" i="1"/>
  <c r="Z1699" i="1"/>
  <c r="AF1698" i="1"/>
  <c r="AG1698" i="1" s="1"/>
  <c r="AI1698" i="1" s="1"/>
  <c r="Z1698" i="1"/>
  <c r="Z1697" i="1"/>
  <c r="Z1696" i="1"/>
  <c r="Z1695" i="1"/>
  <c r="Z1694" i="1"/>
  <c r="Z1693" i="1"/>
  <c r="Z1692" i="1"/>
  <c r="Z1691" i="1"/>
  <c r="AG1690" i="1"/>
  <c r="AI1690" i="1" s="1"/>
  <c r="AF1690" i="1"/>
  <c r="Z1690" i="1"/>
  <c r="Z1689" i="1"/>
  <c r="Z1688" i="1"/>
  <c r="Z1687" i="1"/>
  <c r="Z1686" i="1"/>
  <c r="Z1685" i="1"/>
  <c r="Z1684" i="1"/>
  <c r="Z1683" i="1"/>
  <c r="AG1682" i="1"/>
  <c r="AI1682" i="1" s="1"/>
  <c r="AF1682" i="1"/>
  <c r="Z1682" i="1"/>
  <c r="Z1681" i="1"/>
  <c r="Z1680" i="1"/>
  <c r="Z1679" i="1"/>
  <c r="Z1678" i="1"/>
  <c r="Z1677" i="1"/>
  <c r="Z1676" i="1"/>
  <c r="Z1675" i="1"/>
  <c r="AF1674" i="1"/>
  <c r="Z1674" i="1"/>
  <c r="AG1674" i="1" s="1"/>
  <c r="AI1674" i="1" s="1"/>
  <c r="Z1673" i="1"/>
  <c r="Z1672" i="1"/>
  <c r="Z1671" i="1"/>
  <c r="Z1670" i="1"/>
  <c r="Z1669" i="1"/>
  <c r="Z1668" i="1"/>
  <c r="Z1667" i="1"/>
  <c r="Z1666" i="1"/>
  <c r="AF1666" i="1" s="1"/>
  <c r="AG1666" i="1" s="1"/>
  <c r="AI1666" i="1" s="1"/>
  <c r="Z1665" i="1"/>
  <c r="Z1664" i="1"/>
  <c r="Z1663" i="1"/>
  <c r="Z1662" i="1"/>
  <c r="AF1662" i="1" s="1"/>
  <c r="AG1662" i="1" s="1"/>
  <c r="AI1662" i="1" s="1"/>
  <c r="Z1661" i="1"/>
  <c r="Z1660" i="1"/>
  <c r="AF1659" i="1"/>
  <c r="Z1659" i="1"/>
  <c r="AF1658" i="1"/>
  <c r="AG1658" i="1" s="1"/>
  <c r="AI1658" i="1" s="1"/>
  <c r="Z1658" i="1"/>
  <c r="Z1657" i="1"/>
  <c r="Z1656" i="1"/>
  <c r="AF1655" i="1"/>
  <c r="Z1655" i="1"/>
  <c r="Z1654" i="1"/>
  <c r="Z1653" i="1"/>
  <c r="AF1652" i="1"/>
  <c r="Z1652" i="1"/>
  <c r="Z1651" i="1"/>
  <c r="Z1650" i="1"/>
  <c r="Z1649" i="1"/>
  <c r="AF1648" i="1"/>
  <c r="Z1648" i="1"/>
  <c r="AF1647" i="1"/>
  <c r="Z1647" i="1"/>
  <c r="AF1646" i="1"/>
  <c r="AG1646" i="1" s="1"/>
  <c r="AI1646" i="1" s="1"/>
  <c r="Z1646" i="1"/>
  <c r="Z1645" i="1"/>
  <c r="AF1644" i="1"/>
  <c r="Z1644" i="1"/>
  <c r="Z1643" i="1"/>
  <c r="AG1642" i="1"/>
  <c r="AI1642" i="1" s="1"/>
  <c r="AF1642" i="1"/>
  <c r="Z1642" i="1"/>
  <c r="AF1641" i="1"/>
  <c r="Z1641" i="1"/>
  <c r="Z1640" i="1"/>
  <c r="AF1639" i="1"/>
  <c r="Z1639" i="1"/>
  <c r="AG1638" i="1"/>
  <c r="AI1638" i="1" s="1"/>
  <c r="AF1638" i="1"/>
  <c r="Z1638" i="1"/>
  <c r="Z1637" i="1"/>
  <c r="AF1636" i="1"/>
  <c r="Z1636" i="1"/>
  <c r="AF1635" i="1"/>
  <c r="AG1635" i="1" s="1"/>
  <c r="AI1635" i="1" s="1"/>
  <c r="Z1635" i="1"/>
  <c r="AG1634" i="1"/>
  <c r="AI1634" i="1" s="1"/>
  <c r="AF1634" i="1"/>
  <c r="Z1634" i="1"/>
  <c r="AF1633" i="1"/>
  <c r="Z1633" i="1"/>
  <c r="AG1633" i="1" s="1"/>
  <c r="AI1633" i="1" s="1"/>
  <c r="Z1632" i="1"/>
  <c r="Z1631" i="1"/>
  <c r="Z1630" i="1"/>
  <c r="Z1629" i="1"/>
  <c r="AF1629" i="1" s="1"/>
  <c r="AG1629" i="1" s="1"/>
  <c r="AI1629" i="1" s="1"/>
  <c r="AF1628" i="1"/>
  <c r="Z1628" i="1"/>
  <c r="AF1627" i="1"/>
  <c r="Z1627" i="1"/>
  <c r="AG1627" i="1" s="1"/>
  <c r="AI1627" i="1" s="1"/>
  <c r="AF1626" i="1"/>
  <c r="AG1626" i="1" s="1"/>
  <c r="AI1626" i="1" s="1"/>
  <c r="Z1626" i="1"/>
  <c r="AF1625" i="1"/>
  <c r="AG1625" i="1" s="1"/>
  <c r="AI1625" i="1" s="1"/>
  <c r="Z1625" i="1"/>
  <c r="Z1624" i="1"/>
  <c r="Z1623" i="1"/>
  <c r="Z1622" i="1"/>
  <c r="Z1621" i="1"/>
  <c r="Z1620" i="1"/>
  <c r="AF1620" i="1" s="1"/>
  <c r="AG1620" i="1" s="1"/>
  <c r="AI1620" i="1" s="1"/>
  <c r="Z1619" i="1"/>
  <c r="AF1619" i="1" s="1"/>
  <c r="AG1619" i="1" s="1"/>
  <c r="AI1619" i="1" s="1"/>
  <c r="AG1618" i="1"/>
  <c r="AI1618" i="1" s="1"/>
  <c r="AF1618" i="1"/>
  <c r="Z1618" i="1"/>
  <c r="AG1617" i="1"/>
  <c r="AI1617" i="1" s="1"/>
  <c r="AF1617" i="1"/>
  <c r="Z1617" i="1"/>
  <c r="AG1616" i="1"/>
  <c r="AI1616" i="1" s="1"/>
  <c r="AF1616" i="1"/>
  <c r="Z1616" i="1"/>
  <c r="AG1615" i="1"/>
  <c r="AI1615" i="1" s="1"/>
  <c r="AF1615" i="1"/>
  <c r="Z1615" i="1"/>
  <c r="AF1614" i="1"/>
  <c r="Z1614" i="1"/>
  <c r="AG1614" i="1" s="1"/>
  <c r="AI1614" i="1" s="1"/>
  <c r="AF1613" i="1"/>
  <c r="Z1613" i="1"/>
  <c r="AG1613" i="1" s="1"/>
  <c r="AI1613" i="1" s="1"/>
  <c r="AF1612" i="1"/>
  <c r="AG1612" i="1" s="1"/>
  <c r="AI1612" i="1" s="1"/>
  <c r="Z1612" i="1"/>
  <c r="AF1611" i="1"/>
  <c r="Z1611" i="1"/>
  <c r="AG1611" i="1" s="1"/>
  <c r="AI1611" i="1" s="1"/>
  <c r="Z1610" i="1"/>
  <c r="Z1609" i="1"/>
  <c r="Z1608" i="1"/>
  <c r="Z1607" i="1"/>
  <c r="Z1606" i="1"/>
  <c r="AG1605" i="1"/>
  <c r="AI1605" i="1" s="1"/>
  <c r="AF1605" i="1"/>
  <c r="Z1605" i="1"/>
  <c r="Z1604" i="1"/>
  <c r="Z1603" i="1"/>
  <c r="AF1603" i="1" s="1"/>
  <c r="AG1603" i="1" s="1"/>
  <c r="AI1603" i="1" s="1"/>
  <c r="Z1602" i="1"/>
  <c r="AF1602" i="1" s="1"/>
  <c r="AG1602" i="1" s="1"/>
  <c r="AI1602" i="1" s="1"/>
  <c r="AF1601" i="1"/>
  <c r="Z1601" i="1"/>
  <c r="AG1601" i="1" s="1"/>
  <c r="AI1601" i="1" s="1"/>
  <c r="AG1600" i="1"/>
  <c r="AI1600" i="1" s="1"/>
  <c r="AF1600" i="1"/>
  <c r="Z1600" i="1"/>
  <c r="AG1599" i="1"/>
  <c r="AI1599" i="1" s="1"/>
  <c r="AF1599" i="1"/>
  <c r="Z1599" i="1"/>
  <c r="AG1598" i="1"/>
  <c r="AI1598" i="1" s="1"/>
  <c r="AF1598" i="1"/>
  <c r="Z1598" i="1"/>
  <c r="Z1597" i="1"/>
  <c r="AF1596" i="1"/>
  <c r="Z1596" i="1"/>
  <c r="AG1596" i="1" s="1"/>
  <c r="AI1596" i="1" s="1"/>
  <c r="AF1595" i="1"/>
  <c r="Z1595" i="1"/>
  <c r="AG1595" i="1" s="1"/>
  <c r="AI1595" i="1" s="1"/>
  <c r="AF1594" i="1"/>
  <c r="Z1594" i="1"/>
  <c r="AG1594" i="1" s="1"/>
  <c r="AI1594" i="1" s="1"/>
  <c r="Z1593" i="1"/>
  <c r="Z1592" i="1"/>
  <c r="Z1591" i="1"/>
  <c r="Z1590" i="1"/>
  <c r="Z1589" i="1"/>
  <c r="AF1589" i="1" s="1"/>
  <c r="AG1589" i="1" s="1"/>
  <c r="AI1589" i="1" s="1"/>
  <c r="AG1588" i="1"/>
  <c r="AI1588" i="1" s="1"/>
  <c r="AF1588" i="1"/>
  <c r="Z1588" i="1"/>
  <c r="Z1587" i="1"/>
  <c r="AI1586" i="1"/>
  <c r="AG1586" i="1"/>
  <c r="AF1586" i="1"/>
  <c r="Z1586" i="1"/>
  <c r="AG1585" i="1"/>
  <c r="AI1585" i="1" s="1"/>
  <c r="AF1585" i="1"/>
  <c r="Z1585" i="1"/>
  <c r="AF1584" i="1"/>
  <c r="Z1584" i="1"/>
  <c r="AG1584" i="1" s="1"/>
  <c r="AI1584" i="1" s="1"/>
  <c r="AG1583" i="1"/>
  <c r="AI1583" i="1" s="1"/>
  <c r="AF1583" i="1"/>
  <c r="Z1583" i="1"/>
  <c r="AG1582" i="1"/>
  <c r="AI1582" i="1" s="1"/>
  <c r="AF1582" i="1"/>
  <c r="Z1582" i="1"/>
  <c r="AF1581" i="1"/>
  <c r="Z1581" i="1"/>
  <c r="AG1581" i="1" s="1"/>
  <c r="AI1581" i="1" s="1"/>
  <c r="Z1580" i="1"/>
  <c r="AF1579" i="1"/>
  <c r="Z1579" i="1"/>
  <c r="AG1579" i="1" s="1"/>
  <c r="AI1579" i="1" s="1"/>
  <c r="AF1578" i="1"/>
  <c r="Z1578" i="1"/>
  <c r="AG1578" i="1" s="1"/>
  <c r="AI1578" i="1" s="1"/>
  <c r="Z1577" i="1"/>
  <c r="AF1576" i="1"/>
  <c r="Z1576" i="1"/>
  <c r="AG1576" i="1" s="1"/>
  <c r="AI1576" i="1" s="1"/>
  <c r="Z1575" i="1"/>
  <c r="Z1574" i="1"/>
  <c r="AG1573" i="1"/>
  <c r="AI1573" i="1" s="1"/>
  <c r="AF1573" i="1"/>
  <c r="Z1573" i="1"/>
  <c r="Z1572" i="1"/>
  <c r="AF1572" i="1" s="1"/>
  <c r="AG1572" i="1" s="1"/>
  <c r="AI1572" i="1" s="1"/>
  <c r="AG1571" i="1"/>
  <c r="AI1571" i="1" s="1"/>
  <c r="AF1571" i="1"/>
  <c r="Z1571" i="1"/>
  <c r="Z1570" i="1"/>
  <c r="AG1569" i="1"/>
  <c r="AI1569" i="1" s="1"/>
  <c r="AF1569" i="1"/>
  <c r="Z1569" i="1"/>
  <c r="AG1568" i="1"/>
  <c r="AI1568" i="1" s="1"/>
  <c r="AF1568" i="1"/>
  <c r="Z1568" i="1"/>
  <c r="AF1567" i="1"/>
  <c r="Z1567" i="1"/>
  <c r="AG1567" i="1" s="1"/>
  <c r="AI1567" i="1" s="1"/>
  <c r="AG1566" i="1"/>
  <c r="AI1566" i="1" s="1"/>
  <c r="AF1566" i="1"/>
  <c r="Z1566" i="1"/>
  <c r="AF1565" i="1"/>
  <c r="Z1565" i="1"/>
  <c r="AG1565" i="1" s="1"/>
  <c r="AI1565" i="1" s="1"/>
  <c r="AF1564" i="1"/>
  <c r="Z1564" i="1"/>
  <c r="AG1564" i="1" s="1"/>
  <c r="AI1564" i="1" s="1"/>
  <c r="Z1563" i="1"/>
  <c r="AF1562" i="1"/>
  <c r="Z1562" i="1"/>
  <c r="AG1562" i="1" s="1"/>
  <c r="AI1562" i="1" s="1"/>
  <c r="Z1561" i="1"/>
  <c r="Z1560" i="1"/>
  <c r="Z1559" i="1"/>
  <c r="Z1558" i="1"/>
  <c r="Z1557" i="1"/>
  <c r="Z1556" i="1"/>
  <c r="AF1556" i="1" s="1"/>
  <c r="AG1556" i="1" s="1"/>
  <c r="AI1556" i="1" s="1"/>
  <c r="Z1555" i="1"/>
  <c r="AF1555" i="1" s="1"/>
  <c r="AG1555" i="1" s="1"/>
  <c r="AI1555" i="1" s="1"/>
  <c r="AG1554" i="1"/>
  <c r="AI1554" i="1" s="1"/>
  <c r="AF1554" i="1"/>
  <c r="Z1554" i="1"/>
  <c r="Z1553" i="1"/>
  <c r="Z1552" i="1"/>
  <c r="AF1552" i="1" s="1"/>
  <c r="AG1552" i="1" s="1"/>
  <c r="AI1552" i="1" s="1"/>
  <c r="Z1551" i="1"/>
  <c r="AF1551" i="1" s="1"/>
  <c r="AG1551" i="1" s="1"/>
  <c r="AI1551" i="1" s="1"/>
  <c r="AG1550" i="1"/>
  <c r="AI1550" i="1" s="1"/>
  <c r="AF1550" i="1"/>
  <c r="Z1550" i="1"/>
  <c r="Z1549" i="1"/>
  <c r="AI1548" i="1"/>
  <c r="Z1548" i="1"/>
  <c r="AF1548" i="1" s="1"/>
  <c r="AG1548" i="1" s="1"/>
  <c r="Z1547" i="1"/>
  <c r="AF1547" i="1" s="1"/>
  <c r="AG1547" i="1" s="1"/>
  <c r="AI1547" i="1" s="1"/>
  <c r="AG1546" i="1"/>
  <c r="AI1546" i="1" s="1"/>
  <c r="AF1546" i="1"/>
  <c r="Z1546" i="1"/>
  <c r="Z1545" i="1"/>
  <c r="Z1544" i="1"/>
  <c r="AF1544" i="1" s="1"/>
  <c r="AG1544" i="1" s="1"/>
  <c r="AI1544" i="1" s="1"/>
  <c r="Z1543" i="1"/>
  <c r="AF1543" i="1" s="1"/>
  <c r="AG1543" i="1" s="1"/>
  <c r="AI1543" i="1" s="1"/>
  <c r="AG1542" i="1"/>
  <c r="AI1542" i="1" s="1"/>
  <c r="AF1542" i="1"/>
  <c r="Z1542" i="1"/>
  <c r="Z1541" i="1"/>
  <c r="Z1540" i="1"/>
  <c r="AF1540" i="1" s="1"/>
  <c r="AG1540" i="1" s="1"/>
  <c r="AI1540" i="1" s="1"/>
  <c r="Z1539" i="1"/>
  <c r="AF1539" i="1" s="1"/>
  <c r="AG1539" i="1" s="1"/>
  <c r="AI1539" i="1" s="1"/>
  <c r="AG1538" i="1"/>
  <c r="AI1538" i="1" s="1"/>
  <c r="AF1538" i="1"/>
  <c r="Z1538" i="1"/>
  <c r="Z1537" i="1"/>
  <c r="AI1536" i="1"/>
  <c r="Z1536" i="1"/>
  <c r="AF1536" i="1" s="1"/>
  <c r="AG1536" i="1" s="1"/>
  <c r="Z1535" i="1"/>
  <c r="AF1535" i="1" s="1"/>
  <c r="AG1535" i="1" s="1"/>
  <c r="AI1535" i="1" s="1"/>
  <c r="AG1534" i="1"/>
  <c r="AI1534" i="1" s="1"/>
  <c r="AF1534" i="1"/>
  <c r="Z1534" i="1"/>
  <c r="Z1533" i="1"/>
  <c r="Z1532" i="1"/>
  <c r="AF1532" i="1" s="1"/>
  <c r="AG1532" i="1" s="1"/>
  <c r="AI1532" i="1" s="1"/>
  <c r="Z1531" i="1"/>
  <c r="AF1531" i="1" s="1"/>
  <c r="AG1531" i="1" s="1"/>
  <c r="AI1531" i="1" s="1"/>
  <c r="AG1530" i="1"/>
  <c r="AI1530" i="1" s="1"/>
  <c r="AF1530" i="1"/>
  <c r="Z1530" i="1"/>
  <c r="Z1529" i="1"/>
  <c r="Z1528" i="1"/>
  <c r="AF1528" i="1" s="1"/>
  <c r="AG1528" i="1" s="1"/>
  <c r="AI1528" i="1" s="1"/>
  <c r="Z1527" i="1"/>
  <c r="AF1527" i="1" s="1"/>
  <c r="AG1527" i="1" s="1"/>
  <c r="AI1527" i="1" s="1"/>
  <c r="AG1526" i="1"/>
  <c r="AI1526" i="1" s="1"/>
  <c r="AF1526" i="1"/>
  <c r="Z1526" i="1"/>
  <c r="Z1525" i="1"/>
  <c r="Z1524" i="1"/>
  <c r="AF1524" i="1" s="1"/>
  <c r="AG1524" i="1" s="1"/>
  <c r="AI1524" i="1" s="1"/>
  <c r="Z1523" i="1"/>
  <c r="AF1523" i="1" s="1"/>
  <c r="AG1523" i="1" s="1"/>
  <c r="AI1523" i="1" s="1"/>
  <c r="AG1522" i="1"/>
  <c r="AI1522" i="1" s="1"/>
  <c r="AF1522" i="1"/>
  <c r="Z1522" i="1"/>
  <c r="Z1521" i="1"/>
  <c r="Z1520" i="1"/>
  <c r="AF1520" i="1" s="1"/>
  <c r="AG1520" i="1" s="1"/>
  <c r="AI1520" i="1" s="1"/>
  <c r="Z1519" i="1"/>
  <c r="AF1519" i="1" s="1"/>
  <c r="AG1519" i="1" s="1"/>
  <c r="AI1519" i="1" s="1"/>
  <c r="AG1518" i="1"/>
  <c r="AI1518" i="1" s="1"/>
  <c r="AF1518" i="1"/>
  <c r="Z1518" i="1"/>
  <c r="Z1517" i="1"/>
  <c r="Z1516" i="1"/>
  <c r="AF1516" i="1" s="1"/>
  <c r="AG1516" i="1" s="1"/>
  <c r="AI1516" i="1" s="1"/>
  <c r="Z1515" i="1"/>
  <c r="AF1515" i="1" s="1"/>
  <c r="AG1515" i="1" s="1"/>
  <c r="AI1515" i="1" s="1"/>
  <c r="AG1514" i="1"/>
  <c r="AI1514" i="1" s="1"/>
  <c r="AF1514" i="1"/>
  <c r="Z1514" i="1"/>
  <c r="Z1513" i="1"/>
  <c r="AI1512" i="1"/>
  <c r="Z1512" i="1"/>
  <c r="AF1512" i="1" s="1"/>
  <c r="AG1512" i="1" s="1"/>
  <c r="Z1511" i="1"/>
  <c r="AF1511" i="1" s="1"/>
  <c r="AG1511" i="1" s="1"/>
  <c r="AI1511" i="1" s="1"/>
  <c r="AG1510" i="1"/>
  <c r="AI1510" i="1" s="1"/>
  <c r="AF1510" i="1"/>
  <c r="Z1510" i="1"/>
  <c r="Z1509" i="1"/>
  <c r="Z1508" i="1"/>
  <c r="AF1508" i="1" s="1"/>
  <c r="AG1508" i="1" s="1"/>
  <c r="AI1508" i="1" s="1"/>
  <c r="Z1507" i="1"/>
  <c r="AF1507" i="1" s="1"/>
  <c r="AG1507" i="1" s="1"/>
  <c r="AI1507" i="1" s="1"/>
  <c r="AG1506" i="1"/>
  <c r="AI1506" i="1" s="1"/>
  <c r="AF1506" i="1"/>
  <c r="Z1506" i="1"/>
  <c r="Z1505" i="1"/>
  <c r="Z1504" i="1"/>
  <c r="AF1504" i="1" s="1"/>
  <c r="AG1504" i="1" s="1"/>
  <c r="AI1504" i="1" s="1"/>
  <c r="Z1503" i="1"/>
  <c r="AF1503" i="1" s="1"/>
  <c r="AG1503" i="1" s="1"/>
  <c r="AI1503" i="1" s="1"/>
  <c r="AG1502" i="1"/>
  <c r="AI1502" i="1" s="1"/>
  <c r="AF1502" i="1"/>
  <c r="Z1502" i="1"/>
  <c r="Z1501" i="1"/>
  <c r="AI1500" i="1"/>
  <c r="AG1500" i="1"/>
  <c r="Z1500" i="1"/>
  <c r="AF1500" i="1" s="1"/>
  <c r="Z1499" i="1"/>
  <c r="AF1499" i="1" s="1"/>
  <c r="AG1499" i="1" s="1"/>
  <c r="AI1499" i="1" s="1"/>
  <c r="AG1498" i="1"/>
  <c r="AI1498" i="1" s="1"/>
  <c r="AF1498" i="1"/>
  <c r="Z1498" i="1"/>
  <c r="Z1497" i="1"/>
  <c r="AG1496" i="1"/>
  <c r="AI1496" i="1" s="1"/>
  <c r="Z1496" i="1"/>
  <c r="AF1496" i="1" s="1"/>
  <c r="AI1495" i="1"/>
  <c r="Z1495" i="1"/>
  <c r="AF1495" i="1" s="1"/>
  <c r="AG1495" i="1" s="1"/>
  <c r="AG1494" i="1"/>
  <c r="AI1494" i="1" s="1"/>
  <c r="AF1494" i="1"/>
  <c r="Z1494" i="1"/>
  <c r="Z1493" i="1"/>
  <c r="Z1492" i="1"/>
  <c r="AF1492" i="1" s="1"/>
  <c r="AG1492" i="1" s="1"/>
  <c r="AI1492" i="1" s="1"/>
  <c r="Z1491" i="1"/>
  <c r="AF1491" i="1" s="1"/>
  <c r="AG1491" i="1" s="1"/>
  <c r="AI1491" i="1" s="1"/>
  <c r="AG1490" i="1"/>
  <c r="AI1490" i="1" s="1"/>
  <c r="AF1490" i="1"/>
  <c r="Z1490" i="1"/>
  <c r="Z1489" i="1"/>
  <c r="AI1488" i="1"/>
  <c r="AG1488" i="1"/>
  <c r="Z1488" i="1"/>
  <c r="AF1488" i="1" s="1"/>
  <c r="Z1487" i="1"/>
  <c r="AF1487" i="1" s="1"/>
  <c r="AG1487" i="1" s="1"/>
  <c r="AI1487" i="1" s="1"/>
  <c r="AG1486" i="1"/>
  <c r="AI1486" i="1" s="1"/>
  <c r="AF1486" i="1"/>
  <c r="Z1486" i="1"/>
  <c r="Z1485" i="1"/>
  <c r="Z1484" i="1"/>
  <c r="AF1484" i="1" s="1"/>
  <c r="AG1484" i="1" s="1"/>
  <c r="AI1484" i="1" s="1"/>
  <c r="Z1483" i="1"/>
  <c r="AF1483" i="1" s="1"/>
  <c r="AG1483" i="1" s="1"/>
  <c r="AI1483" i="1" s="1"/>
  <c r="AG1482" i="1"/>
  <c r="AI1482" i="1" s="1"/>
  <c r="AF1482" i="1"/>
  <c r="Z1482" i="1"/>
  <c r="Z1481" i="1"/>
  <c r="AG1480" i="1"/>
  <c r="AI1480" i="1" s="1"/>
  <c r="Z1480" i="1"/>
  <c r="AF1480" i="1" s="1"/>
  <c r="Z1479" i="1"/>
  <c r="AG1478" i="1"/>
  <c r="AI1478" i="1" s="1"/>
  <c r="AF1478" i="1"/>
  <c r="Z1478" i="1"/>
  <c r="Z1477" i="1"/>
  <c r="Z1476" i="1"/>
  <c r="AF1476" i="1" s="1"/>
  <c r="AG1476" i="1" s="1"/>
  <c r="AI1476" i="1" s="1"/>
  <c r="Z1475" i="1"/>
  <c r="AG1474" i="1"/>
  <c r="AI1474" i="1" s="1"/>
  <c r="AF1474" i="1"/>
  <c r="Z1474" i="1"/>
  <c r="Z1473" i="1"/>
  <c r="Z1472" i="1"/>
  <c r="AF1472" i="1" s="1"/>
  <c r="AG1472" i="1" s="1"/>
  <c r="AI1472" i="1" s="1"/>
  <c r="Z1471" i="1"/>
  <c r="AG1470" i="1"/>
  <c r="AI1470" i="1" s="1"/>
  <c r="AF1470" i="1"/>
  <c r="Z1470" i="1"/>
  <c r="Z1469" i="1"/>
  <c r="Z1468" i="1"/>
  <c r="AF1468" i="1" s="1"/>
  <c r="AG1468" i="1" s="1"/>
  <c r="AI1468" i="1" s="1"/>
  <c r="Z1467" i="1"/>
  <c r="AG1466" i="1"/>
  <c r="AI1466" i="1" s="1"/>
  <c r="AF1466" i="1"/>
  <c r="Z1466" i="1"/>
  <c r="Z1465" i="1"/>
  <c r="Z1464" i="1"/>
  <c r="AF1464" i="1" s="1"/>
  <c r="AG1464" i="1" s="1"/>
  <c r="AI1464" i="1" s="1"/>
  <c r="Z1463" i="1"/>
  <c r="AG1462" i="1"/>
  <c r="AI1462" i="1" s="1"/>
  <c r="AF1462" i="1"/>
  <c r="Z1462" i="1"/>
  <c r="Z1461" i="1"/>
  <c r="Z1460" i="1"/>
  <c r="AF1460" i="1" s="1"/>
  <c r="AG1460" i="1" s="1"/>
  <c r="AI1460" i="1" s="1"/>
  <c r="Z1459" i="1"/>
  <c r="AF1458" i="1"/>
  <c r="AG1458" i="1" s="1"/>
  <c r="AI1458" i="1" s="1"/>
  <c r="Z1458" i="1"/>
  <c r="Z1457" i="1"/>
  <c r="AF1457" i="1" s="1"/>
  <c r="Z1456" i="1"/>
  <c r="AF1456" i="1" s="1"/>
  <c r="AG1456" i="1" s="1"/>
  <c r="AI1456" i="1" s="1"/>
  <c r="Z1455" i="1"/>
  <c r="AG1454" i="1"/>
  <c r="AI1454" i="1" s="1"/>
  <c r="AF1454" i="1"/>
  <c r="Z1454" i="1"/>
  <c r="Z1453" i="1"/>
  <c r="AF1453" i="1" s="1"/>
  <c r="AG1453" i="1" s="1"/>
  <c r="AI1453" i="1" s="1"/>
  <c r="Z1452" i="1"/>
  <c r="AF1452" i="1" s="1"/>
  <c r="AG1452" i="1" s="1"/>
  <c r="AI1452" i="1" s="1"/>
  <c r="AG1451" i="1"/>
  <c r="AI1451" i="1" s="1"/>
  <c r="Z1451" i="1"/>
  <c r="AF1451" i="1" s="1"/>
  <c r="AF1450" i="1"/>
  <c r="AG1450" i="1" s="1"/>
  <c r="AI1450" i="1" s="1"/>
  <c r="Z1450" i="1"/>
  <c r="AI1449" i="1"/>
  <c r="AG1449" i="1"/>
  <c r="Z1449" i="1"/>
  <c r="AF1449" i="1" s="1"/>
  <c r="Z1448" i="1"/>
  <c r="AF1448" i="1" s="1"/>
  <c r="AG1448" i="1" s="1"/>
  <c r="AI1448" i="1" s="1"/>
  <c r="Z1447" i="1"/>
  <c r="AF1447" i="1" s="1"/>
  <c r="AF1446" i="1"/>
  <c r="AG1446" i="1" s="1"/>
  <c r="AI1446" i="1" s="1"/>
  <c r="Z1446" i="1"/>
  <c r="Z1445" i="1"/>
  <c r="AF1445" i="1" s="1"/>
  <c r="AG1444" i="1"/>
  <c r="AI1444" i="1" s="1"/>
  <c r="Z1444" i="1"/>
  <c r="AF1444" i="1" s="1"/>
  <c r="Z1443" i="1"/>
  <c r="AF1443" i="1" s="1"/>
  <c r="AF1442" i="1"/>
  <c r="AG1442" i="1" s="1"/>
  <c r="AI1442" i="1" s="1"/>
  <c r="Z1442" i="1"/>
  <c r="Z1441" i="1"/>
  <c r="AI1440" i="1"/>
  <c r="AG1440" i="1"/>
  <c r="Z1440" i="1"/>
  <c r="AF1440" i="1" s="1"/>
  <c r="Z1439" i="1"/>
  <c r="AF1439" i="1" s="1"/>
  <c r="AG1438" i="1"/>
  <c r="AI1438" i="1" s="1"/>
  <c r="AF1438" i="1"/>
  <c r="Z1438" i="1"/>
  <c r="Z1437" i="1"/>
  <c r="Z1436" i="1"/>
  <c r="AI1435" i="1"/>
  <c r="AG1435" i="1"/>
  <c r="Z1435" i="1"/>
  <c r="AF1435" i="1" s="1"/>
  <c r="AF1434" i="1"/>
  <c r="AG1434" i="1" s="1"/>
  <c r="AI1434" i="1" s="1"/>
  <c r="Z1434" i="1"/>
  <c r="Z1433" i="1"/>
  <c r="Z1432" i="1"/>
  <c r="AF1432" i="1" s="1"/>
  <c r="Z1431" i="1"/>
  <c r="AG1430" i="1"/>
  <c r="AI1430" i="1" s="1"/>
  <c r="AF1430" i="1"/>
  <c r="Z1430" i="1"/>
  <c r="AF1429" i="1"/>
  <c r="AG1429" i="1" s="1"/>
  <c r="AI1429" i="1" s="1"/>
  <c r="Z1429" i="1"/>
  <c r="Z1428" i="1"/>
  <c r="AF1428" i="1" s="1"/>
  <c r="Z1427" i="1"/>
  <c r="AF1427" i="1" s="1"/>
  <c r="Z1426" i="1"/>
  <c r="Z1425" i="1"/>
  <c r="AF1425" i="1" s="1"/>
  <c r="AG1425" i="1" s="1"/>
  <c r="AI1425" i="1" s="1"/>
  <c r="AG1424" i="1"/>
  <c r="AI1424" i="1" s="1"/>
  <c r="Z1424" i="1"/>
  <c r="AF1424" i="1" s="1"/>
  <c r="Z1423" i="1"/>
  <c r="AF1423" i="1" s="1"/>
  <c r="Z1422" i="1"/>
  <c r="Z1421" i="1"/>
  <c r="Z1420" i="1"/>
  <c r="AF1420" i="1" s="1"/>
  <c r="Z1419" i="1"/>
  <c r="AF1419" i="1" s="1"/>
  <c r="AG1419" i="1" s="1"/>
  <c r="AI1419" i="1" s="1"/>
  <c r="Z1418" i="1"/>
  <c r="Z1417" i="1"/>
  <c r="Z1416" i="1"/>
  <c r="AF1416" i="1" s="1"/>
  <c r="Z1415" i="1"/>
  <c r="AF1415" i="1" s="1"/>
  <c r="Z1414" i="1"/>
  <c r="Z1413" i="1"/>
  <c r="Z1412" i="1"/>
  <c r="AF1412" i="1" s="1"/>
  <c r="Z1411" i="1"/>
  <c r="AF1411" i="1" s="1"/>
  <c r="Z1410" i="1"/>
  <c r="AF1410" i="1" s="1"/>
  <c r="AG1410" i="1" s="1"/>
  <c r="AI1410" i="1" s="1"/>
  <c r="AF1409" i="1"/>
  <c r="AG1409" i="1" s="1"/>
  <c r="AI1409" i="1" s="1"/>
  <c r="Z1409" i="1"/>
  <c r="Z1408" i="1"/>
  <c r="AF1408" i="1" s="1"/>
  <c r="Z1407" i="1"/>
  <c r="AF1407" i="1" s="1"/>
  <c r="AG1406" i="1"/>
  <c r="AI1406" i="1" s="1"/>
  <c r="AF1406" i="1"/>
  <c r="Z1406" i="1"/>
  <c r="Z1405" i="1"/>
  <c r="Z1404" i="1"/>
  <c r="Z1403" i="1"/>
  <c r="AF1403" i="1" s="1"/>
  <c r="AF1402" i="1"/>
  <c r="Z1402" i="1"/>
  <c r="Z1401" i="1"/>
  <c r="AI1400" i="1"/>
  <c r="AG1400" i="1"/>
  <c r="AF1400" i="1"/>
  <c r="Z1400" i="1"/>
  <c r="AG1399" i="1"/>
  <c r="AI1399" i="1" s="1"/>
  <c r="Z1399" i="1"/>
  <c r="AF1399" i="1" s="1"/>
  <c r="Z1398" i="1"/>
  <c r="AI1397" i="1"/>
  <c r="Z1397" i="1"/>
  <c r="AF1397" i="1" s="1"/>
  <c r="AG1397" i="1" s="1"/>
  <c r="AI1396" i="1"/>
  <c r="AG1396" i="1"/>
  <c r="AF1396" i="1"/>
  <c r="Z1396" i="1"/>
  <c r="Z1395" i="1"/>
  <c r="AF1395" i="1" s="1"/>
  <c r="Z1394" i="1"/>
  <c r="AI1393" i="1"/>
  <c r="AG1393" i="1"/>
  <c r="AF1393" i="1"/>
  <c r="Z1393" i="1"/>
  <c r="Z1392" i="1"/>
  <c r="Z1391" i="1"/>
  <c r="AF1391" i="1" s="1"/>
  <c r="Z1390" i="1"/>
  <c r="AG1389" i="1"/>
  <c r="AI1389" i="1" s="1"/>
  <c r="AF1389" i="1"/>
  <c r="Z1389" i="1"/>
  <c r="Z1388" i="1"/>
  <c r="AI1387" i="1"/>
  <c r="AG1387" i="1"/>
  <c r="Z1387" i="1"/>
  <c r="AF1387" i="1" s="1"/>
  <c r="Z1386" i="1"/>
  <c r="Z1385" i="1"/>
  <c r="Z1384" i="1"/>
  <c r="AI1383" i="1"/>
  <c r="AG1383" i="1"/>
  <c r="Z1383" i="1"/>
  <c r="AF1383" i="1" s="1"/>
  <c r="AF1382" i="1"/>
  <c r="Z1382" i="1"/>
  <c r="AG1382" i="1" s="1"/>
  <c r="AI1382" i="1" s="1"/>
  <c r="Z1381" i="1"/>
  <c r="AI1380" i="1"/>
  <c r="Z1380" i="1"/>
  <c r="AF1380" i="1" s="1"/>
  <c r="AG1380" i="1" s="1"/>
  <c r="Z1379" i="1"/>
  <c r="AF1379" i="1" s="1"/>
  <c r="Z1378" i="1"/>
  <c r="Z1377" i="1"/>
  <c r="AG1376" i="1"/>
  <c r="AI1376" i="1" s="1"/>
  <c r="AF1376" i="1"/>
  <c r="Z1376" i="1"/>
  <c r="Z1375" i="1"/>
  <c r="AF1375" i="1" s="1"/>
  <c r="Z1374" i="1"/>
  <c r="Z1373" i="1"/>
  <c r="AG1372" i="1"/>
  <c r="AI1372" i="1" s="1"/>
  <c r="AF1372" i="1"/>
  <c r="Z1372" i="1"/>
  <c r="Z1371" i="1"/>
  <c r="AF1371" i="1" s="1"/>
  <c r="Z1370" i="1"/>
  <c r="AF1370" i="1" s="1"/>
  <c r="AG1370" i="1" s="1"/>
  <c r="AI1370" i="1" s="1"/>
  <c r="Z1369" i="1"/>
  <c r="Z1368" i="1"/>
  <c r="Z1367" i="1"/>
  <c r="AF1367" i="1" s="1"/>
  <c r="AG1366" i="1"/>
  <c r="AI1366" i="1" s="1"/>
  <c r="AF1366" i="1"/>
  <c r="Z1366" i="1"/>
  <c r="AF1365" i="1"/>
  <c r="Z1365" i="1"/>
  <c r="AG1365" i="1" s="1"/>
  <c r="AI1365" i="1" s="1"/>
  <c r="Z1364" i="1"/>
  <c r="AI1363" i="1"/>
  <c r="AG1363" i="1"/>
  <c r="Z1363" i="1"/>
  <c r="AF1363" i="1" s="1"/>
  <c r="AF1362" i="1"/>
  <c r="AG1362" i="1" s="1"/>
  <c r="AI1362" i="1" s="1"/>
  <c r="Z1362" i="1"/>
  <c r="Z1361" i="1"/>
  <c r="Z1360" i="1"/>
  <c r="AG1359" i="1"/>
  <c r="AI1359" i="1" s="1"/>
  <c r="Z1359" i="1"/>
  <c r="AF1359" i="1" s="1"/>
  <c r="Z1358" i="1"/>
  <c r="Z1357" i="1"/>
  <c r="Z1356" i="1"/>
  <c r="Z1355" i="1"/>
  <c r="AF1355" i="1" s="1"/>
  <c r="AG1355" i="1" s="1"/>
  <c r="AI1355" i="1" s="1"/>
  <c r="Z1354" i="1"/>
  <c r="AI1353" i="1"/>
  <c r="AG1353" i="1"/>
  <c r="AF1353" i="1"/>
  <c r="Z1353" i="1"/>
  <c r="Z1352" i="1"/>
  <c r="AF1352" i="1" s="1"/>
  <c r="AG1352" i="1" s="1"/>
  <c r="AI1352" i="1" s="1"/>
  <c r="Z1351" i="1"/>
  <c r="AI1350" i="1"/>
  <c r="Z1350" i="1"/>
  <c r="AF1350" i="1" s="1"/>
  <c r="AG1350" i="1" s="1"/>
  <c r="AG1349" i="1"/>
  <c r="AI1349" i="1" s="1"/>
  <c r="AF1349" i="1"/>
  <c r="Z1349" i="1"/>
  <c r="AF1348" i="1"/>
  <c r="Z1348" i="1"/>
  <c r="AG1348" i="1" s="1"/>
  <c r="AI1348" i="1" s="1"/>
  <c r="Z1347" i="1"/>
  <c r="AF1347" i="1" s="1"/>
  <c r="AG1346" i="1"/>
  <c r="AI1346" i="1" s="1"/>
  <c r="AF1346" i="1"/>
  <c r="Z1346" i="1"/>
  <c r="AF1345" i="1"/>
  <c r="AG1345" i="1" s="1"/>
  <c r="AI1345" i="1" s="1"/>
  <c r="Z1345" i="1"/>
  <c r="Z1344" i="1"/>
  <c r="Z1343" i="1"/>
  <c r="AF1343" i="1" s="1"/>
  <c r="AG1342" i="1"/>
  <c r="AI1342" i="1" s="1"/>
  <c r="AF1342" i="1"/>
  <c r="Z1342" i="1"/>
  <c r="AF1341" i="1"/>
  <c r="Z1341" i="1"/>
  <c r="AG1341" i="1" s="1"/>
  <c r="AI1341" i="1" s="1"/>
  <c r="Z1340" i="1"/>
  <c r="Z1339" i="1"/>
  <c r="AF1339" i="1" s="1"/>
  <c r="Z1338" i="1"/>
  <c r="Z1337" i="1"/>
  <c r="AI1336" i="1"/>
  <c r="AG1336" i="1"/>
  <c r="AF1336" i="1"/>
  <c r="Z1336" i="1"/>
  <c r="AG1335" i="1"/>
  <c r="AI1335" i="1" s="1"/>
  <c r="Z1335" i="1"/>
  <c r="AF1335" i="1" s="1"/>
  <c r="Z1334" i="1"/>
  <c r="Z1333" i="1"/>
  <c r="AF1333" i="1" s="1"/>
  <c r="AG1333" i="1" s="1"/>
  <c r="AI1333" i="1" s="1"/>
  <c r="AI1332" i="1"/>
  <c r="AG1332" i="1"/>
  <c r="AF1332" i="1"/>
  <c r="Z1332" i="1"/>
  <c r="Z1331" i="1"/>
  <c r="AF1331" i="1" s="1"/>
  <c r="Z1330" i="1"/>
  <c r="AI1329" i="1"/>
  <c r="AG1329" i="1"/>
  <c r="AF1329" i="1"/>
  <c r="Z1329" i="1"/>
  <c r="AG1328" i="1"/>
  <c r="AI1328" i="1" s="1"/>
  <c r="AF1328" i="1"/>
  <c r="Z1328" i="1"/>
  <c r="Z1327" i="1"/>
  <c r="Z1326" i="1"/>
  <c r="AG1325" i="1"/>
  <c r="AI1325" i="1" s="1"/>
  <c r="AF1325" i="1"/>
  <c r="Z1325" i="1"/>
  <c r="AG1324" i="1"/>
  <c r="AI1324" i="1" s="1"/>
  <c r="AF1324" i="1"/>
  <c r="Z1324" i="1"/>
  <c r="Z1323" i="1"/>
  <c r="Z1322" i="1"/>
  <c r="AI1321" i="1"/>
  <c r="AG1321" i="1"/>
  <c r="AF1321" i="1"/>
  <c r="Z1321" i="1"/>
  <c r="AG1320" i="1"/>
  <c r="AI1320" i="1" s="1"/>
  <c r="AF1320" i="1"/>
  <c r="Z1320" i="1"/>
  <c r="Z1319" i="1"/>
  <c r="Z1318" i="1"/>
  <c r="AG1317" i="1"/>
  <c r="AI1317" i="1" s="1"/>
  <c r="AF1317" i="1"/>
  <c r="Z1317" i="1"/>
  <c r="AG1316" i="1"/>
  <c r="AI1316" i="1" s="1"/>
  <c r="AF1316" i="1"/>
  <c r="Z1316" i="1"/>
  <c r="Z1315" i="1"/>
  <c r="Z1314" i="1"/>
  <c r="AG1313" i="1"/>
  <c r="AI1313" i="1" s="1"/>
  <c r="AF1313" i="1"/>
  <c r="Z1313" i="1"/>
  <c r="AG1312" i="1"/>
  <c r="AI1312" i="1" s="1"/>
  <c r="AF1312" i="1"/>
  <c r="Z1312" i="1"/>
  <c r="Z1311" i="1"/>
  <c r="Z1310" i="1"/>
  <c r="AG1309" i="1"/>
  <c r="AI1309" i="1" s="1"/>
  <c r="AF1309" i="1"/>
  <c r="Z1309" i="1"/>
  <c r="AG1308" i="1"/>
  <c r="AI1308" i="1" s="1"/>
  <c r="AF1308" i="1"/>
  <c r="Z1308" i="1"/>
  <c r="Z1307" i="1"/>
  <c r="Z1306" i="1"/>
  <c r="AI1305" i="1"/>
  <c r="AG1305" i="1"/>
  <c r="AF1305" i="1"/>
  <c r="Z1305" i="1"/>
  <c r="Z1304" i="1"/>
  <c r="AF1304" i="1" s="1"/>
  <c r="AG1304" i="1" s="1"/>
  <c r="AI1304" i="1" s="1"/>
  <c r="Z1303" i="1"/>
  <c r="Z1302" i="1"/>
  <c r="AG1301" i="1"/>
  <c r="AI1301" i="1" s="1"/>
  <c r="AF1301" i="1"/>
  <c r="Z1301" i="1"/>
  <c r="Z1300" i="1"/>
  <c r="AF1300" i="1" s="1"/>
  <c r="AG1300" i="1" s="1"/>
  <c r="AI1300" i="1" s="1"/>
  <c r="Z1299" i="1"/>
  <c r="Z1298" i="1"/>
  <c r="AG1297" i="1"/>
  <c r="AI1297" i="1" s="1"/>
  <c r="AF1297" i="1"/>
  <c r="Z1297" i="1"/>
  <c r="Z1296" i="1"/>
  <c r="AF1296" i="1" s="1"/>
  <c r="AG1296" i="1" s="1"/>
  <c r="AI1296" i="1" s="1"/>
  <c r="Z1295" i="1"/>
  <c r="Z1294" i="1"/>
  <c r="AG1293" i="1"/>
  <c r="AI1293" i="1" s="1"/>
  <c r="AF1293" i="1"/>
  <c r="Z1293" i="1"/>
  <c r="AG1292" i="1"/>
  <c r="AI1292" i="1" s="1"/>
  <c r="Z1292" i="1"/>
  <c r="AF1292" i="1" s="1"/>
  <c r="Z1291" i="1"/>
  <c r="AF1290" i="1"/>
  <c r="Z1290" i="1"/>
  <c r="AG1289" i="1"/>
  <c r="AI1289" i="1" s="1"/>
  <c r="AF1289" i="1"/>
  <c r="Z1289" i="1"/>
  <c r="Z1288" i="1"/>
  <c r="AF1288" i="1" s="1"/>
  <c r="AG1288" i="1" s="1"/>
  <c r="AI1288" i="1" s="1"/>
  <c r="Z1287" i="1"/>
  <c r="Z1286" i="1"/>
  <c r="AF1285" i="1"/>
  <c r="AG1285" i="1" s="1"/>
  <c r="AI1285" i="1" s="1"/>
  <c r="Z1285" i="1"/>
  <c r="Z1284" i="1"/>
  <c r="AF1284" i="1" s="1"/>
  <c r="Z1283" i="1"/>
  <c r="Z1282" i="1"/>
  <c r="AI1281" i="1"/>
  <c r="AG1281" i="1"/>
  <c r="AF1281" i="1"/>
  <c r="Z1281" i="1"/>
  <c r="AG1280" i="1"/>
  <c r="AI1280" i="1" s="1"/>
  <c r="Z1280" i="1"/>
  <c r="AF1280" i="1" s="1"/>
  <c r="Z1279" i="1"/>
  <c r="Z1278" i="1"/>
  <c r="AI1277" i="1"/>
  <c r="AG1277" i="1"/>
  <c r="AF1277" i="1"/>
  <c r="Z1277" i="1"/>
  <c r="Z1276" i="1"/>
  <c r="Z1275" i="1"/>
  <c r="Z1274" i="1"/>
  <c r="AF1274" i="1" s="1"/>
  <c r="AG1274" i="1" s="1"/>
  <c r="AI1274" i="1" s="1"/>
  <c r="AF1273" i="1"/>
  <c r="AG1273" i="1" s="1"/>
  <c r="AI1273" i="1" s="1"/>
  <c r="Z1273" i="1"/>
  <c r="AF1272" i="1"/>
  <c r="AG1272" i="1" s="1"/>
  <c r="AI1272" i="1" s="1"/>
  <c r="Z1272" i="1"/>
  <c r="Z1271" i="1"/>
  <c r="Z1270" i="1"/>
  <c r="AI1269" i="1"/>
  <c r="AG1269" i="1"/>
  <c r="AF1269" i="1"/>
  <c r="Z1269" i="1"/>
  <c r="AF1268" i="1"/>
  <c r="Z1268" i="1"/>
  <c r="AG1268" i="1" s="1"/>
  <c r="AI1268" i="1" s="1"/>
  <c r="Z1267" i="1"/>
  <c r="Z1266" i="1"/>
  <c r="AF1265" i="1"/>
  <c r="AG1265" i="1" s="1"/>
  <c r="AI1265" i="1" s="1"/>
  <c r="Z1265" i="1"/>
  <c r="AF1264" i="1"/>
  <c r="Z1264" i="1"/>
  <c r="Z1263" i="1"/>
  <c r="Z1262" i="1"/>
  <c r="AG1261" i="1"/>
  <c r="AI1261" i="1" s="1"/>
  <c r="AF1261" i="1"/>
  <c r="Z1261" i="1"/>
  <c r="AG1260" i="1"/>
  <c r="AI1260" i="1" s="1"/>
  <c r="AF1260" i="1"/>
  <c r="Z1260" i="1"/>
  <c r="Z1259" i="1"/>
  <c r="Z1258" i="1"/>
  <c r="AI1257" i="1"/>
  <c r="AG1257" i="1"/>
  <c r="AF1257" i="1"/>
  <c r="Z1257" i="1"/>
  <c r="Z1256" i="1"/>
  <c r="AF1256" i="1" s="1"/>
  <c r="AG1256" i="1" s="1"/>
  <c r="AI1256" i="1" s="1"/>
  <c r="Z1255" i="1"/>
  <c r="AF1254" i="1"/>
  <c r="AG1254" i="1" s="1"/>
  <c r="AI1254" i="1" s="1"/>
  <c r="Z1254" i="1"/>
  <c r="AG1253" i="1"/>
  <c r="AI1253" i="1" s="1"/>
  <c r="AF1253" i="1"/>
  <c r="Z1253" i="1"/>
  <c r="AF1252" i="1"/>
  <c r="AG1252" i="1" s="1"/>
  <c r="AI1252" i="1" s="1"/>
  <c r="Z1252" i="1"/>
  <c r="Z1251" i="1"/>
  <c r="AF1250" i="1"/>
  <c r="Z1250" i="1"/>
  <c r="AG1250" i="1" s="1"/>
  <c r="AI1250" i="1" s="1"/>
  <c r="AF1249" i="1"/>
  <c r="AG1249" i="1" s="1"/>
  <c r="AI1249" i="1" s="1"/>
  <c r="Z1249" i="1"/>
  <c r="Z1248" i="1"/>
  <c r="Z1247" i="1"/>
  <c r="AF1246" i="1"/>
  <c r="Z1246" i="1"/>
  <c r="AF1245" i="1"/>
  <c r="AG1245" i="1" s="1"/>
  <c r="AI1245" i="1" s="1"/>
  <c r="Z1245" i="1"/>
  <c r="AF1244" i="1"/>
  <c r="AG1244" i="1" s="1"/>
  <c r="AI1244" i="1" s="1"/>
  <c r="Z1244" i="1"/>
  <c r="Z1243" i="1"/>
  <c r="AG1242" i="1"/>
  <c r="AI1242" i="1" s="1"/>
  <c r="AF1242" i="1"/>
  <c r="Z1242" i="1"/>
  <c r="AF1241" i="1"/>
  <c r="AG1241" i="1" s="1"/>
  <c r="AI1241" i="1" s="1"/>
  <c r="Z1241" i="1"/>
  <c r="AG1240" i="1"/>
  <c r="AI1240" i="1" s="1"/>
  <c r="AF1240" i="1"/>
  <c r="Z1240" i="1"/>
  <c r="Z1239" i="1"/>
  <c r="Z1238" i="1"/>
  <c r="AF1238" i="1" s="1"/>
  <c r="AG1238" i="1" s="1"/>
  <c r="AI1238" i="1" s="1"/>
  <c r="AF1237" i="1"/>
  <c r="AG1237" i="1" s="1"/>
  <c r="AI1237" i="1" s="1"/>
  <c r="Z1237" i="1"/>
  <c r="AF1236" i="1"/>
  <c r="Z1236" i="1"/>
  <c r="AG1236" i="1" s="1"/>
  <c r="AI1236" i="1" s="1"/>
  <c r="Z1235" i="1"/>
  <c r="AF1234" i="1"/>
  <c r="AG1234" i="1" s="1"/>
  <c r="AI1234" i="1" s="1"/>
  <c r="Z1234" i="1"/>
  <c r="AF1233" i="1"/>
  <c r="AG1233" i="1" s="1"/>
  <c r="AI1233" i="1" s="1"/>
  <c r="Z1233" i="1"/>
  <c r="Z1232" i="1"/>
  <c r="AF1232" i="1" s="1"/>
  <c r="AG1232" i="1" s="1"/>
  <c r="AI1232" i="1" s="1"/>
  <c r="Z1231" i="1"/>
  <c r="Z1230" i="1"/>
  <c r="AF1229" i="1"/>
  <c r="AG1229" i="1" s="1"/>
  <c r="AI1229" i="1" s="1"/>
  <c r="Z1229" i="1"/>
  <c r="Z1228" i="1"/>
  <c r="AF1228" i="1" s="1"/>
  <c r="AG1228" i="1" s="1"/>
  <c r="AI1228" i="1" s="1"/>
  <c r="Z1227" i="1"/>
  <c r="AF1226" i="1"/>
  <c r="AG1226" i="1" s="1"/>
  <c r="AI1226" i="1" s="1"/>
  <c r="Z1226" i="1"/>
  <c r="AG1225" i="1"/>
  <c r="AI1225" i="1" s="1"/>
  <c r="AF1225" i="1"/>
  <c r="Z1225" i="1"/>
  <c r="Z1224" i="1"/>
  <c r="AF1224" i="1" s="1"/>
  <c r="AG1224" i="1" s="1"/>
  <c r="AI1224" i="1" s="1"/>
  <c r="Z1223" i="1"/>
  <c r="AG1222" i="1"/>
  <c r="AI1222" i="1" s="1"/>
  <c r="AF1222" i="1"/>
  <c r="Z1222" i="1"/>
  <c r="AG1221" i="1"/>
  <c r="AI1221" i="1" s="1"/>
  <c r="AF1221" i="1"/>
  <c r="Z1221" i="1"/>
  <c r="Z1220" i="1"/>
  <c r="Z1219" i="1"/>
  <c r="AF1218" i="1"/>
  <c r="Z1218" i="1"/>
  <c r="AG1218" i="1" s="1"/>
  <c r="AI1218" i="1" s="1"/>
  <c r="AF1217" i="1"/>
  <c r="AG1217" i="1" s="1"/>
  <c r="AI1217" i="1" s="1"/>
  <c r="Z1217" i="1"/>
  <c r="Z1216" i="1"/>
  <c r="Z1215" i="1"/>
  <c r="Z1214" i="1"/>
  <c r="AI1213" i="1"/>
  <c r="AG1213" i="1"/>
  <c r="AF1213" i="1"/>
  <c r="Z1213" i="1"/>
  <c r="Z1212" i="1"/>
  <c r="Z1211" i="1"/>
  <c r="Z1210" i="1"/>
  <c r="AI1209" i="1"/>
  <c r="AG1209" i="1"/>
  <c r="AF1209" i="1"/>
  <c r="Z1209" i="1"/>
  <c r="AG1208" i="1"/>
  <c r="AI1208" i="1" s="1"/>
  <c r="AF1208" i="1"/>
  <c r="Z1208" i="1"/>
  <c r="Z1207" i="1"/>
  <c r="Z1206" i="1"/>
  <c r="AF1205" i="1"/>
  <c r="AG1205" i="1" s="1"/>
  <c r="AI1205" i="1" s="1"/>
  <c r="Z1205" i="1"/>
  <c r="AG1204" i="1"/>
  <c r="AI1204" i="1" s="1"/>
  <c r="AF1204" i="1"/>
  <c r="Z1204" i="1"/>
  <c r="Z1203" i="1"/>
  <c r="Z1202" i="1"/>
  <c r="AF1201" i="1"/>
  <c r="AG1201" i="1" s="1"/>
  <c r="AI1201" i="1" s="1"/>
  <c r="Z1201" i="1"/>
  <c r="Z1200" i="1"/>
  <c r="AF1200" i="1" s="1"/>
  <c r="AG1200" i="1" s="1"/>
  <c r="AI1200" i="1" s="1"/>
  <c r="Z1199" i="1"/>
  <c r="Z1198" i="1"/>
  <c r="AI1197" i="1"/>
  <c r="AG1197" i="1"/>
  <c r="AF1197" i="1"/>
  <c r="Z1197" i="1"/>
  <c r="Z1196" i="1"/>
  <c r="Z1195" i="1"/>
  <c r="Z1194" i="1"/>
  <c r="AI1193" i="1"/>
  <c r="AG1193" i="1"/>
  <c r="AF1193" i="1"/>
  <c r="Z1193" i="1"/>
  <c r="AG1192" i="1"/>
  <c r="AI1192" i="1" s="1"/>
  <c r="AF1192" i="1"/>
  <c r="Z1192" i="1"/>
  <c r="Z1191" i="1"/>
  <c r="AF1190" i="1"/>
  <c r="Z1190" i="1"/>
  <c r="AF1189" i="1"/>
  <c r="AG1189" i="1" s="1"/>
  <c r="AI1189" i="1" s="1"/>
  <c r="Z1189" i="1"/>
  <c r="AG1188" i="1"/>
  <c r="AI1188" i="1" s="1"/>
  <c r="AF1188" i="1"/>
  <c r="Z1188" i="1"/>
  <c r="Z1187" i="1"/>
  <c r="Z1186" i="1"/>
  <c r="AF1185" i="1"/>
  <c r="AG1185" i="1" s="1"/>
  <c r="AI1185" i="1" s="1"/>
  <c r="Z1185" i="1"/>
  <c r="Z1184" i="1"/>
  <c r="AF1184" i="1" s="1"/>
  <c r="AG1184" i="1" s="1"/>
  <c r="AI1184" i="1" s="1"/>
  <c r="Z1183" i="1"/>
  <c r="Z1182" i="1"/>
  <c r="AI1181" i="1"/>
  <c r="AG1181" i="1"/>
  <c r="AF1181" i="1"/>
  <c r="Z1181" i="1"/>
  <c r="Z1180" i="1"/>
  <c r="Z1179" i="1"/>
  <c r="Z1178" i="1"/>
  <c r="AI1177" i="1"/>
  <c r="AG1177" i="1"/>
  <c r="AF1177" i="1"/>
  <c r="Z1177" i="1"/>
  <c r="AG1176" i="1"/>
  <c r="AI1176" i="1" s="1"/>
  <c r="AF1176" i="1"/>
  <c r="Z1176" i="1"/>
  <c r="Z1175" i="1"/>
  <c r="Z1174" i="1"/>
  <c r="AF1173" i="1"/>
  <c r="AG1173" i="1" s="1"/>
  <c r="AI1173" i="1" s="1"/>
  <c r="Z1173" i="1"/>
  <c r="AG1172" i="1"/>
  <c r="AI1172" i="1" s="1"/>
  <c r="AF1172" i="1"/>
  <c r="Z1172" i="1"/>
  <c r="Z1171" i="1"/>
  <c r="Z1170" i="1"/>
  <c r="AF1169" i="1"/>
  <c r="AG1169" i="1" s="1"/>
  <c r="AI1169" i="1" s="1"/>
  <c r="Z1169" i="1"/>
  <c r="Z1168" i="1"/>
  <c r="AF1168" i="1" s="1"/>
  <c r="AG1168" i="1" s="1"/>
  <c r="AI1168" i="1" s="1"/>
  <c r="Z1167" i="1"/>
  <c r="Z1166" i="1"/>
  <c r="AI1165" i="1"/>
  <c r="AG1165" i="1"/>
  <c r="AF1165" i="1"/>
  <c r="Z1165" i="1"/>
  <c r="Z1164" i="1"/>
  <c r="Z1163" i="1"/>
  <c r="Z1162" i="1"/>
  <c r="AF1161" i="1"/>
  <c r="AG1161" i="1" s="1"/>
  <c r="AI1161" i="1" s="1"/>
  <c r="Z1161" i="1"/>
  <c r="Z1160" i="1"/>
  <c r="Z1159" i="1"/>
  <c r="AG1158" i="1"/>
  <c r="AI1158" i="1" s="1"/>
  <c r="AF1158" i="1"/>
  <c r="Z1158" i="1"/>
  <c r="AF1157" i="1"/>
  <c r="AG1157" i="1" s="1"/>
  <c r="AI1157" i="1" s="1"/>
  <c r="Z1157" i="1"/>
  <c r="Z1156" i="1"/>
  <c r="Z1155" i="1"/>
  <c r="Z1154" i="1"/>
  <c r="AI1153" i="1"/>
  <c r="AG1153" i="1"/>
  <c r="AF1153" i="1"/>
  <c r="Z1153" i="1"/>
  <c r="AF1152" i="1"/>
  <c r="AG1152" i="1" s="1"/>
  <c r="AI1152" i="1" s="1"/>
  <c r="Z1152" i="1"/>
  <c r="Z1151" i="1"/>
  <c r="Z1150" i="1"/>
  <c r="AF1149" i="1"/>
  <c r="AG1149" i="1" s="1"/>
  <c r="AI1149" i="1" s="1"/>
  <c r="Z1149" i="1"/>
  <c r="Z1148" i="1"/>
  <c r="AF1148" i="1" s="1"/>
  <c r="AG1148" i="1" s="1"/>
  <c r="AI1148" i="1" s="1"/>
  <c r="Z1147" i="1"/>
  <c r="Z1146" i="1"/>
  <c r="AF1145" i="1"/>
  <c r="AG1145" i="1" s="1"/>
  <c r="AI1145" i="1" s="1"/>
  <c r="Z1145" i="1"/>
  <c r="AF1144" i="1"/>
  <c r="Z1144" i="1"/>
  <c r="Z1143" i="1"/>
  <c r="AF1142" i="1"/>
  <c r="AG1142" i="1" s="1"/>
  <c r="AI1142" i="1" s="1"/>
  <c r="Z1142" i="1"/>
  <c r="AF1141" i="1"/>
  <c r="AG1141" i="1" s="1"/>
  <c r="AI1141" i="1" s="1"/>
  <c r="Z1141" i="1"/>
  <c r="AF1140" i="1"/>
  <c r="Z1140" i="1"/>
  <c r="AG1140" i="1" s="1"/>
  <c r="AI1140" i="1" s="1"/>
  <c r="Z1139" i="1"/>
  <c r="Z1138" i="1"/>
  <c r="AF1138" i="1" s="1"/>
  <c r="AG1138" i="1" s="1"/>
  <c r="AI1138" i="1" s="1"/>
  <c r="AG1137" i="1"/>
  <c r="AI1137" i="1" s="1"/>
  <c r="AF1137" i="1"/>
  <c r="Z1137" i="1"/>
  <c r="AF1136" i="1"/>
  <c r="Z1136" i="1"/>
  <c r="AG1136" i="1" s="1"/>
  <c r="AI1136" i="1" s="1"/>
  <c r="Z1135" i="1"/>
  <c r="Z1134" i="1"/>
  <c r="Z1133" i="1"/>
  <c r="AG1132" i="1"/>
  <c r="AI1132" i="1" s="1"/>
  <c r="AF1132" i="1"/>
  <c r="Z1132" i="1"/>
  <c r="Z1131" i="1"/>
  <c r="AF1130" i="1"/>
  <c r="Z1130" i="1"/>
  <c r="AG1130" i="1" s="1"/>
  <c r="AI1130" i="1" s="1"/>
  <c r="AG1129" i="1"/>
  <c r="AI1129" i="1" s="1"/>
  <c r="AF1129" i="1"/>
  <c r="Z1129" i="1"/>
  <c r="Z1128" i="1"/>
  <c r="Z1127" i="1"/>
  <c r="AF1126" i="1"/>
  <c r="Z1126" i="1"/>
  <c r="AG1126" i="1" s="1"/>
  <c r="AI1126" i="1" s="1"/>
  <c r="Z1125" i="1"/>
  <c r="AG1124" i="1"/>
  <c r="AI1124" i="1" s="1"/>
  <c r="AF1124" i="1"/>
  <c r="Z1124" i="1"/>
  <c r="Z1123" i="1"/>
  <c r="AG1122" i="1"/>
  <c r="AI1122" i="1" s="1"/>
  <c r="AF1122" i="1"/>
  <c r="Z1122" i="1"/>
  <c r="AG1121" i="1"/>
  <c r="AI1121" i="1" s="1"/>
  <c r="AF1121" i="1"/>
  <c r="Z1121" i="1"/>
  <c r="Z1120" i="1"/>
  <c r="AF1120" i="1" s="1"/>
  <c r="AG1120" i="1" s="1"/>
  <c r="AI1120" i="1" s="1"/>
  <c r="Z1119" i="1"/>
  <c r="Z1118" i="1"/>
  <c r="Z1117" i="1"/>
  <c r="AG1116" i="1"/>
  <c r="AI1116" i="1" s="1"/>
  <c r="AF1116" i="1"/>
  <c r="Z1116" i="1"/>
  <c r="Z1115" i="1"/>
  <c r="AF1114" i="1"/>
  <c r="AG1114" i="1" s="1"/>
  <c r="AI1114" i="1" s="1"/>
  <c r="Z1114" i="1"/>
  <c r="Z1113" i="1"/>
  <c r="Z1112" i="1"/>
  <c r="Z1111" i="1"/>
  <c r="AF1110" i="1"/>
  <c r="Z1110" i="1"/>
  <c r="Z1109" i="1"/>
  <c r="AG1108" i="1"/>
  <c r="AI1108" i="1" s="1"/>
  <c r="AF1108" i="1"/>
  <c r="Z1108" i="1"/>
  <c r="AG1107" i="1"/>
  <c r="AI1107" i="1" s="1"/>
  <c r="AF1107" i="1"/>
  <c r="Z1107" i="1"/>
  <c r="Z1106" i="1"/>
  <c r="Z1105" i="1"/>
  <c r="AF1105" i="1" s="1"/>
  <c r="AG1105" i="1" s="1"/>
  <c r="AI1105" i="1" s="1"/>
  <c r="AF1104" i="1"/>
  <c r="AG1104" i="1" s="1"/>
  <c r="AI1104" i="1" s="1"/>
  <c r="Z1104" i="1"/>
  <c r="AF1103" i="1"/>
  <c r="Z1103" i="1"/>
  <c r="AG1103" i="1" s="1"/>
  <c r="AI1103" i="1" s="1"/>
  <c r="Z1102" i="1"/>
  <c r="AF1102" i="1" s="1"/>
  <c r="AG1102" i="1" s="1"/>
  <c r="AI1102" i="1" s="1"/>
  <c r="AI1101" i="1"/>
  <c r="AG1101" i="1"/>
  <c r="AF1101" i="1"/>
  <c r="Z1101" i="1"/>
  <c r="Z1100" i="1"/>
  <c r="Z1099" i="1"/>
  <c r="AF1098" i="1"/>
  <c r="Z1098" i="1"/>
  <c r="AG1098" i="1" s="1"/>
  <c r="AI1098" i="1" s="1"/>
  <c r="AG1097" i="1"/>
  <c r="AI1097" i="1" s="1"/>
  <c r="AF1097" i="1"/>
  <c r="Z1097" i="1"/>
  <c r="Z1096" i="1"/>
  <c r="Z1095" i="1"/>
  <c r="Z1094" i="1"/>
  <c r="AF1093" i="1"/>
  <c r="Z1093" i="1"/>
  <c r="Z1092" i="1"/>
  <c r="Z1091" i="1"/>
  <c r="Z1090" i="1"/>
  <c r="Z1089" i="1"/>
  <c r="AF1089" i="1" s="1"/>
  <c r="AG1089" i="1" s="1"/>
  <c r="AI1089" i="1" s="1"/>
  <c r="Z1088" i="1"/>
  <c r="Z1087" i="1"/>
  <c r="Z1086" i="1"/>
  <c r="Z1085" i="1"/>
  <c r="Z1084" i="1"/>
  <c r="Z1083" i="1"/>
  <c r="Z1082" i="1"/>
  <c r="Z1081" i="1"/>
  <c r="AF1081" i="1" s="1"/>
  <c r="AG1081" i="1" s="1"/>
  <c r="AI1081" i="1" s="1"/>
  <c r="Z1080" i="1"/>
  <c r="Z1079" i="1"/>
  <c r="Z1078" i="1"/>
  <c r="AG1077" i="1"/>
  <c r="AI1077" i="1" s="1"/>
  <c r="AF1077" i="1"/>
  <c r="Z1077" i="1"/>
  <c r="Z1076" i="1"/>
  <c r="Z1075" i="1"/>
  <c r="Z1074" i="1"/>
  <c r="Z1073" i="1"/>
  <c r="Z1072" i="1"/>
  <c r="Z1071" i="1"/>
  <c r="AG1070" i="1"/>
  <c r="AI1070" i="1" s="1"/>
  <c r="Z1070" i="1"/>
  <c r="AF1070" i="1" s="1"/>
  <c r="Z1069" i="1"/>
  <c r="Z1068" i="1"/>
  <c r="Z1067" i="1"/>
  <c r="AF1067" i="1" s="1"/>
  <c r="Z1066" i="1"/>
  <c r="AF1066" i="1" s="1"/>
  <c r="AG1065" i="1"/>
  <c r="AI1065" i="1" s="1"/>
  <c r="AF1065" i="1"/>
  <c r="Z1065" i="1"/>
  <c r="Z1064" i="1"/>
  <c r="AG1063" i="1"/>
  <c r="AI1063" i="1" s="1"/>
  <c r="Z1063" i="1"/>
  <c r="AF1063" i="1" s="1"/>
  <c r="AG1062" i="1"/>
  <c r="AI1062" i="1" s="1"/>
  <c r="Z1062" i="1"/>
  <c r="AF1062" i="1" s="1"/>
  <c r="Z1061" i="1"/>
  <c r="Z1060" i="1"/>
  <c r="AI1059" i="1"/>
  <c r="AG1059" i="1"/>
  <c r="Z1059" i="1"/>
  <c r="AF1059" i="1" s="1"/>
  <c r="Z1058" i="1"/>
  <c r="AF1058" i="1" s="1"/>
  <c r="AF1057" i="1"/>
  <c r="AG1057" i="1" s="1"/>
  <c r="AI1057" i="1" s="1"/>
  <c r="Z1057" i="1"/>
  <c r="Z1056" i="1"/>
  <c r="Z1055" i="1"/>
  <c r="AF1055" i="1" s="1"/>
  <c r="AI1054" i="1"/>
  <c r="AG1054" i="1"/>
  <c r="Z1054" i="1"/>
  <c r="AF1054" i="1" s="1"/>
  <c r="Z1053" i="1"/>
  <c r="Z1052" i="1"/>
  <c r="Z1051" i="1"/>
  <c r="AF1051" i="1" s="1"/>
  <c r="Z1050" i="1"/>
  <c r="AF1050" i="1" s="1"/>
  <c r="AF1049" i="1"/>
  <c r="AG1049" i="1" s="1"/>
  <c r="AI1049" i="1" s="1"/>
  <c r="Z1049" i="1"/>
  <c r="Z1048" i="1"/>
  <c r="AG1047" i="1"/>
  <c r="AI1047" i="1" s="1"/>
  <c r="Z1047" i="1"/>
  <c r="AF1047" i="1" s="1"/>
  <c r="AG1046" i="1"/>
  <c r="AI1046" i="1" s="1"/>
  <c r="Z1046" i="1"/>
  <c r="AF1046" i="1" s="1"/>
  <c r="Z1045" i="1"/>
  <c r="Z1044" i="1"/>
  <c r="AI1043" i="1"/>
  <c r="AG1043" i="1"/>
  <c r="Z1043" i="1"/>
  <c r="AF1043" i="1" s="1"/>
  <c r="Z1042" i="1"/>
  <c r="AF1042" i="1" s="1"/>
  <c r="AF1041" i="1"/>
  <c r="AG1041" i="1" s="1"/>
  <c r="AI1041" i="1" s="1"/>
  <c r="Z1041" i="1"/>
  <c r="Z1040" i="1"/>
  <c r="Z1039" i="1"/>
  <c r="AF1039" i="1" s="1"/>
  <c r="AI1038" i="1"/>
  <c r="AG1038" i="1"/>
  <c r="Z1038" i="1"/>
  <c r="AF1038" i="1" s="1"/>
  <c r="Z1037" i="1"/>
  <c r="Z1036" i="1"/>
  <c r="Z1035" i="1"/>
  <c r="AF1035" i="1" s="1"/>
  <c r="Z1034" i="1"/>
  <c r="AF1034" i="1" s="1"/>
  <c r="AG1033" i="1"/>
  <c r="AI1033" i="1" s="1"/>
  <c r="AF1033" i="1"/>
  <c r="Z1033" i="1"/>
  <c r="Z1032" i="1"/>
  <c r="AG1031" i="1"/>
  <c r="AI1031" i="1" s="1"/>
  <c r="Z1031" i="1"/>
  <c r="AF1031" i="1" s="1"/>
  <c r="AG1030" i="1"/>
  <c r="AI1030" i="1" s="1"/>
  <c r="Z1030" i="1"/>
  <c r="AF1030" i="1" s="1"/>
  <c r="Z1029" i="1"/>
  <c r="Z1028" i="1"/>
  <c r="AI1027" i="1"/>
  <c r="AG1027" i="1"/>
  <c r="Z1027" i="1"/>
  <c r="AF1027" i="1" s="1"/>
  <c r="Z1026" i="1"/>
  <c r="AF1026" i="1" s="1"/>
  <c r="AF1025" i="1"/>
  <c r="AG1025" i="1" s="1"/>
  <c r="AI1025" i="1" s="1"/>
  <c r="Z1025" i="1"/>
  <c r="Z1024" i="1"/>
  <c r="Z1023" i="1"/>
  <c r="AF1023" i="1" s="1"/>
  <c r="AG1022" i="1"/>
  <c r="AI1022" i="1" s="1"/>
  <c r="Z1022" i="1"/>
  <c r="AF1022" i="1" s="1"/>
  <c r="Z1021" i="1"/>
  <c r="Z1020" i="1"/>
  <c r="Z1019" i="1"/>
  <c r="AF1019" i="1" s="1"/>
  <c r="Z1018" i="1"/>
  <c r="AF1018" i="1" s="1"/>
  <c r="AG1017" i="1"/>
  <c r="AI1017" i="1" s="1"/>
  <c r="AF1017" i="1"/>
  <c r="Z1017" i="1"/>
  <c r="Z1016" i="1"/>
  <c r="AG1015" i="1"/>
  <c r="AI1015" i="1" s="1"/>
  <c r="Z1015" i="1"/>
  <c r="AF1015" i="1" s="1"/>
  <c r="AG1014" i="1"/>
  <c r="AI1014" i="1" s="1"/>
  <c r="Z1014" i="1"/>
  <c r="AF1014" i="1" s="1"/>
  <c r="Z1013" i="1"/>
  <c r="Z1012" i="1"/>
  <c r="AI1011" i="1"/>
  <c r="AG1011" i="1"/>
  <c r="Z1011" i="1"/>
  <c r="AF1011" i="1" s="1"/>
  <c r="Z1010" i="1"/>
  <c r="AF1010" i="1" s="1"/>
  <c r="AF1009" i="1"/>
  <c r="AG1009" i="1" s="1"/>
  <c r="AI1009" i="1" s="1"/>
  <c r="Z1009" i="1"/>
  <c r="Z1008" i="1"/>
  <c r="Z1007" i="1"/>
  <c r="AF1007" i="1" s="1"/>
  <c r="AG1006" i="1"/>
  <c r="AI1006" i="1" s="1"/>
  <c r="Z1006" i="1"/>
  <c r="AF1006" i="1" s="1"/>
  <c r="Z1005" i="1"/>
  <c r="Z1004" i="1"/>
  <c r="Z1003" i="1"/>
  <c r="AF1003" i="1" s="1"/>
  <c r="Z1002" i="1"/>
  <c r="AF1002" i="1" s="1"/>
  <c r="AG1001" i="1"/>
  <c r="AI1001" i="1" s="1"/>
  <c r="AF1001" i="1"/>
  <c r="Z1001" i="1"/>
  <c r="Z1000" i="1"/>
  <c r="AG999" i="1"/>
  <c r="AI999" i="1" s="1"/>
  <c r="AF999" i="1"/>
  <c r="Z999" i="1"/>
  <c r="Z998" i="1"/>
  <c r="AF998" i="1" s="1"/>
  <c r="Z997" i="1"/>
  <c r="Z996" i="1"/>
  <c r="Z995" i="1"/>
  <c r="AI994" i="1"/>
  <c r="AG994" i="1"/>
  <c r="Z994" i="1"/>
  <c r="AF994" i="1" s="1"/>
  <c r="AF993" i="1"/>
  <c r="Z993" i="1"/>
  <c r="AG993" i="1" s="1"/>
  <c r="AI993" i="1" s="1"/>
  <c r="Z992" i="1"/>
  <c r="AF991" i="1"/>
  <c r="AG991" i="1" s="1"/>
  <c r="AI991" i="1" s="1"/>
  <c r="Z991" i="1"/>
  <c r="Z990" i="1"/>
  <c r="AF990" i="1" s="1"/>
  <c r="Z989" i="1"/>
  <c r="AF989" i="1" s="1"/>
  <c r="AG989" i="1" s="1"/>
  <c r="AI989" i="1" s="1"/>
  <c r="Z988" i="1"/>
  <c r="Z987" i="1"/>
  <c r="AG986" i="1"/>
  <c r="AI986" i="1" s="1"/>
  <c r="Z986" i="1"/>
  <c r="AF986" i="1" s="1"/>
  <c r="Z985" i="1"/>
  <c r="Z984" i="1"/>
  <c r="AF983" i="1"/>
  <c r="Z983" i="1"/>
  <c r="AG983" i="1" s="1"/>
  <c r="AI983" i="1" s="1"/>
  <c r="Z982" i="1"/>
  <c r="AF982" i="1" s="1"/>
  <c r="AG981" i="1"/>
  <c r="AI981" i="1" s="1"/>
  <c r="AF981" i="1"/>
  <c r="Z981" i="1"/>
  <c r="Z980" i="1"/>
  <c r="Z979" i="1"/>
  <c r="AF979" i="1" s="1"/>
  <c r="AG979" i="1" s="1"/>
  <c r="AI979" i="1" s="1"/>
  <c r="AG978" i="1"/>
  <c r="AI978" i="1" s="1"/>
  <c r="Z978" i="1"/>
  <c r="AF978" i="1" s="1"/>
  <c r="Z977" i="1"/>
  <c r="Z976" i="1"/>
  <c r="Z975" i="1"/>
  <c r="Z974" i="1"/>
  <c r="AF974" i="1" s="1"/>
  <c r="AG973" i="1"/>
  <c r="AI973" i="1" s="1"/>
  <c r="AF973" i="1"/>
  <c r="Z973" i="1"/>
  <c r="Z972" i="1"/>
  <c r="AG971" i="1"/>
  <c r="AI971" i="1" s="1"/>
  <c r="AF971" i="1"/>
  <c r="Z971" i="1"/>
  <c r="Z970" i="1"/>
  <c r="AF970" i="1" s="1"/>
  <c r="AF969" i="1"/>
  <c r="AG969" i="1" s="1"/>
  <c r="AI969" i="1" s="1"/>
  <c r="Z969" i="1"/>
  <c r="Z968" i="1"/>
  <c r="Z967" i="1"/>
  <c r="AI966" i="1"/>
  <c r="AG966" i="1"/>
  <c r="Z966" i="1"/>
  <c r="AF966" i="1" s="1"/>
  <c r="AF965" i="1"/>
  <c r="AG965" i="1" s="1"/>
  <c r="AI965" i="1" s="1"/>
  <c r="Z965" i="1"/>
  <c r="Z964" i="1"/>
  <c r="Z963" i="1"/>
  <c r="AF963" i="1" s="1"/>
  <c r="AG963" i="1" s="1"/>
  <c r="AI963" i="1" s="1"/>
  <c r="Z962" i="1"/>
  <c r="AI961" i="1"/>
  <c r="AG961" i="1"/>
  <c r="AF961" i="1"/>
  <c r="Z961" i="1"/>
  <c r="Z960" i="1"/>
  <c r="AF959" i="1"/>
  <c r="AG959" i="1" s="1"/>
  <c r="AI959" i="1" s="1"/>
  <c r="Z959" i="1"/>
  <c r="Z958" i="1"/>
  <c r="AF958" i="1" s="1"/>
  <c r="Z957" i="1"/>
  <c r="Z956" i="1"/>
  <c r="AF955" i="1"/>
  <c r="Z955" i="1"/>
  <c r="AG955" i="1" s="1"/>
  <c r="AI955" i="1" s="1"/>
  <c r="AG954" i="1"/>
  <c r="AI954" i="1" s="1"/>
  <c r="Z954" i="1"/>
  <c r="AF954" i="1" s="1"/>
  <c r="Z953" i="1"/>
  <c r="Z952" i="1"/>
  <c r="AI951" i="1"/>
  <c r="AG951" i="1"/>
  <c r="AF951" i="1"/>
  <c r="Z951" i="1"/>
  <c r="Z950" i="1"/>
  <c r="AF950" i="1" s="1"/>
  <c r="AG950" i="1" s="1"/>
  <c r="AI950" i="1" s="1"/>
  <c r="Z949" i="1"/>
  <c r="Z948" i="1"/>
  <c r="Z947" i="1"/>
  <c r="AI946" i="1"/>
  <c r="AG946" i="1"/>
  <c r="Z946" i="1"/>
  <c r="AF946" i="1" s="1"/>
  <c r="AF945" i="1"/>
  <c r="AG945" i="1" s="1"/>
  <c r="AI945" i="1" s="1"/>
  <c r="Z945" i="1"/>
  <c r="Z944" i="1"/>
  <c r="Z943" i="1"/>
  <c r="Z942" i="1"/>
  <c r="AF942" i="1" s="1"/>
  <c r="Z941" i="1"/>
  <c r="Z940" i="1"/>
  <c r="Z939" i="1"/>
  <c r="Z938" i="1"/>
  <c r="AF938" i="1" s="1"/>
  <c r="AG937" i="1"/>
  <c r="AI937" i="1" s="1"/>
  <c r="AF937" i="1"/>
  <c r="Z937" i="1"/>
  <c r="Z936" i="1"/>
  <c r="AF935" i="1"/>
  <c r="AG935" i="1" s="1"/>
  <c r="AI935" i="1" s="1"/>
  <c r="Z935" i="1"/>
  <c r="Z934" i="1"/>
  <c r="AF934" i="1" s="1"/>
  <c r="AF933" i="1"/>
  <c r="Z933" i="1"/>
  <c r="AG933" i="1" s="1"/>
  <c r="AI933" i="1" s="1"/>
  <c r="Z932" i="1"/>
  <c r="Z931" i="1"/>
  <c r="AG930" i="1"/>
  <c r="AI930" i="1" s="1"/>
  <c r="Z930" i="1"/>
  <c r="AF930" i="1" s="1"/>
  <c r="AF929" i="1"/>
  <c r="Z929" i="1"/>
  <c r="AG929" i="1" s="1"/>
  <c r="AI929" i="1" s="1"/>
  <c r="Z928" i="1"/>
  <c r="AG927" i="1"/>
  <c r="AI927" i="1" s="1"/>
  <c r="AF927" i="1"/>
  <c r="Z927" i="1"/>
  <c r="Z926" i="1"/>
  <c r="AF926" i="1" s="1"/>
  <c r="AG925" i="1"/>
  <c r="AI925" i="1" s="1"/>
  <c r="AF925" i="1"/>
  <c r="Z925" i="1"/>
  <c r="Z924" i="1"/>
  <c r="AF923" i="1"/>
  <c r="Z923" i="1"/>
  <c r="AG923" i="1" s="1"/>
  <c r="AI923" i="1" s="1"/>
  <c r="AG922" i="1"/>
  <c r="AI922" i="1" s="1"/>
  <c r="Z922" i="1"/>
  <c r="AF922" i="1" s="1"/>
  <c r="Z921" i="1"/>
  <c r="Z920" i="1"/>
  <c r="AF919" i="1"/>
  <c r="Z919" i="1"/>
  <c r="AG919" i="1" s="1"/>
  <c r="AI919" i="1" s="1"/>
  <c r="Z918" i="1"/>
  <c r="AF918" i="1" s="1"/>
  <c r="AG917" i="1"/>
  <c r="AI917" i="1" s="1"/>
  <c r="AF917" i="1"/>
  <c r="Z917" i="1"/>
  <c r="AE916" i="1"/>
  <c r="Z916" i="1"/>
  <c r="AI915" i="1"/>
  <c r="AG915" i="1"/>
  <c r="AF915" i="1"/>
  <c r="Z915" i="1"/>
  <c r="Z914" i="1"/>
  <c r="Z913" i="1"/>
  <c r="AF912" i="1"/>
  <c r="Z912" i="1"/>
  <c r="Z911" i="1"/>
  <c r="AF910" i="1"/>
  <c r="Z910" i="1"/>
  <c r="Z909" i="1"/>
  <c r="Z908" i="1"/>
  <c r="AG907" i="1"/>
  <c r="AI907" i="1" s="1"/>
  <c r="Z907" i="1"/>
  <c r="AF907" i="1" s="1"/>
  <c r="Z906" i="1"/>
  <c r="Z905" i="1"/>
  <c r="Z904" i="1"/>
  <c r="AF903" i="1"/>
  <c r="Z903" i="1"/>
  <c r="Z902" i="1"/>
  <c r="AF901" i="1"/>
  <c r="AG901" i="1" s="1"/>
  <c r="AI901" i="1" s="1"/>
  <c r="Z901" i="1"/>
  <c r="AF900" i="1"/>
  <c r="Z900" i="1"/>
  <c r="Z899" i="1"/>
  <c r="Z898" i="1"/>
  <c r="Z897" i="1"/>
  <c r="AF896" i="1"/>
  <c r="Z896" i="1"/>
  <c r="AF895" i="1"/>
  <c r="Z895" i="1"/>
  <c r="AG895" i="1" s="1"/>
  <c r="AI895" i="1" s="1"/>
  <c r="Z894" i="1"/>
  <c r="Z893" i="1"/>
  <c r="AF893" i="1" s="1"/>
  <c r="AG893" i="1" s="1"/>
  <c r="AI893" i="1" s="1"/>
  <c r="Z892" i="1"/>
  <c r="AI891" i="1"/>
  <c r="AG891" i="1"/>
  <c r="AF891" i="1"/>
  <c r="Z891" i="1"/>
  <c r="Z890" i="1"/>
  <c r="Z889" i="1"/>
  <c r="Z888" i="1"/>
  <c r="AG887" i="1"/>
  <c r="AI887" i="1" s="1"/>
  <c r="AF887" i="1"/>
  <c r="Z887" i="1"/>
  <c r="AF886" i="1"/>
  <c r="Z886" i="1"/>
  <c r="AG886" i="1" s="1"/>
  <c r="AI886" i="1" s="1"/>
  <c r="AG885" i="1"/>
  <c r="AI885" i="1" s="1"/>
  <c r="AF885" i="1"/>
  <c r="Z885" i="1"/>
  <c r="AF884" i="1"/>
  <c r="Z884" i="1"/>
  <c r="Z883" i="1"/>
  <c r="AI882" i="1"/>
  <c r="AG882" i="1"/>
  <c r="AF882" i="1"/>
  <c r="Z882" i="1"/>
  <c r="Z881" i="1"/>
  <c r="AF880" i="1"/>
  <c r="Z880" i="1"/>
  <c r="Z879" i="1"/>
  <c r="AF879" i="1" s="1"/>
  <c r="AG879" i="1" s="1"/>
  <c r="AI879" i="1" s="1"/>
  <c r="AG878" i="1"/>
  <c r="AI878" i="1" s="1"/>
  <c r="AF878" i="1"/>
  <c r="Z878" i="1"/>
  <c r="AF877" i="1"/>
  <c r="Z877" i="1"/>
  <c r="AG877" i="1" s="1"/>
  <c r="AI877" i="1" s="1"/>
  <c r="Z876" i="1"/>
  <c r="Z875" i="1"/>
  <c r="Z874" i="1"/>
  <c r="AI873" i="1"/>
  <c r="AG873" i="1"/>
  <c r="AF873" i="1"/>
  <c r="Z873" i="1"/>
  <c r="AF872" i="1"/>
  <c r="Z872" i="1"/>
  <c r="Z871" i="1"/>
  <c r="AF871" i="1" s="1"/>
  <c r="AG871" i="1" s="1"/>
  <c r="AI871" i="1" s="1"/>
  <c r="AG870" i="1"/>
  <c r="AI870" i="1" s="1"/>
  <c r="Z870" i="1"/>
  <c r="AF870" i="1" s="1"/>
  <c r="AG869" i="1"/>
  <c r="AI869" i="1" s="1"/>
  <c r="AF869" i="1"/>
  <c r="Z869" i="1"/>
  <c r="AF868" i="1"/>
  <c r="Z868" i="1"/>
  <c r="Z867" i="1"/>
  <c r="Z866" i="1"/>
  <c r="Z865" i="1"/>
  <c r="AG864" i="1"/>
  <c r="AI864" i="1" s="1"/>
  <c r="AF864" i="1"/>
  <c r="Z864" i="1"/>
  <c r="Z863" i="1"/>
  <c r="AF863" i="1" s="1"/>
  <c r="AG863" i="1" s="1"/>
  <c r="AI863" i="1" s="1"/>
  <c r="Z862" i="1"/>
  <c r="Z861" i="1"/>
  <c r="AI860" i="1"/>
  <c r="AG860" i="1"/>
  <c r="AF860" i="1"/>
  <c r="Z860" i="1"/>
  <c r="AG859" i="1"/>
  <c r="AI859" i="1" s="1"/>
  <c r="Z859" i="1"/>
  <c r="AF859" i="1" s="1"/>
  <c r="Z858" i="1"/>
  <c r="Z857" i="1"/>
  <c r="AI856" i="1"/>
  <c r="AG856" i="1"/>
  <c r="AF856" i="1"/>
  <c r="Z856" i="1"/>
  <c r="AG855" i="1"/>
  <c r="AI855" i="1" s="1"/>
  <c r="Z855" i="1"/>
  <c r="AF855" i="1" s="1"/>
  <c r="AF854" i="1"/>
  <c r="AG854" i="1" s="1"/>
  <c r="AI854" i="1" s="1"/>
  <c r="Z854" i="1"/>
  <c r="Z853" i="1"/>
  <c r="AI852" i="1"/>
  <c r="AG852" i="1"/>
  <c r="AF852" i="1"/>
  <c r="Z852" i="1"/>
  <c r="Z851" i="1"/>
  <c r="AF851" i="1" s="1"/>
  <c r="AG851" i="1" s="1"/>
  <c r="AI851" i="1" s="1"/>
  <c r="AF850" i="1"/>
  <c r="AG850" i="1" s="1"/>
  <c r="AI850" i="1" s="1"/>
  <c r="Z850" i="1"/>
  <c r="Z849" i="1"/>
  <c r="AI848" i="1"/>
  <c r="AG848" i="1"/>
  <c r="AF848" i="1"/>
  <c r="Z848" i="1"/>
  <c r="Z847" i="1"/>
  <c r="AF847" i="1" s="1"/>
  <c r="Z846" i="1"/>
  <c r="Z845" i="1"/>
  <c r="AI844" i="1"/>
  <c r="AG844" i="1"/>
  <c r="AF844" i="1"/>
  <c r="Z844" i="1"/>
  <c r="AG843" i="1"/>
  <c r="AI843" i="1" s="1"/>
  <c r="Z843" i="1"/>
  <c r="AF843" i="1" s="1"/>
  <c r="Z842" i="1"/>
  <c r="Z841" i="1"/>
  <c r="AG840" i="1"/>
  <c r="AI840" i="1" s="1"/>
  <c r="AF840" i="1"/>
  <c r="Z840" i="1"/>
  <c r="AG839" i="1"/>
  <c r="AI839" i="1" s="1"/>
  <c r="Z839" i="1"/>
  <c r="AF839" i="1" s="1"/>
  <c r="AF838" i="1"/>
  <c r="AG838" i="1" s="1"/>
  <c r="AI838" i="1" s="1"/>
  <c r="Z838" i="1"/>
  <c r="Z837" i="1"/>
  <c r="AG836" i="1"/>
  <c r="AI836" i="1" s="1"/>
  <c r="AF836" i="1"/>
  <c r="Z836" i="1"/>
  <c r="Z835" i="1"/>
  <c r="AI834" i="1"/>
  <c r="AG834" i="1"/>
  <c r="AF834" i="1"/>
  <c r="Z834" i="1"/>
  <c r="Z833" i="1"/>
  <c r="AI832" i="1"/>
  <c r="AG832" i="1"/>
  <c r="AF832" i="1"/>
  <c r="Z832" i="1"/>
  <c r="Z831" i="1"/>
  <c r="Z830" i="1"/>
  <c r="Z829" i="1"/>
  <c r="AG828" i="1"/>
  <c r="AI828" i="1" s="1"/>
  <c r="AF828" i="1"/>
  <c r="Z828" i="1"/>
  <c r="AF827" i="1"/>
  <c r="Z827" i="1"/>
  <c r="AG827" i="1" s="1"/>
  <c r="AI827" i="1" s="1"/>
  <c r="AF826" i="1"/>
  <c r="Z826" i="1"/>
  <c r="AG826" i="1" s="1"/>
  <c r="AI826" i="1" s="1"/>
  <c r="Z825" i="1"/>
  <c r="AI824" i="1"/>
  <c r="AG824" i="1"/>
  <c r="AF824" i="1"/>
  <c r="Z824" i="1"/>
  <c r="AF823" i="1"/>
  <c r="AG823" i="1" s="1"/>
  <c r="AI823" i="1" s="1"/>
  <c r="Z823" i="1"/>
  <c r="Z822" i="1"/>
  <c r="Z821" i="1"/>
  <c r="AG820" i="1"/>
  <c r="AI820" i="1" s="1"/>
  <c r="AF820" i="1"/>
  <c r="Z820" i="1"/>
  <c r="AG819" i="1"/>
  <c r="AI819" i="1" s="1"/>
  <c r="AF819" i="1"/>
  <c r="Z819" i="1"/>
  <c r="AG818" i="1"/>
  <c r="AI818" i="1" s="1"/>
  <c r="AF818" i="1"/>
  <c r="Z818" i="1"/>
  <c r="Z817" i="1"/>
  <c r="AI816" i="1"/>
  <c r="AG816" i="1"/>
  <c r="AF816" i="1"/>
  <c r="Z816" i="1"/>
  <c r="Z815" i="1"/>
  <c r="Z814" i="1"/>
  <c r="Z813" i="1"/>
  <c r="AG812" i="1"/>
  <c r="AI812" i="1" s="1"/>
  <c r="AF812" i="1"/>
  <c r="Z812" i="1"/>
  <c r="AF811" i="1"/>
  <c r="Z811" i="1"/>
  <c r="AG811" i="1" s="1"/>
  <c r="AI811" i="1" s="1"/>
  <c r="Z810" i="1"/>
  <c r="Z809" i="1"/>
  <c r="AG808" i="1"/>
  <c r="AI808" i="1" s="1"/>
  <c r="AF808" i="1"/>
  <c r="Z808" i="1"/>
  <c r="Z807" i="1"/>
  <c r="Z806" i="1"/>
  <c r="AF806" i="1" s="1"/>
  <c r="AG806" i="1" s="1"/>
  <c r="AI806" i="1" s="1"/>
  <c r="Z805" i="1"/>
  <c r="AI804" i="1"/>
  <c r="AG804" i="1"/>
  <c r="AF804" i="1"/>
  <c r="Z804" i="1"/>
  <c r="AG803" i="1"/>
  <c r="AI803" i="1" s="1"/>
  <c r="AF803" i="1"/>
  <c r="Z803" i="1"/>
  <c r="AF802" i="1"/>
  <c r="Z802" i="1"/>
  <c r="AG802" i="1" s="1"/>
  <c r="AI802" i="1" s="1"/>
  <c r="Z801" i="1"/>
  <c r="AF800" i="1"/>
  <c r="AG800" i="1" s="1"/>
  <c r="AI800" i="1" s="1"/>
  <c r="Z800" i="1"/>
  <c r="Z799" i="1"/>
  <c r="Z798" i="1"/>
  <c r="AF798" i="1" s="1"/>
  <c r="AG798" i="1" s="1"/>
  <c r="AI798" i="1" s="1"/>
  <c r="Z797" i="1"/>
  <c r="AG796" i="1"/>
  <c r="AI796" i="1" s="1"/>
  <c r="AF796" i="1"/>
  <c r="Z796" i="1"/>
  <c r="Z795" i="1"/>
  <c r="Z794" i="1"/>
  <c r="Z793" i="1"/>
  <c r="AF792" i="1"/>
  <c r="AG792" i="1" s="1"/>
  <c r="AI792" i="1" s="1"/>
  <c r="Z792" i="1"/>
  <c r="Z791" i="1"/>
  <c r="AF791" i="1" s="1"/>
  <c r="AG791" i="1" s="1"/>
  <c r="AI791" i="1" s="1"/>
  <c r="AF790" i="1"/>
  <c r="AG790" i="1" s="1"/>
  <c r="AI790" i="1" s="1"/>
  <c r="Z790" i="1"/>
  <c r="Z789" i="1"/>
  <c r="AI788" i="1"/>
  <c r="AG788" i="1"/>
  <c r="AF788" i="1"/>
  <c r="Z788" i="1"/>
  <c r="AF787" i="1"/>
  <c r="Z787" i="1"/>
  <c r="AG787" i="1" s="1"/>
  <c r="AI787" i="1" s="1"/>
  <c r="Z786" i="1"/>
  <c r="Z785" i="1"/>
  <c r="AF784" i="1"/>
  <c r="AG784" i="1" s="1"/>
  <c r="AI784" i="1" s="1"/>
  <c r="Z784" i="1"/>
  <c r="Z783" i="1"/>
  <c r="AF783" i="1" s="1"/>
  <c r="AG783" i="1" s="1"/>
  <c r="AI783" i="1" s="1"/>
  <c r="Z782" i="1"/>
  <c r="Z781" i="1"/>
  <c r="AF780" i="1"/>
  <c r="AG780" i="1" s="1"/>
  <c r="AI780" i="1" s="1"/>
  <c r="Z780" i="1"/>
  <c r="Z779" i="1"/>
  <c r="AF778" i="1"/>
  <c r="Z778" i="1"/>
  <c r="AG778" i="1" s="1"/>
  <c r="AI778" i="1" s="1"/>
  <c r="Z777" i="1"/>
  <c r="AF776" i="1"/>
  <c r="AG776" i="1" s="1"/>
  <c r="AI776" i="1" s="1"/>
  <c r="Z776" i="1"/>
  <c r="AF775" i="1"/>
  <c r="AG775" i="1" s="1"/>
  <c r="AI775" i="1" s="1"/>
  <c r="Z775" i="1"/>
  <c r="AF774" i="1"/>
  <c r="AG774" i="1" s="1"/>
  <c r="AI774" i="1" s="1"/>
  <c r="Z774" i="1"/>
  <c r="Z773" i="1"/>
  <c r="AG772" i="1"/>
  <c r="AI772" i="1" s="1"/>
  <c r="AF772" i="1"/>
  <c r="Z772" i="1"/>
  <c r="Z771" i="1"/>
  <c r="AI770" i="1"/>
  <c r="AG770" i="1"/>
  <c r="Z770" i="1"/>
  <c r="AF770" i="1" s="1"/>
  <c r="Z769" i="1"/>
  <c r="AF768" i="1"/>
  <c r="AG768" i="1" s="1"/>
  <c r="AI768" i="1" s="1"/>
  <c r="Z768" i="1"/>
  <c r="Z767" i="1"/>
  <c r="Z766" i="1"/>
  <c r="Z765" i="1"/>
  <c r="AF764" i="1"/>
  <c r="AG764" i="1" s="1"/>
  <c r="AI764" i="1" s="1"/>
  <c r="Z764" i="1"/>
  <c r="AG763" i="1"/>
  <c r="AI763" i="1" s="1"/>
  <c r="AF763" i="1"/>
  <c r="Z763" i="1"/>
  <c r="AF762" i="1"/>
  <c r="Z762" i="1"/>
  <c r="AG762" i="1" s="1"/>
  <c r="AI762" i="1" s="1"/>
  <c r="Z761" i="1"/>
  <c r="AG760" i="1"/>
  <c r="AI760" i="1" s="1"/>
  <c r="AF760" i="1"/>
  <c r="Z760" i="1"/>
  <c r="AF759" i="1"/>
  <c r="AG759" i="1" s="1"/>
  <c r="AI759" i="1" s="1"/>
  <c r="Z759" i="1"/>
  <c r="Z758" i="1"/>
  <c r="Z757" i="1"/>
  <c r="AF756" i="1"/>
  <c r="AG756" i="1" s="1"/>
  <c r="AI756" i="1" s="1"/>
  <c r="Z756" i="1"/>
  <c r="Z755" i="1"/>
  <c r="AF755" i="1" s="1"/>
  <c r="AG755" i="1" s="1"/>
  <c r="AI755" i="1" s="1"/>
  <c r="AG754" i="1"/>
  <c r="AI754" i="1" s="1"/>
  <c r="AF754" i="1"/>
  <c r="Z754" i="1"/>
  <c r="Z753" i="1"/>
  <c r="AF752" i="1"/>
  <c r="Z752" i="1"/>
  <c r="AG752" i="1" s="1"/>
  <c r="AI752" i="1" s="1"/>
  <c r="Z751" i="1"/>
  <c r="Z750" i="1"/>
  <c r="Z749" i="1"/>
  <c r="Z748" i="1"/>
  <c r="AF747" i="1"/>
  <c r="Z747" i="1"/>
  <c r="AG747" i="1" s="1"/>
  <c r="AI747" i="1" s="1"/>
  <c r="Z746" i="1"/>
  <c r="Z745" i="1"/>
  <c r="AG744" i="1"/>
  <c r="AI744" i="1" s="1"/>
  <c r="AF744" i="1"/>
  <c r="Z744" i="1"/>
  <c r="Z743" i="1"/>
  <c r="AG742" i="1"/>
  <c r="AI742" i="1" s="1"/>
  <c r="AF742" i="1"/>
  <c r="Z742" i="1"/>
  <c r="Z741" i="1"/>
  <c r="Z740" i="1"/>
  <c r="AG739" i="1"/>
  <c r="AI739" i="1" s="1"/>
  <c r="AF739" i="1"/>
  <c r="Z739" i="1"/>
  <c r="AF738" i="1"/>
  <c r="Z738" i="1"/>
  <c r="AG738" i="1" s="1"/>
  <c r="AI738" i="1" s="1"/>
  <c r="Z737" i="1"/>
  <c r="AF736" i="1"/>
  <c r="Z736" i="1"/>
  <c r="Z735" i="1"/>
  <c r="AI734" i="1"/>
  <c r="AG734" i="1"/>
  <c r="AF734" i="1"/>
  <c r="Z734" i="1"/>
  <c r="Z733" i="1"/>
  <c r="AG732" i="1"/>
  <c r="AI732" i="1" s="1"/>
  <c r="AF732" i="1"/>
  <c r="Z732" i="1"/>
  <c r="Z731" i="1"/>
  <c r="Z730" i="1"/>
  <c r="Z729" i="1"/>
  <c r="AF728" i="1"/>
  <c r="Z728" i="1"/>
  <c r="AG728" i="1" s="1"/>
  <c r="AI728" i="1" s="1"/>
  <c r="AG727" i="1"/>
  <c r="AI727" i="1" s="1"/>
  <c r="AF727" i="1"/>
  <c r="Z727" i="1"/>
  <c r="AF726" i="1"/>
  <c r="AG726" i="1" s="1"/>
  <c r="AI726" i="1" s="1"/>
  <c r="Z726" i="1"/>
  <c r="Z725" i="1"/>
  <c r="AI724" i="1"/>
  <c r="AG724" i="1"/>
  <c r="AF724" i="1"/>
  <c r="Z724" i="1"/>
  <c r="AF723" i="1"/>
  <c r="Z723" i="1"/>
  <c r="AG723" i="1" s="1"/>
  <c r="AI723" i="1" s="1"/>
  <c r="Z722" i="1"/>
  <c r="AF722" i="1" s="1"/>
  <c r="AG722" i="1" s="1"/>
  <c r="AI722" i="1" s="1"/>
  <c r="Z721" i="1"/>
  <c r="Z720" i="1"/>
  <c r="AG719" i="1"/>
  <c r="AI719" i="1" s="1"/>
  <c r="AF719" i="1"/>
  <c r="Z719" i="1"/>
  <c r="Z718" i="1"/>
  <c r="Z717" i="1"/>
  <c r="AG716" i="1"/>
  <c r="AI716" i="1" s="1"/>
  <c r="AF716" i="1"/>
  <c r="Z716" i="1"/>
  <c r="Z715" i="1"/>
  <c r="AI714" i="1"/>
  <c r="AG714" i="1"/>
  <c r="AF714" i="1"/>
  <c r="Z714" i="1"/>
  <c r="Z713" i="1"/>
  <c r="Z712" i="1"/>
  <c r="AF712" i="1" s="1"/>
  <c r="AG712" i="1" s="1"/>
  <c r="AI712" i="1" s="1"/>
  <c r="AG711" i="1"/>
  <c r="AI711" i="1" s="1"/>
  <c r="AF711" i="1"/>
  <c r="Z711" i="1"/>
  <c r="AF710" i="1"/>
  <c r="AG710" i="1" s="1"/>
  <c r="AI710" i="1" s="1"/>
  <c r="Z710" i="1"/>
  <c r="Z709" i="1"/>
  <c r="Z708" i="1"/>
  <c r="Z707" i="1"/>
  <c r="Z706" i="1"/>
  <c r="AF706" i="1" s="1"/>
  <c r="AG706" i="1" s="1"/>
  <c r="AI706" i="1" s="1"/>
  <c r="Z705" i="1"/>
  <c r="AI704" i="1"/>
  <c r="AG704" i="1"/>
  <c r="AF704" i="1"/>
  <c r="Z704" i="1"/>
  <c r="Z703" i="1"/>
  <c r="Z702" i="1"/>
  <c r="Z701" i="1"/>
  <c r="AF700" i="1"/>
  <c r="AG700" i="1" s="1"/>
  <c r="AI700" i="1" s="1"/>
  <c r="Z700" i="1"/>
  <c r="AG699" i="1"/>
  <c r="AI699" i="1" s="1"/>
  <c r="AF699" i="1"/>
  <c r="Z699" i="1"/>
  <c r="AF698" i="1"/>
  <c r="Z698" i="1"/>
  <c r="AG698" i="1" s="1"/>
  <c r="AI698" i="1" s="1"/>
  <c r="Z697" i="1"/>
  <c r="Z696" i="1"/>
  <c r="AF696" i="1" s="1"/>
  <c r="AG696" i="1" s="1"/>
  <c r="AI696" i="1" s="1"/>
  <c r="AF695" i="1"/>
  <c r="AG695" i="1" s="1"/>
  <c r="AI695" i="1" s="1"/>
  <c r="Z695" i="1"/>
  <c r="Z694" i="1"/>
  <c r="Z693" i="1"/>
  <c r="Z692" i="1"/>
  <c r="Z691" i="1"/>
  <c r="AF691" i="1" s="1"/>
  <c r="AG691" i="1" s="1"/>
  <c r="AI691" i="1" s="1"/>
  <c r="Z690" i="1"/>
  <c r="AF690" i="1" s="1"/>
  <c r="AG690" i="1" s="1"/>
  <c r="AI690" i="1" s="1"/>
  <c r="Z689" i="1"/>
  <c r="AF688" i="1"/>
  <c r="Z688" i="1"/>
  <c r="AG688" i="1" s="1"/>
  <c r="AI688" i="1" s="1"/>
  <c r="Z687" i="1"/>
  <c r="Z686" i="1"/>
  <c r="Z685" i="1"/>
  <c r="Z684" i="1"/>
  <c r="AF683" i="1"/>
  <c r="Z683" i="1"/>
  <c r="AG683" i="1" s="1"/>
  <c r="AI683" i="1" s="1"/>
  <c r="AF682" i="1"/>
  <c r="Z682" i="1"/>
  <c r="Z681" i="1"/>
  <c r="Z680" i="1"/>
  <c r="AF680" i="1" s="1"/>
  <c r="AG680" i="1" s="1"/>
  <c r="AI680" i="1" s="1"/>
  <c r="Z679" i="1"/>
  <c r="AG678" i="1"/>
  <c r="AI678" i="1" s="1"/>
  <c r="AF678" i="1"/>
  <c r="Z678" i="1"/>
  <c r="Z677" i="1"/>
  <c r="Z676" i="1"/>
  <c r="Z675" i="1"/>
  <c r="AF675" i="1" s="1"/>
  <c r="AG675" i="1" s="1"/>
  <c r="AI675" i="1" s="1"/>
  <c r="AF674" i="1"/>
  <c r="Z674" i="1"/>
  <c r="AG674" i="1" s="1"/>
  <c r="AI674" i="1" s="1"/>
  <c r="Z673" i="1"/>
  <c r="AF672" i="1"/>
  <c r="Z672" i="1"/>
  <c r="Z671" i="1"/>
  <c r="AF670" i="1"/>
  <c r="AG670" i="1" s="1"/>
  <c r="AI670" i="1" s="1"/>
  <c r="Z670" i="1"/>
  <c r="Z669" i="1"/>
  <c r="AG668" i="1"/>
  <c r="AI668" i="1" s="1"/>
  <c r="AF668" i="1"/>
  <c r="Z668" i="1"/>
  <c r="Z667" i="1"/>
  <c r="Z666" i="1"/>
  <c r="Z665" i="1"/>
  <c r="AF664" i="1"/>
  <c r="Z664" i="1"/>
  <c r="AG664" i="1" s="1"/>
  <c r="AI664" i="1" s="1"/>
  <c r="AG663" i="1"/>
  <c r="AI663" i="1" s="1"/>
  <c r="AF663" i="1"/>
  <c r="Z663" i="1"/>
  <c r="AG662" i="1"/>
  <c r="AI662" i="1" s="1"/>
  <c r="AF662" i="1"/>
  <c r="Z662" i="1"/>
  <c r="Z661" i="1"/>
  <c r="AF661" i="1" s="1"/>
  <c r="AG660" i="1"/>
  <c r="AI660" i="1" s="1"/>
  <c r="AF660" i="1"/>
  <c r="Z660" i="1"/>
  <c r="Z659" i="1"/>
  <c r="Z658" i="1"/>
  <c r="Z657" i="1"/>
  <c r="AF657" i="1" s="1"/>
  <c r="Z656" i="1"/>
  <c r="AF656" i="1" s="1"/>
  <c r="AG656" i="1" s="1"/>
  <c r="AI656" i="1" s="1"/>
  <c r="Z655" i="1"/>
  <c r="AG654" i="1"/>
  <c r="AI654" i="1" s="1"/>
  <c r="AF654" i="1"/>
  <c r="Z654" i="1"/>
  <c r="AG653" i="1"/>
  <c r="AI653" i="1" s="1"/>
  <c r="Z653" i="1"/>
  <c r="AF653" i="1" s="1"/>
  <c r="Z652" i="1"/>
  <c r="AG651" i="1"/>
  <c r="AI651" i="1" s="1"/>
  <c r="AF651" i="1"/>
  <c r="Z651" i="1"/>
  <c r="AF650" i="1"/>
  <c r="Z650" i="1"/>
  <c r="AG650" i="1" s="1"/>
  <c r="AI650" i="1" s="1"/>
  <c r="Z649" i="1"/>
  <c r="Z648" i="1"/>
  <c r="AF647" i="1"/>
  <c r="AG647" i="1" s="1"/>
  <c r="AI647" i="1" s="1"/>
  <c r="Z647" i="1"/>
  <c r="Z646" i="1"/>
  <c r="Z645" i="1"/>
  <c r="AF645" i="1" s="1"/>
  <c r="AI644" i="1"/>
  <c r="AG644" i="1"/>
  <c r="Z644" i="1"/>
  <c r="AF644" i="1" s="1"/>
  <c r="Z643" i="1"/>
  <c r="AF643" i="1" s="1"/>
  <c r="AG643" i="1" s="1"/>
  <c r="AI643" i="1" s="1"/>
  <c r="AF642" i="1"/>
  <c r="Z642" i="1"/>
  <c r="AG642" i="1" s="1"/>
  <c r="AI642" i="1" s="1"/>
  <c r="Z641" i="1"/>
  <c r="Z640" i="1"/>
  <c r="AF640" i="1" s="1"/>
  <c r="AG640" i="1" s="1"/>
  <c r="AI640" i="1" s="1"/>
  <c r="Z639" i="1"/>
  <c r="AF639" i="1" s="1"/>
  <c r="AG639" i="1" s="1"/>
  <c r="AI639" i="1" s="1"/>
  <c r="AF638" i="1"/>
  <c r="Z638" i="1"/>
  <c r="AG638" i="1" s="1"/>
  <c r="AI638" i="1" s="1"/>
  <c r="Z637" i="1"/>
  <c r="AI636" i="1"/>
  <c r="AG636" i="1"/>
  <c r="Z636" i="1"/>
  <c r="AF636" i="1" s="1"/>
  <c r="Z635" i="1"/>
  <c r="AF635" i="1" s="1"/>
  <c r="AG635" i="1" s="1"/>
  <c r="AI635" i="1" s="1"/>
  <c r="AF634" i="1"/>
  <c r="Z634" i="1"/>
  <c r="AG634" i="1" s="1"/>
  <c r="AI634" i="1" s="1"/>
  <c r="Z633" i="1"/>
  <c r="AI632" i="1"/>
  <c r="AG632" i="1"/>
  <c r="Z632" i="1"/>
  <c r="AF632" i="1" s="1"/>
  <c r="Z631" i="1"/>
  <c r="AF631" i="1" s="1"/>
  <c r="AG631" i="1" s="1"/>
  <c r="AI631" i="1" s="1"/>
  <c r="AF630" i="1"/>
  <c r="Z630" i="1"/>
  <c r="AG630" i="1" s="1"/>
  <c r="AI630" i="1" s="1"/>
  <c r="Z629" i="1"/>
  <c r="Z628" i="1"/>
  <c r="AF628" i="1" s="1"/>
  <c r="AG628" i="1" s="1"/>
  <c r="AI628" i="1" s="1"/>
  <c r="Z627" i="1"/>
  <c r="AF627" i="1" s="1"/>
  <c r="AG627" i="1" s="1"/>
  <c r="AI627" i="1" s="1"/>
  <c r="AF626" i="1"/>
  <c r="Z626" i="1"/>
  <c r="AG626" i="1" s="1"/>
  <c r="AI626" i="1" s="1"/>
  <c r="Z625" i="1"/>
  <c r="Z624" i="1"/>
  <c r="AF624" i="1" s="1"/>
  <c r="AG624" i="1" s="1"/>
  <c r="AI624" i="1" s="1"/>
  <c r="Z623" i="1"/>
  <c r="AF623" i="1" s="1"/>
  <c r="AG623" i="1" s="1"/>
  <c r="AI623" i="1" s="1"/>
  <c r="AF622" i="1"/>
  <c r="Z622" i="1"/>
  <c r="AG622" i="1" s="1"/>
  <c r="AI622" i="1" s="1"/>
  <c r="Z621" i="1"/>
  <c r="AI620" i="1"/>
  <c r="Z620" i="1"/>
  <c r="AF620" i="1" s="1"/>
  <c r="AG620" i="1" s="1"/>
  <c r="Z619" i="1"/>
  <c r="AF619" i="1" s="1"/>
  <c r="AG619" i="1" s="1"/>
  <c r="AI619" i="1" s="1"/>
  <c r="AF618" i="1"/>
  <c r="Z618" i="1"/>
  <c r="AG618" i="1" s="1"/>
  <c r="AI618" i="1" s="1"/>
  <c r="Z617" i="1"/>
  <c r="Z616" i="1"/>
  <c r="AF616" i="1" s="1"/>
  <c r="AG616" i="1" s="1"/>
  <c r="AI616" i="1" s="1"/>
  <c r="Z615" i="1"/>
  <c r="AF615" i="1" s="1"/>
  <c r="AG615" i="1" s="1"/>
  <c r="AI615" i="1" s="1"/>
  <c r="AF614" i="1"/>
  <c r="Z614" i="1"/>
  <c r="AG614" i="1" s="1"/>
  <c r="AI614" i="1" s="1"/>
  <c r="Z613" i="1"/>
  <c r="Z612" i="1"/>
  <c r="AF612" i="1" s="1"/>
  <c r="AG612" i="1" s="1"/>
  <c r="AI612" i="1" s="1"/>
  <c r="Z611" i="1"/>
  <c r="AF611" i="1" s="1"/>
  <c r="AG611" i="1" s="1"/>
  <c r="AI611" i="1" s="1"/>
  <c r="AF610" i="1"/>
  <c r="Z610" i="1"/>
  <c r="AG610" i="1" s="1"/>
  <c r="AI610" i="1" s="1"/>
  <c r="Z609" i="1"/>
  <c r="AI608" i="1"/>
  <c r="AG608" i="1"/>
  <c r="Z608" i="1"/>
  <c r="AF608" i="1" s="1"/>
  <c r="Z607" i="1"/>
  <c r="AF607" i="1" s="1"/>
  <c r="AG607" i="1" s="1"/>
  <c r="AI607" i="1" s="1"/>
  <c r="AF606" i="1"/>
  <c r="Z606" i="1"/>
  <c r="AG606" i="1" s="1"/>
  <c r="AI606" i="1" s="1"/>
  <c r="Z605" i="1"/>
  <c r="Z604" i="1"/>
  <c r="AF604" i="1" s="1"/>
  <c r="AG604" i="1" s="1"/>
  <c r="AI604" i="1" s="1"/>
  <c r="Z603" i="1"/>
  <c r="AF603" i="1" s="1"/>
  <c r="AG603" i="1" s="1"/>
  <c r="AI603" i="1" s="1"/>
  <c r="AF602" i="1"/>
  <c r="Z602" i="1"/>
  <c r="AG602" i="1" s="1"/>
  <c r="AI602" i="1" s="1"/>
  <c r="Z601" i="1"/>
  <c r="AG600" i="1"/>
  <c r="AI600" i="1" s="1"/>
  <c r="Z600" i="1"/>
  <c r="AF600" i="1" s="1"/>
  <c r="Z599" i="1"/>
  <c r="AF599" i="1" s="1"/>
  <c r="AG599" i="1" s="1"/>
  <c r="AI599" i="1" s="1"/>
  <c r="AF598" i="1"/>
  <c r="Z598" i="1"/>
  <c r="AG598" i="1" s="1"/>
  <c r="AI598" i="1" s="1"/>
  <c r="Z597" i="1"/>
  <c r="AG596" i="1"/>
  <c r="AI596" i="1" s="1"/>
  <c r="Z596" i="1"/>
  <c r="AF596" i="1" s="1"/>
  <c r="Z595" i="1"/>
  <c r="AF595" i="1" s="1"/>
  <c r="AG595" i="1" s="1"/>
  <c r="AI595" i="1" s="1"/>
  <c r="AF594" i="1"/>
  <c r="Z594" i="1"/>
  <c r="AG594" i="1" s="1"/>
  <c r="AI594" i="1" s="1"/>
  <c r="Z593" i="1"/>
  <c r="Z592" i="1"/>
  <c r="AF592" i="1" s="1"/>
  <c r="AG592" i="1" s="1"/>
  <c r="AI592" i="1" s="1"/>
  <c r="Z591" i="1"/>
  <c r="AF591" i="1" s="1"/>
  <c r="AG591" i="1" s="1"/>
  <c r="AI591" i="1" s="1"/>
  <c r="AF590" i="1"/>
  <c r="Z590" i="1"/>
  <c r="AG590" i="1" s="1"/>
  <c r="AI590" i="1" s="1"/>
  <c r="Z589" i="1"/>
  <c r="Z588" i="1"/>
  <c r="AF588" i="1" s="1"/>
  <c r="AG588" i="1" s="1"/>
  <c r="AI588" i="1" s="1"/>
  <c r="Z587" i="1"/>
  <c r="AF587" i="1" s="1"/>
  <c r="AG587" i="1" s="1"/>
  <c r="AI587" i="1" s="1"/>
  <c r="Z586" i="1"/>
  <c r="Z585" i="1"/>
  <c r="AG584" i="1"/>
  <c r="AI584" i="1" s="1"/>
  <c r="Z584" i="1"/>
  <c r="AF584" i="1" s="1"/>
  <c r="Z583" i="1"/>
  <c r="AF583" i="1" s="1"/>
  <c r="AG583" i="1" s="1"/>
  <c r="AI583" i="1" s="1"/>
  <c r="Z582" i="1"/>
  <c r="Z581" i="1"/>
  <c r="Z580" i="1"/>
  <c r="AF580" i="1" s="1"/>
  <c r="AG580" i="1" s="1"/>
  <c r="AI580" i="1" s="1"/>
  <c r="Z579" i="1"/>
  <c r="AF579" i="1" s="1"/>
  <c r="AG579" i="1" s="1"/>
  <c r="AI579" i="1" s="1"/>
  <c r="Z578" i="1"/>
  <c r="Z577" i="1"/>
  <c r="AG576" i="1"/>
  <c r="AI576" i="1" s="1"/>
  <c r="Z576" i="1"/>
  <c r="AF576" i="1" s="1"/>
  <c r="Z575" i="1"/>
  <c r="AF575" i="1" s="1"/>
  <c r="AG575" i="1" s="1"/>
  <c r="AI575" i="1" s="1"/>
  <c r="Z574" i="1"/>
  <c r="Z573" i="1"/>
  <c r="AI572" i="1"/>
  <c r="Z572" i="1"/>
  <c r="AF572" i="1" s="1"/>
  <c r="AG572" i="1" s="1"/>
  <c r="Z571" i="1"/>
  <c r="AF571" i="1" s="1"/>
  <c r="AG571" i="1" s="1"/>
  <c r="AI571" i="1" s="1"/>
  <c r="Z570" i="1"/>
  <c r="Z569" i="1"/>
  <c r="AI568" i="1"/>
  <c r="AG568" i="1"/>
  <c r="Z568" i="1"/>
  <c r="AF568" i="1" s="1"/>
  <c r="Z567" i="1"/>
  <c r="AF567" i="1" s="1"/>
  <c r="AG567" i="1" s="1"/>
  <c r="AI567" i="1" s="1"/>
  <c r="Z566" i="1"/>
  <c r="Z565" i="1"/>
  <c r="AG564" i="1"/>
  <c r="AI564" i="1" s="1"/>
  <c r="Z564" i="1"/>
  <c r="AF564" i="1" s="1"/>
  <c r="Z563" i="1"/>
  <c r="AF563" i="1" s="1"/>
  <c r="AG563" i="1" s="1"/>
  <c r="AI563" i="1" s="1"/>
  <c r="Z562" i="1"/>
  <c r="Z561" i="1"/>
  <c r="Z560" i="1"/>
  <c r="AF560" i="1" s="1"/>
  <c r="AG560" i="1" s="1"/>
  <c r="AI560" i="1" s="1"/>
  <c r="Z559" i="1"/>
  <c r="AF559" i="1" s="1"/>
  <c r="AG559" i="1" s="1"/>
  <c r="AI559" i="1" s="1"/>
  <c r="Z558" i="1"/>
  <c r="Z557" i="1"/>
  <c r="Z556" i="1"/>
  <c r="AF556" i="1" s="1"/>
  <c r="AG556" i="1" s="1"/>
  <c r="AI556" i="1" s="1"/>
  <c r="Z555" i="1"/>
  <c r="AF555" i="1" s="1"/>
  <c r="AG555" i="1" s="1"/>
  <c r="AI555" i="1" s="1"/>
  <c r="Z554" i="1"/>
  <c r="Z553" i="1"/>
  <c r="Z552" i="1"/>
  <c r="AF552" i="1" s="1"/>
  <c r="AG552" i="1" s="1"/>
  <c r="AI552" i="1" s="1"/>
  <c r="Z551" i="1"/>
  <c r="AF551" i="1" s="1"/>
  <c r="AG551" i="1" s="1"/>
  <c r="AI551" i="1" s="1"/>
  <c r="Z550" i="1"/>
  <c r="Z549" i="1"/>
  <c r="Z548" i="1"/>
  <c r="AF548" i="1" s="1"/>
  <c r="AG548" i="1" s="1"/>
  <c r="AI548" i="1" s="1"/>
  <c r="Z547" i="1"/>
  <c r="AF547" i="1" s="1"/>
  <c r="AG547" i="1" s="1"/>
  <c r="AI547" i="1" s="1"/>
  <c r="Z546" i="1"/>
  <c r="Z545" i="1"/>
  <c r="AG544" i="1"/>
  <c r="AI544" i="1" s="1"/>
  <c r="Z544" i="1"/>
  <c r="AF544" i="1" s="1"/>
  <c r="Z543" i="1"/>
  <c r="AF543" i="1" s="1"/>
  <c r="AG543" i="1" s="1"/>
  <c r="AI543" i="1" s="1"/>
  <c r="Z542" i="1"/>
  <c r="Z541" i="1"/>
  <c r="Z540" i="1"/>
  <c r="AF540" i="1" s="1"/>
  <c r="AG540" i="1" s="1"/>
  <c r="AI540" i="1" s="1"/>
  <c r="Z539" i="1"/>
  <c r="AF539" i="1" s="1"/>
  <c r="AG539" i="1" s="1"/>
  <c r="AI539" i="1" s="1"/>
  <c r="Z538" i="1"/>
  <c r="Z537" i="1"/>
  <c r="AI536" i="1"/>
  <c r="AG536" i="1"/>
  <c r="Z536" i="1"/>
  <c r="AF536" i="1" s="1"/>
  <c r="Z535" i="1"/>
  <c r="AF535" i="1" s="1"/>
  <c r="AG535" i="1" s="1"/>
  <c r="AI535" i="1" s="1"/>
  <c r="Z534" i="1"/>
  <c r="Z533" i="1"/>
  <c r="AG532" i="1"/>
  <c r="AI532" i="1" s="1"/>
  <c r="Z532" i="1"/>
  <c r="AF532" i="1" s="1"/>
  <c r="Z531" i="1"/>
  <c r="AF531" i="1" s="1"/>
  <c r="AG531" i="1" s="1"/>
  <c r="AI531" i="1" s="1"/>
  <c r="Z530" i="1"/>
  <c r="Z529" i="1"/>
  <c r="Z528" i="1"/>
  <c r="AF528" i="1" s="1"/>
  <c r="AG528" i="1" s="1"/>
  <c r="AI528" i="1" s="1"/>
  <c r="Z527" i="1"/>
  <c r="AF527" i="1" s="1"/>
  <c r="AG527" i="1" s="1"/>
  <c r="AI527" i="1" s="1"/>
  <c r="Z526" i="1"/>
  <c r="Z525" i="1"/>
  <c r="Z524" i="1"/>
  <c r="AF524" i="1" s="1"/>
  <c r="AG524" i="1" s="1"/>
  <c r="AI524" i="1" s="1"/>
  <c r="AG523" i="1"/>
  <c r="AI523" i="1" s="1"/>
  <c r="Z523" i="1"/>
  <c r="AF523" i="1" s="1"/>
  <c r="Z522" i="1"/>
  <c r="Z521" i="1"/>
  <c r="AG520" i="1"/>
  <c r="AI520" i="1" s="1"/>
  <c r="Z520" i="1"/>
  <c r="AF520" i="1" s="1"/>
  <c r="Z519" i="1"/>
  <c r="AF519" i="1" s="1"/>
  <c r="AG519" i="1" s="1"/>
  <c r="AI519" i="1" s="1"/>
  <c r="Z518" i="1"/>
  <c r="Z517" i="1"/>
  <c r="AI516" i="1"/>
  <c r="AG516" i="1"/>
  <c r="Z516" i="1"/>
  <c r="AF516" i="1" s="1"/>
  <c r="Z515" i="1"/>
  <c r="AF515" i="1" s="1"/>
  <c r="AG515" i="1" s="1"/>
  <c r="AI515" i="1" s="1"/>
  <c r="Z514" i="1"/>
  <c r="Z513" i="1"/>
  <c r="Z512" i="1"/>
  <c r="AF512" i="1" s="1"/>
  <c r="AG512" i="1" s="1"/>
  <c r="AI512" i="1" s="1"/>
  <c r="AG511" i="1"/>
  <c r="AI511" i="1" s="1"/>
  <c r="Z511" i="1"/>
  <c r="AF511" i="1" s="1"/>
  <c r="Z510" i="1"/>
  <c r="Z509" i="1"/>
  <c r="Z508" i="1"/>
  <c r="AF508" i="1" s="1"/>
  <c r="AG508" i="1" s="1"/>
  <c r="AI508" i="1" s="1"/>
  <c r="AG507" i="1"/>
  <c r="AI507" i="1" s="1"/>
  <c r="Z507" i="1"/>
  <c r="AF507" i="1" s="1"/>
  <c r="Z506" i="1"/>
  <c r="Z505" i="1"/>
  <c r="Z504" i="1"/>
  <c r="AF504" i="1" s="1"/>
  <c r="AG504" i="1" s="1"/>
  <c r="AI504" i="1" s="1"/>
  <c r="Z503" i="1"/>
  <c r="Z502" i="1"/>
  <c r="Z501" i="1"/>
  <c r="AG500" i="1"/>
  <c r="AI500" i="1" s="1"/>
  <c r="Z500" i="1"/>
  <c r="AF500" i="1" s="1"/>
  <c r="AG499" i="1"/>
  <c r="AI499" i="1" s="1"/>
  <c r="Z499" i="1"/>
  <c r="AF499" i="1" s="1"/>
  <c r="Z498" i="1"/>
  <c r="Z497" i="1"/>
  <c r="Z496" i="1"/>
  <c r="AF496" i="1" s="1"/>
  <c r="AG496" i="1" s="1"/>
  <c r="AI496" i="1" s="1"/>
  <c r="Z495" i="1"/>
  <c r="Z494" i="1"/>
  <c r="Z493" i="1"/>
  <c r="AG492" i="1"/>
  <c r="AI492" i="1" s="1"/>
  <c r="Z492" i="1"/>
  <c r="AF492" i="1" s="1"/>
  <c r="AG491" i="1"/>
  <c r="AI491" i="1" s="1"/>
  <c r="Z491" i="1"/>
  <c r="AF491" i="1" s="1"/>
  <c r="Z490" i="1"/>
  <c r="Z489" i="1"/>
  <c r="Z488" i="1"/>
  <c r="AF488" i="1" s="1"/>
  <c r="Z487" i="1"/>
  <c r="Z486" i="1"/>
  <c r="Z485" i="1"/>
  <c r="AG484" i="1"/>
  <c r="AI484" i="1" s="1"/>
  <c r="Z484" i="1"/>
  <c r="AF484" i="1" s="1"/>
  <c r="AG483" i="1"/>
  <c r="AI483" i="1" s="1"/>
  <c r="Z483" i="1"/>
  <c r="AF483" i="1" s="1"/>
  <c r="Z482" i="1"/>
  <c r="Z481" i="1"/>
  <c r="Z480" i="1"/>
  <c r="AF480" i="1" s="1"/>
  <c r="Z479" i="1"/>
  <c r="Z478" i="1"/>
  <c r="Z477" i="1"/>
  <c r="AG476" i="1"/>
  <c r="AI476" i="1" s="1"/>
  <c r="Z476" i="1"/>
  <c r="AF476" i="1" s="1"/>
  <c r="AG475" i="1"/>
  <c r="AI475" i="1" s="1"/>
  <c r="Z475" i="1"/>
  <c r="AF475" i="1" s="1"/>
  <c r="Z474" i="1"/>
  <c r="Z473" i="1"/>
  <c r="Z472" i="1"/>
  <c r="AF472" i="1" s="1"/>
  <c r="Z471" i="1"/>
  <c r="Z470" i="1"/>
  <c r="Z469" i="1"/>
  <c r="AG468" i="1"/>
  <c r="AI468" i="1" s="1"/>
  <c r="Z468" i="1"/>
  <c r="AF468" i="1" s="1"/>
  <c r="AG467" i="1"/>
  <c r="AI467" i="1" s="1"/>
  <c r="Z467" i="1"/>
  <c r="AF467" i="1" s="1"/>
  <c r="Z466" i="1"/>
  <c r="AG465" i="1"/>
  <c r="AI465" i="1" s="1"/>
  <c r="Z465" i="1"/>
  <c r="AF465" i="1" s="1"/>
  <c r="Z464" i="1"/>
  <c r="AG463" i="1"/>
  <c r="AI463" i="1" s="1"/>
  <c r="Z463" i="1"/>
  <c r="AF463" i="1" s="1"/>
  <c r="Z462" i="1"/>
  <c r="Z461" i="1"/>
  <c r="AF461" i="1" s="1"/>
  <c r="Z460" i="1"/>
  <c r="AF460" i="1" s="1"/>
  <c r="Z459" i="1"/>
  <c r="AF459" i="1" s="1"/>
  <c r="Z458" i="1"/>
  <c r="AG457" i="1"/>
  <c r="AI457" i="1" s="1"/>
  <c r="Z457" i="1"/>
  <c r="AF457" i="1" s="1"/>
  <c r="Z456" i="1"/>
  <c r="AF456" i="1" s="1"/>
  <c r="AG455" i="1"/>
  <c r="AI455" i="1" s="1"/>
  <c r="Z455" i="1"/>
  <c r="AF455" i="1" s="1"/>
  <c r="AF454" i="1"/>
  <c r="Z454" i="1"/>
  <c r="Z453" i="1"/>
  <c r="AF453" i="1" s="1"/>
  <c r="AG453" i="1" s="1"/>
  <c r="AI453" i="1" s="1"/>
  <c r="Z452" i="1"/>
  <c r="AF452" i="1" s="1"/>
  <c r="Z451" i="1"/>
  <c r="AF450" i="1"/>
  <c r="Z450" i="1"/>
  <c r="Z449" i="1"/>
  <c r="AF449" i="1" s="1"/>
  <c r="AG448" i="1"/>
  <c r="AI448" i="1" s="1"/>
  <c r="Z448" i="1"/>
  <c r="AF448" i="1" s="1"/>
  <c r="Z447" i="1"/>
  <c r="AF447" i="1" s="1"/>
  <c r="Z446" i="1"/>
  <c r="Z445" i="1"/>
  <c r="Z444" i="1"/>
  <c r="AF444" i="1" s="1"/>
  <c r="Z443" i="1"/>
  <c r="AF443" i="1" s="1"/>
  <c r="Z442" i="1"/>
  <c r="AF441" i="1"/>
  <c r="Z441" i="1"/>
  <c r="AG441" i="1" s="1"/>
  <c r="AI441" i="1" s="1"/>
  <c r="Z440" i="1"/>
  <c r="AF440" i="1" s="1"/>
  <c r="Z439" i="1"/>
  <c r="AF439" i="1" s="1"/>
  <c r="Z438" i="1"/>
  <c r="Z437" i="1"/>
  <c r="AF437" i="1" s="1"/>
  <c r="AG437" i="1" s="1"/>
  <c r="AI437" i="1" s="1"/>
  <c r="Z436" i="1"/>
  <c r="AF436" i="1" s="1"/>
  <c r="AG435" i="1"/>
  <c r="AI435" i="1" s="1"/>
  <c r="Z435" i="1"/>
  <c r="AF435" i="1" s="1"/>
  <c r="AF434" i="1"/>
  <c r="Z434" i="1"/>
  <c r="AI433" i="1"/>
  <c r="AG433" i="1"/>
  <c r="Z433" i="1"/>
  <c r="AF433" i="1" s="1"/>
  <c r="AG432" i="1"/>
  <c r="AI432" i="1" s="1"/>
  <c r="Z432" i="1"/>
  <c r="AF432" i="1" s="1"/>
  <c r="AI431" i="1"/>
  <c r="AG431" i="1"/>
  <c r="Z431" i="1"/>
  <c r="AF431" i="1" s="1"/>
  <c r="AF430" i="1"/>
  <c r="Z430" i="1"/>
  <c r="AF429" i="1"/>
  <c r="AG429" i="1" s="1"/>
  <c r="AI429" i="1" s="1"/>
  <c r="Z429" i="1"/>
  <c r="AG428" i="1"/>
  <c r="AI428" i="1" s="1"/>
  <c r="Z428" i="1"/>
  <c r="AF428" i="1" s="1"/>
  <c r="Z427" i="1"/>
  <c r="AF427" i="1" s="1"/>
  <c r="Z426" i="1"/>
  <c r="AF425" i="1"/>
  <c r="Z425" i="1"/>
  <c r="AG425" i="1" s="1"/>
  <c r="AI425" i="1" s="1"/>
  <c r="Z424" i="1"/>
  <c r="AF424" i="1" s="1"/>
  <c r="AF423" i="1"/>
  <c r="AG423" i="1" s="1"/>
  <c r="AI423" i="1" s="1"/>
  <c r="Z423" i="1"/>
  <c r="Z422" i="1"/>
  <c r="AF421" i="1"/>
  <c r="AG421" i="1" s="1"/>
  <c r="AI421" i="1" s="1"/>
  <c r="Z421" i="1"/>
  <c r="Z420" i="1"/>
  <c r="AF420" i="1" s="1"/>
  <c r="AG420" i="1" s="1"/>
  <c r="AI420" i="1" s="1"/>
  <c r="AF419" i="1"/>
  <c r="AG419" i="1" s="1"/>
  <c r="AI419" i="1" s="1"/>
  <c r="Z419" i="1"/>
  <c r="Z418" i="1"/>
  <c r="Z417" i="1"/>
  <c r="AG416" i="1"/>
  <c r="AI416" i="1" s="1"/>
  <c r="Z416" i="1"/>
  <c r="AF416" i="1" s="1"/>
  <c r="Z415" i="1"/>
  <c r="Z414" i="1"/>
  <c r="AF413" i="1"/>
  <c r="AG413" i="1" s="1"/>
  <c r="AI413" i="1" s="1"/>
  <c r="Z413" i="1"/>
  <c r="Z412" i="1"/>
  <c r="AF412" i="1" s="1"/>
  <c r="AG411" i="1"/>
  <c r="AI411" i="1" s="1"/>
  <c r="AF411" i="1"/>
  <c r="Z411" i="1"/>
  <c r="Z410" i="1"/>
  <c r="AF409" i="1"/>
  <c r="AG409" i="1" s="1"/>
  <c r="AI409" i="1" s="1"/>
  <c r="Z409" i="1"/>
  <c r="AI408" i="1"/>
  <c r="AG408" i="1"/>
  <c r="Z408" i="1"/>
  <c r="AF408" i="1" s="1"/>
  <c r="AF407" i="1"/>
  <c r="Z407" i="1"/>
  <c r="AG407" i="1" s="1"/>
  <c r="AI407" i="1" s="1"/>
  <c r="AF406" i="1"/>
  <c r="Z406" i="1"/>
  <c r="Z405" i="1"/>
  <c r="AG404" i="1"/>
  <c r="AI404" i="1" s="1"/>
  <c r="Z404" i="1"/>
  <c r="AF404" i="1" s="1"/>
  <c r="Z403" i="1"/>
  <c r="AF403" i="1" s="1"/>
  <c r="AG403" i="1" s="1"/>
  <c r="AI403" i="1" s="1"/>
  <c r="Z402" i="1"/>
  <c r="AG401" i="1"/>
  <c r="AI401" i="1" s="1"/>
  <c r="AF401" i="1"/>
  <c r="Z401" i="1"/>
  <c r="Z400" i="1"/>
  <c r="AF400" i="1" s="1"/>
  <c r="Z399" i="1"/>
  <c r="AF398" i="1"/>
  <c r="Z398" i="1"/>
  <c r="AF397" i="1"/>
  <c r="Z397" i="1"/>
  <c r="AG397" i="1" s="1"/>
  <c r="AI397" i="1" s="1"/>
  <c r="AI396" i="1"/>
  <c r="AG396" i="1"/>
  <c r="Z396" i="1"/>
  <c r="AF396" i="1" s="1"/>
  <c r="AF395" i="1"/>
  <c r="Z395" i="1"/>
  <c r="AG395" i="1" s="1"/>
  <c r="AI395" i="1" s="1"/>
  <c r="AF394" i="1"/>
  <c r="Z394" i="1"/>
  <c r="Z393" i="1"/>
  <c r="AF393" i="1" s="1"/>
  <c r="AG393" i="1" s="1"/>
  <c r="AI393" i="1" s="1"/>
  <c r="AG392" i="1"/>
  <c r="AI392" i="1" s="1"/>
  <c r="Z392" i="1"/>
  <c r="AF392" i="1" s="1"/>
  <c r="Z391" i="1"/>
  <c r="Z390" i="1"/>
  <c r="Z389" i="1"/>
  <c r="Z388" i="1"/>
  <c r="AF388" i="1" s="1"/>
  <c r="Z387" i="1"/>
  <c r="AF387" i="1" s="1"/>
  <c r="AG387" i="1" s="1"/>
  <c r="AI387" i="1" s="1"/>
  <c r="AF386" i="1"/>
  <c r="Z386" i="1"/>
  <c r="AF385" i="1"/>
  <c r="Z385" i="1"/>
  <c r="AG385" i="1" s="1"/>
  <c r="AI385" i="1" s="1"/>
  <c r="Z384" i="1"/>
  <c r="Z383" i="1"/>
  <c r="AF382" i="1"/>
  <c r="Z382" i="1"/>
  <c r="Z381" i="1"/>
  <c r="AG380" i="1"/>
  <c r="AI380" i="1" s="1"/>
  <c r="Z380" i="1"/>
  <c r="AF380" i="1" s="1"/>
  <c r="Z379" i="1"/>
  <c r="Z378" i="1"/>
  <c r="AG377" i="1"/>
  <c r="AI377" i="1" s="1"/>
  <c r="AF377" i="1"/>
  <c r="Z377" i="1"/>
  <c r="Z376" i="1"/>
  <c r="AF376" i="1" s="1"/>
  <c r="Z375" i="1"/>
  <c r="AF375" i="1" s="1"/>
  <c r="AG375" i="1" s="1"/>
  <c r="AI375" i="1" s="1"/>
  <c r="Z374" i="1"/>
  <c r="Z373" i="1"/>
  <c r="AI372" i="1"/>
  <c r="AG372" i="1"/>
  <c r="Z372" i="1"/>
  <c r="AF372" i="1" s="1"/>
  <c r="AF371" i="1"/>
  <c r="Z371" i="1"/>
  <c r="AG371" i="1" s="1"/>
  <c r="AI371" i="1" s="1"/>
  <c r="AF370" i="1"/>
  <c r="Z370" i="1"/>
  <c r="AF369" i="1"/>
  <c r="Z369" i="1"/>
  <c r="Z368" i="1"/>
  <c r="AF368" i="1" s="1"/>
  <c r="AF367" i="1"/>
  <c r="AG367" i="1" s="1"/>
  <c r="AI367" i="1" s="1"/>
  <c r="Z367" i="1"/>
  <c r="Z366" i="1"/>
  <c r="Z365" i="1"/>
  <c r="AF365" i="1" s="1"/>
  <c r="AG365" i="1" s="1"/>
  <c r="AI365" i="1" s="1"/>
  <c r="Z364" i="1"/>
  <c r="AF364" i="1" s="1"/>
  <c r="Z363" i="1"/>
  <c r="Z362" i="1"/>
  <c r="AF361" i="1"/>
  <c r="Z361" i="1"/>
  <c r="AG361" i="1" s="1"/>
  <c r="AI361" i="1" s="1"/>
  <c r="Z360" i="1"/>
  <c r="AF360" i="1" s="1"/>
  <c r="AF359" i="1"/>
  <c r="AG359" i="1" s="1"/>
  <c r="AI359" i="1" s="1"/>
  <c r="Z359" i="1"/>
  <c r="Z358" i="1"/>
  <c r="AF357" i="1"/>
  <c r="AG357" i="1" s="1"/>
  <c r="AI357" i="1" s="1"/>
  <c r="Z357" i="1"/>
  <c r="Z356" i="1"/>
  <c r="AF356" i="1" s="1"/>
  <c r="AF355" i="1"/>
  <c r="AG355" i="1" s="1"/>
  <c r="AI355" i="1" s="1"/>
  <c r="Z355" i="1"/>
  <c r="Z354" i="1"/>
  <c r="Z353" i="1"/>
  <c r="AG352" i="1"/>
  <c r="AI352" i="1" s="1"/>
  <c r="Z352" i="1"/>
  <c r="AF352" i="1" s="1"/>
  <c r="Z351" i="1"/>
  <c r="Z350" i="1"/>
  <c r="AF349" i="1"/>
  <c r="AG349" i="1" s="1"/>
  <c r="AI349" i="1" s="1"/>
  <c r="Z349" i="1"/>
  <c r="Z348" i="1"/>
  <c r="AF348" i="1" s="1"/>
  <c r="AG347" i="1"/>
  <c r="AI347" i="1" s="1"/>
  <c r="AF347" i="1"/>
  <c r="Z347" i="1"/>
  <c r="Z346" i="1"/>
  <c r="AF345" i="1"/>
  <c r="AG345" i="1" s="1"/>
  <c r="AI345" i="1" s="1"/>
  <c r="Z345" i="1"/>
  <c r="AG344" i="1"/>
  <c r="AI344" i="1" s="1"/>
  <c r="Z344" i="1"/>
  <c r="AF344" i="1" s="1"/>
  <c r="AF343" i="1"/>
  <c r="AG343" i="1" s="1"/>
  <c r="AI343" i="1" s="1"/>
  <c r="Z343" i="1"/>
  <c r="AF342" i="1"/>
  <c r="Z342" i="1"/>
  <c r="Z341" i="1"/>
  <c r="AG340" i="1"/>
  <c r="AI340" i="1" s="1"/>
  <c r="Z340" i="1"/>
  <c r="AF340" i="1" s="1"/>
  <c r="AG339" i="1"/>
  <c r="AI339" i="1" s="1"/>
  <c r="Z339" i="1"/>
  <c r="AF339" i="1" s="1"/>
  <c r="Z338" i="1"/>
  <c r="AG337" i="1"/>
  <c r="AI337" i="1" s="1"/>
  <c r="AF337" i="1"/>
  <c r="Z337" i="1"/>
  <c r="Z336" i="1"/>
  <c r="AF336" i="1" s="1"/>
  <c r="Z335" i="1"/>
  <c r="AF334" i="1"/>
  <c r="Z334" i="1"/>
  <c r="AF333" i="1"/>
  <c r="Z333" i="1"/>
  <c r="AG333" i="1" s="1"/>
  <c r="AI333" i="1" s="1"/>
  <c r="AI332" i="1"/>
  <c r="AG332" i="1"/>
  <c r="Z332" i="1"/>
  <c r="AF332" i="1" s="1"/>
  <c r="AF331" i="1"/>
  <c r="Z331" i="1"/>
  <c r="AG331" i="1" s="1"/>
  <c r="AI331" i="1" s="1"/>
  <c r="AF330" i="1"/>
  <c r="Z330" i="1"/>
  <c r="Z329" i="1"/>
  <c r="AF329" i="1" s="1"/>
  <c r="AG329" i="1" s="1"/>
  <c r="AI329" i="1" s="1"/>
  <c r="AG328" i="1"/>
  <c r="AI328" i="1" s="1"/>
  <c r="Z328" i="1"/>
  <c r="AF328" i="1" s="1"/>
  <c r="Z327" i="1"/>
  <c r="Z326" i="1"/>
  <c r="Z325" i="1"/>
  <c r="Z324" i="1"/>
  <c r="AF324" i="1" s="1"/>
  <c r="Z323" i="1"/>
  <c r="AF323" i="1" s="1"/>
  <c r="AG323" i="1" s="1"/>
  <c r="AI323" i="1" s="1"/>
  <c r="AF322" i="1"/>
  <c r="Z322" i="1"/>
  <c r="AF321" i="1"/>
  <c r="Z321" i="1"/>
  <c r="AG321" i="1" s="1"/>
  <c r="AI321" i="1" s="1"/>
  <c r="Z320" i="1"/>
  <c r="Z319" i="1"/>
  <c r="AF318" i="1"/>
  <c r="Z318" i="1"/>
  <c r="Z317" i="1"/>
  <c r="AG316" i="1"/>
  <c r="AI316" i="1" s="1"/>
  <c r="Z316" i="1"/>
  <c r="AF316" i="1" s="1"/>
  <c r="Z315" i="1"/>
  <c r="Z314" i="1"/>
  <c r="Z313" i="1"/>
  <c r="AF313" i="1" s="1"/>
  <c r="AG313" i="1" s="1"/>
  <c r="AI313" i="1" s="1"/>
  <c r="Z312" i="1"/>
  <c r="AF312" i="1" s="1"/>
  <c r="Z311" i="1"/>
  <c r="Z310" i="1"/>
  <c r="Z309" i="1"/>
  <c r="Z308" i="1"/>
  <c r="AF308" i="1" s="1"/>
  <c r="AF307" i="1"/>
  <c r="Z307" i="1"/>
  <c r="AG307" i="1" s="1"/>
  <c r="AI307" i="1" s="1"/>
  <c r="AF306" i="1"/>
  <c r="Z306" i="1"/>
  <c r="AF305" i="1"/>
  <c r="Z305" i="1"/>
  <c r="Z304" i="1"/>
  <c r="AF304" i="1" s="1"/>
  <c r="AF303" i="1"/>
  <c r="AG303" i="1" s="1"/>
  <c r="AI303" i="1" s="1"/>
  <c r="Z303" i="1"/>
  <c r="Z302" i="1"/>
  <c r="Z301" i="1"/>
  <c r="Z300" i="1"/>
  <c r="AF300" i="1" s="1"/>
  <c r="Z299" i="1"/>
  <c r="Z298" i="1"/>
  <c r="Z297" i="1"/>
  <c r="Z296" i="1"/>
  <c r="AF296" i="1" s="1"/>
  <c r="AF295" i="1"/>
  <c r="AG295" i="1" s="1"/>
  <c r="AI295" i="1" s="1"/>
  <c r="Z295" i="1"/>
  <c r="Z294" i="1"/>
  <c r="AF293" i="1"/>
  <c r="AG293" i="1" s="1"/>
  <c r="AI293" i="1" s="1"/>
  <c r="Z293" i="1"/>
  <c r="Z292" i="1"/>
  <c r="AF292" i="1" s="1"/>
  <c r="AF291" i="1"/>
  <c r="AG291" i="1" s="1"/>
  <c r="AI291" i="1" s="1"/>
  <c r="Z291" i="1"/>
  <c r="Z290" i="1"/>
  <c r="Z289" i="1"/>
  <c r="AG288" i="1"/>
  <c r="AI288" i="1" s="1"/>
  <c r="Z288" i="1"/>
  <c r="AF288" i="1" s="1"/>
  <c r="Z287" i="1"/>
  <c r="Z286" i="1"/>
  <c r="AF285" i="1"/>
  <c r="AG285" i="1" s="1"/>
  <c r="AI285" i="1" s="1"/>
  <c r="Z285" i="1"/>
  <c r="Z284" i="1"/>
  <c r="AF284" i="1" s="1"/>
  <c r="AG283" i="1"/>
  <c r="AI283" i="1" s="1"/>
  <c r="AF283" i="1"/>
  <c r="Z283" i="1"/>
  <c r="Z282" i="1"/>
  <c r="AF281" i="1"/>
  <c r="AG281" i="1" s="1"/>
  <c r="AI281" i="1" s="1"/>
  <c r="Z281" i="1"/>
  <c r="AG280" i="1"/>
  <c r="AI280" i="1" s="1"/>
  <c r="Z280" i="1"/>
  <c r="AF280" i="1" s="1"/>
  <c r="AF279" i="1"/>
  <c r="AG279" i="1" s="1"/>
  <c r="AI279" i="1" s="1"/>
  <c r="Z279" i="1"/>
  <c r="AF278" i="1"/>
  <c r="Z278" i="1"/>
  <c r="Z277" i="1"/>
  <c r="AG276" i="1"/>
  <c r="AI276" i="1" s="1"/>
  <c r="Z276" i="1"/>
  <c r="AF276" i="1" s="1"/>
  <c r="Z275" i="1"/>
  <c r="AF275" i="1" s="1"/>
  <c r="AG275" i="1" s="1"/>
  <c r="AI275" i="1" s="1"/>
  <c r="Z274" i="1"/>
  <c r="AG273" i="1"/>
  <c r="AI273" i="1" s="1"/>
  <c r="AF273" i="1"/>
  <c r="Z273" i="1"/>
  <c r="Z272" i="1"/>
  <c r="AF272" i="1" s="1"/>
  <c r="Z271" i="1"/>
  <c r="AF270" i="1"/>
  <c r="Z270" i="1"/>
  <c r="AF269" i="1"/>
  <c r="AG269" i="1" s="1"/>
  <c r="AI269" i="1" s="1"/>
  <c r="Z269" i="1"/>
  <c r="AI268" i="1"/>
  <c r="AG268" i="1"/>
  <c r="Z268" i="1"/>
  <c r="AF268" i="1" s="1"/>
  <c r="AF267" i="1"/>
  <c r="Z267" i="1"/>
  <c r="AG267" i="1" s="1"/>
  <c r="AI267" i="1" s="1"/>
  <c r="AF266" i="1"/>
  <c r="Z266" i="1"/>
  <c r="Z265" i="1"/>
  <c r="AF265" i="1" s="1"/>
  <c r="AG265" i="1" s="1"/>
  <c r="AI265" i="1" s="1"/>
  <c r="AG264" i="1"/>
  <c r="AI264" i="1" s="1"/>
  <c r="Z264" i="1"/>
  <c r="AF264" i="1" s="1"/>
  <c r="Z263" i="1"/>
  <c r="Z262" i="1"/>
  <c r="Z261" i="1"/>
  <c r="Z260" i="1"/>
  <c r="AF260" i="1" s="1"/>
  <c r="Z259" i="1"/>
  <c r="AF259" i="1" s="1"/>
  <c r="AG259" i="1" s="1"/>
  <c r="AI259" i="1" s="1"/>
  <c r="AF258" i="1"/>
  <c r="Z258" i="1"/>
  <c r="AF257" i="1"/>
  <c r="Z257" i="1"/>
  <c r="AG257" i="1" s="1"/>
  <c r="AI257" i="1" s="1"/>
  <c r="Z256" i="1"/>
  <c r="Z255" i="1"/>
  <c r="AF254" i="1"/>
  <c r="Z254" i="1"/>
  <c r="Z253" i="1"/>
  <c r="AG252" i="1"/>
  <c r="AI252" i="1" s="1"/>
  <c r="Z252" i="1"/>
  <c r="AF252" i="1" s="1"/>
  <c r="Z251" i="1"/>
  <c r="Z250" i="1"/>
  <c r="Z249" i="1"/>
  <c r="AF249" i="1" s="1"/>
  <c r="AG249" i="1" s="1"/>
  <c r="AI249" i="1" s="1"/>
  <c r="Z248" i="1"/>
  <c r="AF248" i="1" s="1"/>
  <c r="Z247" i="1"/>
  <c r="Z246" i="1"/>
  <c r="Z245" i="1"/>
  <c r="Z244" i="1"/>
  <c r="AF244" i="1" s="1"/>
  <c r="Z243" i="1"/>
  <c r="AF242" i="1"/>
  <c r="Z242" i="1"/>
  <c r="Z241" i="1"/>
  <c r="Z240" i="1"/>
  <c r="AF240" i="1" s="1"/>
  <c r="AF239" i="1"/>
  <c r="AG239" i="1" s="1"/>
  <c r="AI239" i="1" s="1"/>
  <c r="Z239" i="1"/>
  <c r="Z238" i="1"/>
  <c r="Z237" i="1"/>
  <c r="AG236" i="1"/>
  <c r="AI236" i="1" s="1"/>
  <c r="Z236" i="1"/>
  <c r="AF236" i="1" s="1"/>
  <c r="Z235" i="1"/>
  <c r="Z234" i="1"/>
  <c r="Z233" i="1"/>
  <c r="Z232" i="1"/>
  <c r="AF232" i="1" s="1"/>
  <c r="AF231" i="1"/>
  <c r="AG231" i="1" s="1"/>
  <c r="AI231" i="1" s="1"/>
  <c r="Z231" i="1"/>
  <c r="Z230" i="1"/>
  <c r="AF229" i="1"/>
  <c r="AG229" i="1" s="1"/>
  <c r="AI229" i="1" s="1"/>
  <c r="Z229" i="1"/>
  <c r="Z228" i="1"/>
  <c r="AF228" i="1" s="1"/>
  <c r="AF227" i="1"/>
  <c r="AG227" i="1" s="1"/>
  <c r="AI227" i="1" s="1"/>
  <c r="Z227" i="1"/>
  <c r="AF226" i="1"/>
  <c r="Z226" i="1"/>
  <c r="Z225" i="1"/>
  <c r="AG224" i="1"/>
  <c r="AI224" i="1" s="1"/>
  <c r="Z224" i="1"/>
  <c r="AF224" i="1" s="1"/>
  <c r="Z223" i="1"/>
  <c r="Z222" i="1"/>
  <c r="AF221" i="1"/>
  <c r="AG221" i="1" s="1"/>
  <c r="AI221" i="1" s="1"/>
  <c r="Z221" i="1"/>
  <c r="Z220" i="1"/>
  <c r="AF220" i="1" s="1"/>
  <c r="AG219" i="1"/>
  <c r="AI219" i="1" s="1"/>
  <c r="AF219" i="1"/>
  <c r="Z219" i="1"/>
  <c r="Z218" i="1"/>
  <c r="AF217" i="1"/>
  <c r="AG217" i="1" s="1"/>
  <c r="AI217" i="1" s="1"/>
  <c r="Z217" i="1"/>
  <c r="AI216" i="1"/>
  <c r="AG216" i="1"/>
  <c r="Z216" i="1"/>
  <c r="AF216" i="1" s="1"/>
  <c r="AF215" i="1"/>
  <c r="AG215" i="1" s="1"/>
  <c r="AI215" i="1" s="1"/>
  <c r="Z215" i="1"/>
  <c r="AF214" i="1"/>
  <c r="Z214" i="1"/>
  <c r="Z213" i="1"/>
  <c r="AG212" i="1"/>
  <c r="AI212" i="1" s="1"/>
  <c r="Z212" i="1"/>
  <c r="AF212" i="1" s="1"/>
  <c r="AG211" i="1"/>
  <c r="AI211" i="1" s="1"/>
  <c r="Z211" i="1"/>
  <c r="AF211" i="1" s="1"/>
  <c r="Z210" i="1"/>
  <c r="AF210" i="1" s="1"/>
  <c r="AG210" i="1" s="1"/>
  <c r="AI210" i="1" s="1"/>
  <c r="Z209" i="1"/>
  <c r="AF208" i="1"/>
  <c r="AG208" i="1" s="1"/>
  <c r="AI208" i="1" s="1"/>
  <c r="Z208" i="1"/>
  <c r="Z207" i="1"/>
  <c r="AF207" i="1" s="1"/>
  <c r="AG207" i="1" s="1"/>
  <c r="AI207" i="1" s="1"/>
  <c r="Z206" i="1"/>
  <c r="AF206" i="1" s="1"/>
  <c r="AG206" i="1" s="1"/>
  <c r="AI206" i="1" s="1"/>
  <c r="Z205" i="1"/>
  <c r="AF204" i="1"/>
  <c r="AG204" i="1" s="1"/>
  <c r="AI204" i="1" s="1"/>
  <c r="Z204" i="1"/>
  <c r="Z203" i="1"/>
  <c r="AF203" i="1" s="1"/>
  <c r="AG203" i="1" s="1"/>
  <c r="AI203" i="1" s="1"/>
  <c r="Z202" i="1"/>
  <c r="AF202" i="1" s="1"/>
  <c r="AG202" i="1" s="1"/>
  <c r="AI202" i="1" s="1"/>
  <c r="Z201" i="1"/>
  <c r="AF200" i="1"/>
  <c r="AG200" i="1" s="1"/>
  <c r="AI200" i="1" s="1"/>
  <c r="Z200" i="1"/>
  <c r="AI199" i="1"/>
  <c r="AG199" i="1"/>
  <c r="Z199" i="1"/>
  <c r="AF199" i="1" s="1"/>
  <c r="Z198" i="1"/>
  <c r="AF198" i="1" s="1"/>
  <c r="AG198" i="1" s="1"/>
  <c r="AI198" i="1" s="1"/>
  <c r="Z197" i="1"/>
  <c r="AF196" i="1"/>
  <c r="AG196" i="1" s="1"/>
  <c r="AI196" i="1" s="1"/>
  <c r="Z196" i="1"/>
  <c r="Z195" i="1"/>
  <c r="AF195" i="1" s="1"/>
  <c r="AG195" i="1" s="1"/>
  <c r="AI195" i="1" s="1"/>
  <c r="Z194" i="1"/>
  <c r="AF194" i="1" s="1"/>
  <c r="AG194" i="1" s="1"/>
  <c r="AI194" i="1" s="1"/>
  <c r="Z193" i="1"/>
  <c r="AF192" i="1"/>
  <c r="AG192" i="1" s="1"/>
  <c r="AI192" i="1" s="1"/>
  <c r="Z192" i="1"/>
  <c r="AG191" i="1"/>
  <c r="AI191" i="1" s="1"/>
  <c r="Z191" i="1"/>
  <c r="AF191" i="1" s="1"/>
  <c r="Z190" i="1"/>
  <c r="AF190" i="1" s="1"/>
  <c r="AG190" i="1" s="1"/>
  <c r="AI190" i="1" s="1"/>
  <c r="Z189" i="1"/>
  <c r="AF188" i="1"/>
  <c r="AG188" i="1" s="1"/>
  <c r="AI188" i="1" s="1"/>
  <c r="Z188" i="1"/>
  <c r="AG187" i="1"/>
  <c r="AI187" i="1" s="1"/>
  <c r="Z187" i="1"/>
  <c r="AF187" i="1" s="1"/>
  <c r="Z186" i="1"/>
  <c r="AF186" i="1" s="1"/>
  <c r="AG186" i="1" s="1"/>
  <c r="AI186" i="1" s="1"/>
  <c r="Z185" i="1"/>
  <c r="AF184" i="1"/>
  <c r="AG184" i="1" s="1"/>
  <c r="AI184" i="1" s="1"/>
  <c r="Z184" i="1"/>
  <c r="Z183" i="1"/>
  <c r="AF183" i="1" s="1"/>
  <c r="AG183" i="1" s="1"/>
  <c r="AI183" i="1" s="1"/>
  <c r="Z182" i="1"/>
  <c r="AF182" i="1" s="1"/>
  <c r="AG182" i="1" s="1"/>
  <c r="AI182" i="1" s="1"/>
  <c r="Z181" i="1"/>
  <c r="AF180" i="1"/>
  <c r="AG180" i="1" s="1"/>
  <c r="AI180" i="1" s="1"/>
  <c r="Z180" i="1"/>
  <c r="Z179" i="1"/>
  <c r="AF179" i="1" s="1"/>
  <c r="AG179" i="1" s="1"/>
  <c r="AI179" i="1" s="1"/>
  <c r="Z178" i="1"/>
  <c r="AF178" i="1" s="1"/>
  <c r="AG178" i="1" s="1"/>
  <c r="AI178" i="1" s="1"/>
  <c r="Z177" i="1"/>
  <c r="AF176" i="1"/>
  <c r="AG176" i="1" s="1"/>
  <c r="AI176" i="1" s="1"/>
  <c r="Z176" i="1"/>
  <c r="Z175" i="1"/>
  <c r="AF175" i="1" s="1"/>
  <c r="AG175" i="1" s="1"/>
  <c r="AI175" i="1" s="1"/>
  <c r="Z174" i="1"/>
  <c r="AF174" i="1" s="1"/>
  <c r="AG174" i="1" s="1"/>
  <c r="AI174" i="1" s="1"/>
  <c r="Z173" i="1"/>
  <c r="AF172" i="1"/>
  <c r="AG172" i="1" s="1"/>
  <c r="AI172" i="1" s="1"/>
  <c r="Z172" i="1"/>
  <c r="AI171" i="1"/>
  <c r="AG171" i="1"/>
  <c r="Z171" i="1"/>
  <c r="AF171" i="1" s="1"/>
  <c r="Z170" i="1"/>
  <c r="AF170" i="1" s="1"/>
  <c r="AG170" i="1" s="1"/>
  <c r="AI170" i="1" s="1"/>
  <c r="Z169" i="1"/>
  <c r="AF168" i="1"/>
  <c r="AG168" i="1" s="1"/>
  <c r="AI168" i="1" s="1"/>
  <c r="Z168" i="1"/>
  <c r="AG167" i="1"/>
  <c r="AI167" i="1" s="1"/>
  <c r="Z167" i="1"/>
  <c r="AF167" i="1" s="1"/>
  <c r="Z166" i="1"/>
  <c r="AF166" i="1" s="1"/>
  <c r="AG166" i="1" s="1"/>
  <c r="AI166" i="1" s="1"/>
  <c r="Z165" i="1"/>
  <c r="AF164" i="1"/>
  <c r="AG164" i="1" s="1"/>
  <c r="AI164" i="1" s="1"/>
  <c r="Z164" i="1"/>
  <c r="AI163" i="1"/>
  <c r="AG163" i="1"/>
  <c r="Z163" i="1"/>
  <c r="AF163" i="1" s="1"/>
  <c r="Z162" i="1"/>
  <c r="AF162" i="1" s="1"/>
  <c r="AG162" i="1" s="1"/>
  <c r="AI162" i="1" s="1"/>
  <c r="Z161" i="1"/>
  <c r="AF160" i="1"/>
  <c r="AG160" i="1" s="1"/>
  <c r="AI160" i="1" s="1"/>
  <c r="Z160" i="1"/>
  <c r="Z159" i="1"/>
  <c r="AF159" i="1" s="1"/>
  <c r="AG159" i="1" s="1"/>
  <c r="AI159" i="1" s="1"/>
  <c r="Z158" i="1"/>
  <c r="AF158" i="1" s="1"/>
  <c r="AG158" i="1" s="1"/>
  <c r="AI158" i="1" s="1"/>
  <c r="Z157" i="1"/>
  <c r="AF156" i="1"/>
  <c r="AG156" i="1" s="1"/>
  <c r="AI156" i="1" s="1"/>
  <c r="Z156" i="1"/>
  <c r="Z155" i="1"/>
  <c r="AF155" i="1" s="1"/>
  <c r="AG155" i="1" s="1"/>
  <c r="AI155" i="1" s="1"/>
  <c r="Z154" i="1"/>
  <c r="AF154" i="1" s="1"/>
  <c r="AG154" i="1" s="1"/>
  <c r="AI154" i="1" s="1"/>
  <c r="Z153" i="1"/>
  <c r="AF152" i="1"/>
  <c r="AG152" i="1" s="1"/>
  <c r="AI152" i="1" s="1"/>
  <c r="Z152" i="1"/>
  <c r="Z151" i="1"/>
  <c r="AF151" i="1" s="1"/>
  <c r="AG151" i="1" s="1"/>
  <c r="AI151" i="1" s="1"/>
  <c r="Z150" i="1"/>
  <c r="AF150" i="1" s="1"/>
  <c r="AG150" i="1" s="1"/>
  <c r="AI150" i="1" s="1"/>
  <c r="Z149" i="1"/>
  <c r="AF148" i="1"/>
  <c r="AG148" i="1" s="1"/>
  <c r="AI148" i="1" s="1"/>
  <c r="Z148" i="1"/>
  <c r="AG147" i="1"/>
  <c r="AI147" i="1" s="1"/>
  <c r="Z147" i="1"/>
  <c r="AF147" i="1" s="1"/>
  <c r="Z146" i="1"/>
  <c r="AF146" i="1" s="1"/>
  <c r="AG146" i="1" s="1"/>
  <c r="AI146" i="1" s="1"/>
  <c r="Z145" i="1"/>
  <c r="AF144" i="1"/>
  <c r="AG144" i="1" s="1"/>
  <c r="AI144" i="1" s="1"/>
  <c r="Z144" i="1"/>
  <c r="Z143" i="1"/>
  <c r="AF143" i="1" s="1"/>
  <c r="AG143" i="1" s="1"/>
  <c r="AI143" i="1" s="1"/>
  <c r="Z142" i="1"/>
  <c r="AF142" i="1" s="1"/>
  <c r="AG142" i="1" s="1"/>
  <c r="AI142" i="1" s="1"/>
  <c r="Z141" i="1"/>
  <c r="AF140" i="1"/>
  <c r="AG140" i="1" s="1"/>
  <c r="AI140" i="1" s="1"/>
  <c r="Z140" i="1"/>
  <c r="Z139" i="1"/>
  <c r="AF139" i="1" s="1"/>
  <c r="AG139" i="1" s="1"/>
  <c r="AI139" i="1" s="1"/>
  <c r="Z138" i="1"/>
  <c r="AF138" i="1" s="1"/>
  <c r="AG138" i="1" s="1"/>
  <c r="AI138" i="1" s="1"/>
  <c r="Z137" i="1"/>
  <c r="AF136" i="1"/>
  <c r="AG136" i="1" s="1"/>
  <c r="AI136" i="1" s="1"/>
  <c r="Z136" i="1"/>
  <c r="AI135" i="1"/>
  <c r="AG135" i="1"/>
  <c r="Z135" i="1"/>
  <c r="AF135" i="1" s="1"/>
  <c r="Z134" i="1"/>
  <c r="AF134" i="1" s="1"/>
  <c r="AG134" i="1" s="1"/>
  <c r="AI134" i="1" s="1"/>
  <c r="Z133" i="1"/>
  <c r="AF132" i="1"/>
  <c r="AG132" i="1" s="1"/>
  <c r="AI132" i="1" s="1"/>
  <c r="Z132" i="1"/>
  <c r="Z131" i="1"/>
  <c r="AF131" i="1" s="1"/>
  <c r="AG131" i="1" s="1"/>
  <c r="AI131" i="1" s="1"/>
  <c r="Z130" i="1"/>
  <c r="AF130" i="1" s="1"/>
  <c r="AG130" i="1" s="1"/>
  <c r="AI130" i="1" s="1"/>
  <c r="Z129" i="1"/>
  <c r="AF128" i="1"/>
  <c r="AG128" i="1" s="1"/>
  <c r="AI128" i="1" s="1"/>
  <c r="Z128" i="1"/>
  <c r="AG127" i="1"/>
  <c r="AI127" i="1" s="1"/>
  <c r="Z127" i="1"/>
  <c r="AF127" i="1" s="1"/>
  <c r="Z126" i="1"/>
  <c r="AF126" i="1" s="1"/>
  <c r="AG126" i="1" s="1"/>
  <c r="AI126" i="1" s="1"/>
  <c r="Z125" i="1"/>
  <c r="AF124" i="1"/>
  <c r="AG124" i="1" s="1"/>
  <c r="AI124" i="1" s="1"/>
  <c r="Z124" i="1"/>
  <c r="AG123" i="1"/>
  <c r="AI123" i="1" s="1"/>
  <c r="Z123" i="1"/>
  <c r="AF123" i="1" s="1"/>
  <c r="Z122" i="1"/>
  <c r="AF122" i="1" s="1"/>
  <c r="AG122" i="1" s="1"/>
  <c r="AI122" i="1" s="1"/>
  <c r="Z121" i="1"/>
  <c r="AF120" i="1"/>
  <c r="AG120" i="1" s="1"/>
  <c r="AI120" i="1" s="1"/>
  <c r="Z120" i="1"/>
  <c r="Z119" i="1"/>
  <c r="AF119" i="1" s="1"/>
  <c r="AG119" i="1" s="1"/>
  <c r="AI119" i="1" s="1"/>
  <c r="AG118" i="1"/>
  <c r="AI118" i="1" s="1"/>
  <c r="Z118" i="1"/>
  <c r="AF118" i="1" s="1"/>
  <c r="Z117" i="1"/>
  <c r="AF116" i="1"/>
  <c r="AG116" i="1" s="1"/>
  <c r="AI116" i="1" s="1"/>
  <c r="Z116" i="1"/>
  <c r="Z115" i="1"/>
  <c r="AF115" i="1" s="1"/>
  <c r="AG115" i="1" s="1"/>
  <c r="AI115" i="1" s="1"/>
  <c r="Z114" i="1"/>
  <c r="AF114" i="1" s="1"/>
  <c r="AG114" i="1" s="1"/>
  <c r="AI114" i="1" s="1"/>
  <c r="Z113" i="1"/>
  <c r="AF112" i="1"/>
  <c r="AG112" i="1" s="1"/>
  <c r="AI112" i="1" s="1"/>
  <c r="Z112" i="1"/>
  <c r="Z111" i="1"/>
  <c r="AF111" i="1" s="1"/>
  <c r="AG111" i="1" s="1"/>
  <c r="AI111" i="1" s="1"/>
  <c r="AG110" i="1"/>
  <c r="AI110" i="1" s="1"/>
  <c r="Z110" i="1"/>
  <c r="AF110" i="1" s="1"/>
  <c r="Z109" i="1"/>
  <c r="AF108" i="1"/>
  <c r="AG108" i="1" s="1"/>
  <c r="AI108" i="1" s="1"/>
  <c r="Z108" i="1"/>
  <c r="Z107" i="1"/>
  <c r="AF107" i="1" s="1"/>
  <c r="AG107" i="1" s="1"/>
  <c r="AI107" i="1" s="1"/>
  <c r="AG106" i="1"/>
  <c r="AI106" i="1" s="1"/>
  <c r="Z106" i="1"/>
  <c r="AF106" i="1" s="1"/>
  <c r="AE105" i="1"/>
  <c r="Z105" i="1"/>
  <c r="Z104" i="1"/>
  <c r="AF104" i="1" s="1"/>
  <c r="Z103" i="1"/>
  <c r="AI102" i="1"/>
  <c r="AF102" i="1"/>
  <c r="AG102" i="1" s="1"/>
  <c r="Z102" i="1"/>
  <c r="Z101" i="1"/>
  <c r="Z100" i="1"/>
  <c r="AF100" i="1" s="1"/>
  <c r="Z99" i="1"/>
  <c r="AF98" i="1"/>
  <c r="AG98" i="1" s="1"/>
  <c r="AI98" i="1" s="1"/>
  <c r="Z98" i="1"/>
  <c r="Z97" i="1"/>
  <c r="AF96" i="1"/>
  <c r="AG96" i="1" s="1"/>
  <c r="AI96" i="1" s="1"/>
  <c r="Z96" i="1"/>
  <c r="Z95" i="1"/>
  <c r="AF94" i="1"/>
  <c r="AG94" i="1" s="1"/>
  <c r="AI94" i="1" s="1"/>
  <c r="Z94" i="1"/>
  <c r="Z93" i="1"/>
  <c r="Z92" i="1"/>
  <c r="Z91" i="1"/>
  <c r="AI90" i="1"/>
  <c r="AF90" i="1"/>
  <c r="AG90" i="1" s="1"/>
  <c r="Z90" i="1"/>
  <c r="Z89" i="1"/>
  <c r="AF89" i="1" s="1"/>
  <c r="AG89" i="1" s="1"/>
  <c r="AI89" i="1" s="1"/>
  <c r="Z88" i="1"/>
  <c r="AF88" i="1" s="1"/>
  <c r="AG88" i="1" s="1"/>
  <c r="AI88" i="1" s="1"/>
  <c r="Z87" i="1"/>
  <c r="AG86" i="1"/>
  <c r="AI86" i="1" s="1"/>
  <c r="AF86" i="1"/>
  <c r="Z86" i="1"/>
  <c r="Z85" i="1"/>
  <c r="AF85" i="1" s="1"/>
  <c r="AG85" i="1" s="1"/>
  <c r="AI85" i="1" s="1"/>
  <c r="Z84" i="1"/>
  <c r="Z83" i="1"/>
  <c r="AG82" i="1"/>
  <c r="AI82" i="1" s="1"/>
  <c r="AF82" i="1"/>
  <c r="Z82" i="1"/>
  <c r="Z81" i="1"/>
  <c r="AF81" i="1" s="1"/>
  <c r="AG81" i="1" s="1"/>
  <c r="AI81" i="1" s="1"/>
  <c r="AF80" i="1"/>
  <c r="AG80" i="1" s="1"/>
  <c r="AI80" i="1" s="1"/>
  <c r="Z80" i="1"/>
  <c r="Z79" i="1"/>
  <c r="AG78" i="1"/>
  <c r="AI78" i="1" s="1"/>
  <c r="AF78" i="1"/>
  <c r="Z78" i="1"/>
  <c r="Z77" i="1"/>
  <c r="Z76" i="1"/>
  <c r="Z75" i="1"/>
  <c r="AF74" i="1"/>
  <c r="AG74" i="1" s="1"/>
  <c r="AI74" i="1" s="1"/>
  <c r="Z74" i="1"/>
  <c r="Z73" i="1"/>
  <c r="AF73" i="1" s="1"/>
  <c r="AG73" i="1" s="1"/>
  <c r="AI73" i="1" s="1"/>
  <c r="Z72" i="1"/>
  <c r="Z71" i="1"/>
  <c r="AF70" i="1"/>
  <c r="AG70" i="1" s="1"/>
  <c r="AI70" i="1" s="1"/>
  <c r="Z70" i="1"/>
  <c r="Z69" i="1"/>
  <c r="Z68" i="1"/>
  <c r="Z67" i="1"/>
  <c r="AF66" i="1"/>
  <c r="AG66" i="1" s="1"/>
  <c r="AI66" i="1" s="1"/>
  <c r="Z66" i="1"/>
  <c r="AF65" i="1"/>
  <c r="AG65" i="1" s="1"/>
  <c r="AI65" i="1" s="1"/>
  <c r="Z65" i="1"/>
  <c r="Z64" i="1"/>
  <c r="Z63" i="1"/>
  <c r="AF62" i="1"/>
  <c r="AG62" i="1" s="1"/>
  <c r="AI62" i="1" s="1"/>
  <c r="Z62" i="1"/>
  <c r="Z61" i="1"/>
  <c r="AG60" i="1"/>
  <c r="AI60" i="1" s="1"/>
  <c r="AF60" i="1"/>
  <c r="Z60" i="1"/>
  <c r="Z59" i="1"/>
  <c r="AG58" i="1"/>
  <c r="AI58" i="1" s="1"/>
  <c r="AF58" i="1"/>
  <c r="Z58" i="1"/>
  <c r="Z57" i="1"/>
  <c r="Z56" i="1"/>
  <c r="Z55" i="1"/>
  <c r="AF54" i="1"/>
  <c r="AG54" i="1" s="1"/>
  <c r="AI54" i="1" s="1"/>
  <c r="Z54" i="1"/>
  <c r="Z53" i="1"/>
  <c r="AF52" i="1"/>
  <c r="AG52" i="1" s="1"/>
  <c r="AI52" i="1" s="1"/>
  <c r="Z52" i="1"/>
  <c r="Z51" i="1"/>
  <c r="AG50" i="1"/>
  <c r="AI50" i="1" s="1"/>
  <c r="AF50" i="1"/>
  <c r="Z50" i="1"/>
  <c r="AF49" i="1"/>
  <c r="Z49" i="1"/>
  <c r="AG49" i="1" s="1"/>
  <c r="AI49" i="1" s="1"/>
  <c r="AF48" i="1"/>
  <c r="AG48" i="1" s="1"/>
  <c r="AI48" i="1" s="1"/>
  <c r="Z48" i="1"/>
  <c r="Z47" i="1"/>
  <c r="AF46" i="1"/>
  <c r="AG46" i="1" s="1"/>
  <c r="AI46" i="1" s="1"/>
  <c r="Z46" i="1"/>
  <c r="AG45" i="1"/>
  <c r="AI45" i="1" s="1"/>
  <c r="AF45" i="1"/>
  <c r="Z45" i="1"/>
  <c r="Z44" i="1"/>
  <c r="Z43" i="1"/>
  <c r="AF42" i="1"/>
  <c r="AG42" i="1" s="1"/>
  <c r="AI42" i="1" s="1"/>
  <c r="Z42" i="1"/>
  <c r="AF41" i="1"/>
  <c r="Z41" i="1"/>
  <c r="AG41" i="1" s="1"/>
  <c r="AI41" i="1" s="1"/>
  <c r="Z40" i="1"/>
  <c r="AF40" i="1" s="1"/>
  <c r="AG40" i="1" s="1"/>
  <c r="AI40" i="1" s="1"/>
  <c r="Z39" i="1"/>
  <c r="AF38" i="1"/>
  <c r="AG38" i="1" s="1"/>
  <c r="AI38" i="1" s="1"/>
  <c r="Z38" i="1"/>
  <c r="AF37" i="1"/>
  <c r="AG37" i="1" s="1"/>
  <c r="AI37" i="1" s="1"/>
  <c r="Z37" i="1"/>
  <c r="Z36" i="1"/>
  <c r="Z35" i="1"/>
  <c r="AF34" i="1"/>
  <c r="AG34" i="1" s="1"/>
  <c r="AI34" i="1" s="1"/>
  <c r="Z34" i="1"/>
  <c r="AF33" i="1"/>
  <c r="AG33" i="1" s="1"/>
  <c r="AI33" i="1" s="1"/>
  <c r="Z33" i="1"/>
  <c r="Z32" i="1"/>
  <c r="AF32" i="1" s="1"/>
  <c r="AG32" i="1" s="1"/>
  <c r="AI32" i="1" s="1"/>
  <c r="Z31" i="1"/>
  <c r="AI30" i="1"/>
  <c r="AG30" i="1"/>
  <c r="AF30" i="1"/>
  <c r="Z30" i="1"/>
  <c r="Z29" i="1"/>
  <c r="Z28" i="1"/>
  <c r="Z27" i="1"/>
  <c r="AF26" i="1"/>
  <c r="AG26" i="1" s="1"/>
  <c r="AI26" i="1" s="1"/>
  <c r="Z26" i="1"/>
  <c r="Z25" i="1"/>
  <c r="AF25" i="1" s="1"/>
  <c r="AG25" i="1" s="1"/>
  <c r="AI25" i="1" s="1"/>
  <c r="AF24" i="1"/>
  <c r="AG24" i="1" s="1"/>
  <c r="AI24" i="1" s="1"/>
  <c r="Z24" i="1"/>
  <c r="Z23" i="1"/>
  <c r="AG22" i="1"/>
  <c r="AI22" i="1" s="1"/>
  <c r="AF22" i="1"/>
  <c r="Z22" i="1"/>
  <c r="AF21" i="1"/>
  <c r="AG21" i="1" s="1"/>
  <c r="AI21" i="1" s="1"/>
  <c r="Z21" i="1"/>
  <c r="Z20" i="1"/>
  <c r="Z19" i="1"/>
  <c r="AG18" i="1"/>
  <c r="AI18" i="1" s="1"/>
  <c r="AF18" i="1"/>
  <c r="Z18" i="1"/>
  <c r="Z17" i="1"/>
  <c r="AF17" i="1" s="1"/>
  <c r="AG17" i="1" s="1"/>
  <c r="AI17" i="1" s="1"/>
  <c r="AG16" i="1"/>
  <c r="AI16" i="1" s="1"/>
  <c r="AF16" i="1"/>
  <c r="Z16" i="1"/>
  <c r="Z15" i="1"/>
  <c r="AF14" i="1"/>
  <c r="AG14" i="1" s="1"/>
  <c r="AI14" i="1" s="1"/>
  <c r="Z14" i="1"/>
  <c r="Z13" i="1"/>
  <c r="Z12" i="1"/>
  <c r="Z11" i="1"/>
  <c r="AF10" i="1"/>
  <c r="AG10" i="1" s="1"/>
  <c r="AI10" i="1" s="1"/>
  <c r="Z10" i="1"/>
  <c r="AF9" i="1"/>
  <c r="AG9" i="1" s="1"/>
  <c r="AI9" i="1" s="1"/>
  <c r="Z9" i="1"/>
  <c r="Z8" i="1"/>
  <c r="Z7" i="1"/>
  <c r="AG6" i="1"/>
  <c r="AI6" i="1" s="1"/>
  <c r="AF6" i="1"/>
  <c r="Z6" i="1"/>
  <c r="Z5" i="1"/>
  <c r="Z4" i="1"/>
  <c r="Z3" i="1"/>
  <c r="Z2" i="1"/>
  <c r="AG28" i="1" l="1"/>
  <c r="AI28" i="1" s="1"/>
  <c r="AG68" i="1"/>
  <c r="AI68" i="1" s="1"/>
  <c r="AF3" i="1"/>
  <c r="AG3" i="1" s="1"/>
  <c r="AI3" i="1" s="1"/>
  <c r="AF8" i="1"/>
  <c r="AG8" i="1" s="1"/>
  <c r="AI8" i="1" s="1"/>
  <c r="AF57" i="1"/>
  <c r="AG57" i="1" s="1"/>
  <c r="AI57" i="1" s="1"/>
  <c r="AG67" i="1"/>
  <c r="AI67" i="1" s="1"/>
  <c r="AF67" i="1"/>
  <c r="AF72" i="1"/>
  <c r="AG72" i="1" s="1"/>
  <c r="AI72" i="1" s="1"/>
  <c r="AF92" i="1"/>
  <c r="AG92" i="1" s="1"/>
  <c r="AI92" i="1" s="1"/>
  <c r="AF320" i="1"/>
  <c r="AG320" i="1" s="1"/>
  <c r="AI320" i="1" s="1"/>
  <c r="AF1712" i="1"/>
  <c r="AG1712" i="1" s="1"/>
  <c r="AI1712" i="1" s="1"/>
  <c r="AG1856" i="1"/>
  <c r="AI1856" i="1" s="1"/>
  <c r="AF13" i="1"/>
  <c r="AG13" i="1" s="1"/>
  <c r="AI13" i="1" s="1"/>
  <c r="AF23" i="1"/>
  <c r="AG23" i="1" s="1"/>
  <c r="AI23" i="1" s="1"/>
  <c r="AF28" i="1"/>
  <c r="AF77" i="1"/>
  <c r="AG77" i="1" s="1"/>
  <c r="AI77" i="1" s="1"/>
  <c r="AF87" i="1"/>
  <c r="AG87" i="1" s="1"/>
  <c r="AI87" i="1" s="1"/>
  <c r="AF99" i="1"/>
  <c r="AG99" i="1" s="1"/>
  <c r="AI99" i="1" s="1"/>
  <c r="AF241" i="1"/>
  <c r="AG241" i="1" s="1"/>
  <c r="AI241" i="1" s="1"/>
  <c r="AG271" i="1"/>
  <c r="AI271" i="1" s="1"/>
  <c r="AF271" i="1"/>
  <c r="AG299" i="1"/>
  <c r="AI299" i="1" s="1"/>
  <c r="AG43" i="1"/>
  <c r="AI43" i="1" s="1"/>
  <c r="AF43" i="1"/>
  <c r="AF310" i="1"/>
  <c r="AG310" i="1" s="1"/>
  <c r="AI310" i="1" s="1"/>
  <c r="AF487" i="1"/>
  <c r="AG487" i="1" s="1"/>
  <c r="AI487" i="1" s="1"/>
  <c r="AF4" i="1"/>
  <c r="AG4" i="1" s="1"/>
  <c r="AI4" i="1" s="1"/>
  <c r="AF53" i="1"/>
  <c r="AG53" i="1" s="1"/>
  <c r="AI53" i="1" s="1"/>
  <c r="AF63" i="1"/>
  <c r="AG63" i="1" s="1"/>
  <c r="AI63" i="1" s="1"/>
  <c r="AF68" i="1"/>
  <c r="AG93" i="1"/>
  <c r="AI93" i="1" s="1"/>
  <c r="AF93" i="1"/>
  <c r="AG300" i="1"/>
  <c r="AI300" i="1" s="1"/>
  <c r="AG439" i="1"/>
  <c r="AI439" i="1" s="1"/>
  <c r="AF451" i="1"/>
  <c r="AG451" i="1" s="1"/>
  <c r="AI451" i="1" s="1"/>
  <c r="AF810" i="1"/>
  <c r="AG810" i="1" s="1"/>
  <c r="AI810" i="1" s="1"/>
  <c r="AF19" i="1"/>
  <c r="AG19" i="1" s="1"/>
  <c r="AI19" i="1" s="1"/>
  <c r="AF83" i="1"/>
  <c r="AG83" i="1" s="1"/>
  <c r="AI83" i="1" s="1"/>
  <c r="AG100" i="1"/>
  <c r="AI100" i="1" s="1"/>
  <c r="AF290" i="1"/>
  <c r="AG290" i="1" s="1"/>
  <c r="AI290" i="1" s="1"/>
  <c r="AG369" i="1"/>
  <c r="AI369" i="1" s="1"/>
  <c r="AF464" i="1"/>
  <c r="AG464" i="1"/>
  <c r="AI464" i="1" s="1"/>
  <c r="AF29" i="1"/>
  <c r="AG29" i="1" s="1"/>
  <c r="AI29" i="1" s="1"/>
  <c r="AF39" i="1"/>
  <c r="AG39" i="1" s="1"/>
  <c r="AI39" i="1" s="1"/>
  <c r="AF44" i="1"/>
  <c r="AG44" i="1" s="1"/>
  <c r="AI44" i="1" s="1"/>
  <c r="AG205" i="1"/>
  <c r="AI205" i="1" s="1"/>
  <c r="AF59" i="1"/>
  <c r="AG59" i="1" s="1"/>
  <c r="AI59" i="1" s="1"/>
  <c r="AF64" i="1"/>
  <c r="AG64" i="1" s="1"/>
  <c r="AI64" i="1" s="1"/>
  <c r="AG101" i="1"/>
  <c r="AI101" i="1" s="1"/>
  <c r="AF101" i="1"/>
  <c r="AF256" i="1"/>
  <c r="AG256" i="1"/>
  <c r="AI256" i="1" s="1"/>
  <c r="AG379" i="1"/>
  <c r="AI379" i="1" s="1"/>
  <c r="AF503" i="1"/>
  <c r="AG503" i="1" s="1"/>
  <c r="AI503" i="1" s="1"/>
  <c r="AF687" i="1"/>
  <c r="AG687" i="1" s="1"/>
  <c r="AI687" i="1" s="1"/>
  <c r="AG374" i="1"/>
  <c r="AI374" i="1" s="1"/>
  <c r="AF374" i="1"/>
  <c r="AF5" i="1"/>
  <c r="AG5" i="1" s="1"/>
  <c r="AI5" i="1" s="1"/>
  <c r="AF15" i="1"/>
  <c r="AG15" i="1" s="1"/>
  <c r="AI15" i="1" s="1"/>
  <c r="AF20" i="1"/>
  <c r="AG20" i="1" s="1"/>
  <c r="AI20" i="1" s="1"/>
  <c r="AF69" i="1"/>
  <c r="AG69" i="1" s="1"/>
  <c r="AI69" i="1" s="1"/>
  <c r="AF79" i="1"/>
  <c r="AG79" i="1" s="1"/>
  <c r="AI79" i="1" s="1"/>
  <c r="AF84" i="1"/>
  <c r="AG84" i="1" s="1"/>
  <c r="AI84" i="1" s="1"/>
  <c r="AG95" i="1"/>
  <c r="AI95" i="1" s="1"/>
  <c r="AF95" i="1"/>
  <c r="AF379" i="1"/>
  <c r="AF389" i="1"/>
  <c r="AG389" i="1" s="1"/>
  <c r="AI389" i="1" s="1"/>
  <c r="AF478" i="1"/>
  <c r="AG478" i="1" s="1"/>
  <c r="AI478" i="1" s="1"/>
  <c r="AF649" i="1"/>
  <c r="AG649" i="1"/>
  <c r="AI649" i="1" s="1"/>
  <c r="AF658" i="1"/>
  <c r="AG658" i="1" s="1"/>
  <c r="AI658" i="1" s="1"/>
  <c r="AG667" i="1"/>
  <c r="AI667" i="1" s="1"/>
  <c r="AF667" i="1"/>
  <c r="AF47" i="1"/>
  <c r="AG47" i="1" s="1"/>
  <c r="AI47" i="1" s="1"/>
  <c r="AF35" i="1"/>
  <c r="AG35" i="1" s="1"/>
  <c r="AI35" i="1" s="1"/>
  <c r="AF246" i="1"/>
  <c r="AG246" i="1" s="1"/>
  <c r="AI246" i="1" s="1"/>
  <c r="AF315" i="1"/>
  <c r="AG315" i="1" s="1"/>
  <c r="AI315" i="1" s="1"/>
  <c r="AF325" i="1"/>
  <c r="AG325" i="1" s="1"/>
  <c r="AI325" i="1" s="1"/>
  <c r="AG415" i="1"/>
  <c r="AI415" i="1" s="1"/>
  <c r="AF479" i="1"/>
  <c r="AG479" i="1"/>
  <c r="AI479" i="1" s="1"/>
  <c r="AG55" i="1"/>
  <c r="AI55" i="1" s="1"/>
  <c r="AF55" i="1"/>
  <c r="AG305" i="1"/>
  <c r="AI305" i="1" s="1"/>
  <c r="AF11" i="1"/>
  <c r="AG11" i="1" s="1"/>
  <c r="AI11" i="1" s="1"/>
  <c r="AG75" i="1"/>
  <c r="AI75" i="1" s="1"/>
  <c r="AF75" i="1"/>
  <c r="AG103" i="1"/>
  <c r="AI103" i="1" s="1"/>
  <c r="AG226" i="1"/>
  <c r="AI226" i="1" s="1"/>
  <c r="AG399" i="1"/>
  <c r="AI399" i="1" s="1"/>
  <c r="AF399" i="1"/>
  <c r="AF31" i="1"/>
  <c r="AG31" i="1" s="1"/>
  <c r="AI31" i="1" s="1"/>
  <c r="AF36" i="1"/>
  <c r="AG36" i="1" s="1"/>
  <c r="AI36" i="1" s="1"/>
  <c r="AG335" i="1"/>
  <c r="AI335" i="1" s="1"/>
  <c r="AF335" i="1"/>
  <c r="AG417" i="1"/>
  <c r="AI417" i="1" s="1"/>
  <c r="AG445" i="1"/>
  <c r="AI445" i="1" s="1"/>
  <c r="AF445" i="1"/>
  <c r="AF51" i="1"/>
  <c r="AG51" i="1" s="1"/>
  <c r="AI51" i="1" s="1"/>
  <c r="AF56" i="1"/>
  <c r="AG56" i="1" s="1"/>
  <c r="AI56" i="1" s="1"/>
  <c r="AG418" i="1"/>
  <c r="AI418" i="1" s="1"/>
  <c r="AF495" i="1"/>
  <c r="AG495" i="1"/>
  <c r="AI495" i="1" s="1"/>
  <c r="AF2" i="1"/>
  <c r="AG2" i="1" s="1"/>
  <c r="AI2" i="1" s="1"/>
  <c r="AG7" i="1"/>
  <c r="AI7" i="1" s="1"/>
  <c r="AF7" i="1"/>
  <c r="AF12" i="1"/>
  <c r="AG12" i="1" s="1"/>
  <c r="AI12" i="1" s="1"/>
  <c r="AF61" i="1"/>
  <c r="AG61" i="1" s="1"/>
  <c r="AI61" i="1" s="1"/>
  <c r="AF71" i="1"/>
  <c r="AG71" i="1" s="1"/>
  <c r="AI71" i="1" s="1"/>
  <c r="AF76" i="1"/>
  <c r="AG76" i="1" s="1"/>
  <c r="AI76" i="1" s="1"/>
  <c r="AF91" i="1"/>
  <c r="AG91" i="1" s="1"/>
  <c r="AI91" i="1" s="1"/>
  <c r="AF97" i="1"/>
  <c r="AG97" i="1" s="1"/>
  <c r="AI97" i="1" s="1"/>
  <c r="AG104" i="1"/>
  <c r="AI104" i="1" s="1"/>
  <c r="AG354" i="1"/>
  <c r="AI354" i="1" s="1"/>
  <c r="AG373" i="1"/>
  <c r="AI373" i="1" s="1"/>
  <c r="AF418" i="1"/>
  <c r="AF470" i="1"/>
  <c r="AG470" i="1" s="1"/>
  <c r="AI470" i="1" s="1"/>
  <c r="AF105" i="1"/>
  <c r="AG105" i="1" s="1"/>
  <c r="AI105" i="1" s="1"/>
  <c r="AF384" i="1"/>
  <c r="AG384" i="1" s="1"/>
  <c r="AI384" i="1" s="1"/>
  <c r="AF27" i="1"/>
  <c r="AG27" i="1" s="1"/>
  <c r="AI27" i="1" s="1"/>
  <c r="AG137" i="1"/>
  <c r="AI137" i="1" s="1"/>
  <c r="AF251" i="1"/>
  <c r="AG251" i="1" s="1"/>
  <c r="AI251" i="1" s="1"/>
  <c r="AG261" i="1"/>
  <c r="AI261" i="1" s="1"/>
  <c r="AF261" i="1"/>
  <c r="AF354" i="1"/>
  <c r="AG364" i="1"/>
  <c r="AI364" i="1" s="1"/>
  <c r="AF471" i="1"/>
  <c r="AG471" i="1" s="1"/>
  <c r="AI471" i="1" s="1"/>
  <c r="AF731" i="1"/>
  <c r="AG731" i="1" s="1"/>
  <c r="AI731" i="1" s="1"/>
  <c r="AG266" i="1"/>
  <c r="AI266" i="1" s="1"/>
  <c r="AG330" i="1"/>
  <c r="AI330" i="1" s="1"/>
  <c r="AG394" i="1"/>
  <c r="AI394" i="1" s="1"/>
  <c r="AG434" i="1"/>
  <c r="AI434" i="1" s="1"/>
  <c r="AG521" i="1"/>
  <c r="AI521" i="1" s="1"/>
  <c r="AG574" i="1"/>
  <c r="AI574" i="1" s="1"/>
  <c r="AG677" i="1"/>
  <c r="AI677" i="1" s="1"/>
  <c r="AF677" i="1"/>
  <c r="AG414" i="1"/>
  <c r="AI414" i="1" s="1"/>
  <c r="AG766" i="1"/>
  <c r="AI766" i="1" s="1"/>
  <c r="AF766" i="1"/>
  <c r="AF785" i="1"/>
  <c r="AG785" i="1" s="1"/>
  <c r="AI785" i="1" s="1"/>
  <c r="AG867" i="1"/>
  <c r="AI867" i="1" s="1"/>
  <c r="AF867" i="1"/>
  <c r="AF222" i="1"/>
  <c r="AG222" i="1" s="1"/>
  <c r="AI222" i="1" s="1"/>
  <c r="AG232" i="1"/>
  <c r="AI232" i="1" s="1"/>
  <c r="AF237" i="1"/>
  <c r="AG237" i="1" s="1"/>
  <c r="AI237" i="1" s="1"/>
  <c r="AG242" i="1"/>
  <c r="AI242" i="1" s="1"/>
  <c r="AF247" i="1"/>
  <c r="AG247" i="1" s="1"/>
  <c r="AI247" i="1" s="1"/>
  <c r="AF286" i="1"/>
  <c r="AG286" i="1" s="1"/>
  <c r="AI286" i="1" s="1"/>
  <c r="AG296" i="1"/>
  <c r="AI296" i="1" s="1"/>
  <c r="AF301" i="1"/>
  <c r="AG301" i="1" s="1"/>
  <c r="AI301" i="1" s="1"/>
  <c r="AG306" i="1"/>
  <c r="AI306" i="1" s="1"/>
  <c r="AF311" i="1"/>
  <c r="AG311" i="1" s="1"/>
  <c r="AI311" i="1" s="1"/>
  <c r="AF350" i="1"/>
  <c r="AG350" i="1" s="1"/>
  <c r="AI350" i="1" s="1"/>
  <c r="AG360" i="1"/>
  <c r="AI360" i="1" s="1"/>
  <c r="AG370" i="1"/>
  <c r="AI370" i="1" s="1"/>
  <c r="AF414" i="1"/>
  <c r="AG424" i="1"/>
  <c r="AI424" i="1" s="1"/>
  <c r="AG440" i="1"/>
  <c r="AI440" i="1" s="1"/>
  <c r="AG452" i="1"/>
  <c r="AI452" i="1" s="1"/>
  <c r="AF458" i="1"/>
  <c r="AG458" i="1" s="1"/>
  <c r="AI458" i="1" s="1"/>
  <c r="AG472" i="1"/>
  <c r="AI472" i="1" s="1"/>
  <c r="AG480" i="1"/>
  <c r="AI480" i="1" s="1"/>
  <c r="AG488" i="1"/>
  <c r="AI488" i="1" s="1"/>
  <c r="AG554" i="1"/>
  <c r="AI554" i="1" s="1"/>
  <c r="AF1028" i="1"/>
  <c r="AG1028" i="1" s="1"/>
  <c r="AI1028" i="1" s="1"/>
  <c r="AG446" i="1"/>
  <c r="AI446" i="1" s="1"/>
  <c r="AG565" i="1"/>
  <c r="AI565" i="1" s="1"/>
  <c r="AF741" i="1"/>
  <c r="AG741" i="1" s="1"/>
  <c r="AI741" i="1" s="1"/>
  <c r="AF213" i="1"/>
  <c r="AG213" i="1" s="1"/>
  <c r="AI213" i="1" s="1"/>
  <c r="AF223" i="1"/>
  <c r="AG223" i="1" s="1"/>
  <c r="AI223" i="1" s="1"/>
  <c r="AF262" i="1"/>
  <c r="AG262" i="1" s="1"/>
  <c r="AI262" i="1" s="1"/>
  <c r="AG272" i="1"/>
  <c r="AI272" i="1" s="1"/>
  <c r="AF277" i="1"/>
  <c r="AG277" i="1" s="1"/>
  <c r="AI277" i="1" s="1"/>
  <c r="AF287" i="1"/>
  <c r="AG287" i="1" s="1"/>
  <c r="AI287" i="1" s="1"/>
  <c r="AF326" i="1"/>
  <c r="AG326" i="1" s="1"/>
  <c r="AI326" i="1" s="1"/>
  <c r="AG336" i="1"/>
  <c r="AI336" i="1" s="1"/>
  <c r="AF341" i="1"/>
  <c r="AG341" i="1" s="1"/>
  <c r="AI341" i="1" s="1"/>
  <c r="AF351" i="1"/>
  <c r="AG351" i="1" s="1"/>
  <c r="AI351" i="1" s="1"/>
  <c r="AF390" i="1"/>
  <c r="AG390" i="1" s="1"/>
  <c r="AI390" i="1" s="1"/>
  <c r="AG400" i="1"/>
  <c r="AI400" i="1" s="1"/>
  <c r="AF405" i="1"/>
  <c r="AG405" i="1" s="1"/>
  <c r="AI405" i="1" s="1"/>
  <c r="AF415" i="1"/>
  <c r="AG430" i="1"/>
  <c r="AI430" i="1" s="1"/>
  <c r="AF446" i="1"/>
  <c r="AG459" i="1"/>
  <c r="AI459" i="1" s="1"/>
  <c r="AF473" i="1"/>
  <c r="AG473" i="1" s="1"/>
  <c r="AI473" i="1" s="1"/>
  <c r="AF481" i="1"/>
  <c r="AG481" i="1" s="1"/>
  <c r="AI481" i="1" s="1"/>
  <c r="AG489" i="1"/>
  <c r="AI489" i="1" s="1"/>
  <c r="AF489" i="1"/>
  <c r="AF497" i="1"/>
  <c r="AG497" i="1" s="1"/>
  <c r="AI497" i="1" s="1"/>
  <c r="AF505" i="1"/>
  <c r="AG505" i="1" s="1"/>
  <c r="AI505" i="1" s="1"/>
  <c r="AF751" i="1"/>
  <c r="AG751" i="1" s="1"/>
  <c r="AI751" i="1" s="1"/>
  <c r="AF795" i="1"/>
  <c r="AG795" i="1" s="1"/>
  <c r="AI795" i="1" s="1"/>
  <c r="AF109" i="1"/>
  <c r="AG109" i="1" s="1"/>
  <c r="AI109" i="1" s="1"/>
  <c r="AF113" i="1"/>
  <c r="AG113" i="1" s="1"/>
  <c r="AI113" i="1" s="1"/>
  <c r="AF117" i="1"/>
  <c r="AG117" i="1" s="1"/>
  <c r="AI117" i="1" s="1"/>
  <c r="AF121" i="1"/>
  <c r="AG121" i="1" s="1"/>
  <c r="AI121" i="1" s="1"/>
  <c r="AF125" i="1"/>
  <c r="AG125" i="1" s="1"/>
  <c r="AI125" i="1" s="1"/>
  <c r="AF129" i="1"/>
  <c r="AG129" i="1" s="1"/>
  <c r="AI129" i="1" s="1"/>
  <c r="AF133" i="1"/>
  <c r="AG133" i="1" s="1"/>
  <c r="AI133" i="1" s="1"/>
  <c r="AF137" i="1"/>
  <c r="AF141" i="1"/>
  <c r="AG141" i="1" s="1"/>
  <c r="AI141" i="1" s="1"/>
  <c r="AF145" i="1"/>
  <c r="AG145" i="1" s="1"/>
  <c r="AI145" i="1" s="1"/>
  <c r="AF149" i="1"/>
  <c r="AG149" i="1" s="1"/>
  <c r="AI149" i="1" s="1"/>
  <c r="AF153" i="1"/>
  <c r="AG153" i="1" s="1"/>
  <c r="AI153" i="1" s="1"/>
  <c r="AF157" i="1"/>
  <c r="AG157" i="1" s="1"/>
  <c r="AI157" i="1" s="1"/>
  <c r="AF161" i="1"/>
  <c r="AG161" i="1" s="1"/>
  <c r="AI161" i="1" s="1"/>
  <c r="AF165" i="1"/>
  <c r="AG165" i="1" s="1"/>
  <c r="AI165" i="1" s="1"/>
  <c r="AF169" i="1"/>
  <c r="AG169" i="1" s="1"/>
  <c r="AI169" i="1" s="1"/>
  <c r="AF173" i="1"/>
  <c r="AG173" i="1" s="1"/>
  <c r="AI173" i="1" s="1"/>
  <c r="AF177" i="1"/>
  <c r="AG177" i="1" s="1"/>
  <c r="AI177" i="1" s="1"/>
  <c r="AF181" i="1"/>
  <c r="AG181" i="1" s="1"/>
  <c r="AI181" i="1" s="1"/>
  <c r="AF185" i="1"/>
  <c r="AG185" i="1" s="1"/>
  <c r="AI185" i="1" s="1"/>
  <c r="AF189" i="1"/>
  <c r="AG189" i="1" s="1"/>
  <c r="AI189" i="1" s="1"/>
  <c r="AF193" i="1"/>
  <c r="AG193" i="1" s="1"/>
  <c r="AI193" i="1" s="1"/>
  <c r="AF197" i="1"/>
  <c r="AG197" i="1" s="1"/>
  <c r="AI197" i="1" s="1"/>
  <c r="AF201" i="1"/>
  <c r="AG201" i="1" s="1"/>
  <c r="AI201" i="1" s="1"/>
  <c r="AF205" i="1"/>
  <c r="AF209" i="1"/>
  <c r="AG209" i="1" s="1"/>
  <c r="AI209" i="1" s="1"/>
  <c r="AF218" i="1"/>
  <c r="AG218" i="1" s="1"/>
  <c r="AI218" i="1" s="1"/>
  <c r="AG228" i="1"/>
  <c r="AI228" i="1" s="1"/>
  <c r="AF233" i="1"/>
  <c r="AG233" i="1" s="1"/>
  <c r="AI233" i="1" s="1"/>
  <c r="AF243" i="1"/>
  <c r="AG243" i="1" s="1"/>
  <c r="AI243" i="1" s="1"/>
  <c r="AF282" i="1"/>
  <c r="AG282" i="1" s="1"/>
  <c r="AI282" i="1" s="1"/>
  <c r="AG292" i="1"/>
  <c r="AI292" i="1" s="1"/>
  <c r="AF297" i="1"/>
  <c r="AG297" i="1" s="1"/>
  <c r="AI297" i="1" s="1"/>
  <c r="AG302" i="1"/>
  <c r="AI302" i="1" s="1"/>
  <c r="AF346" i="1"/>
  <c r="AG346" i="1" s="1"/>
  <c r="AI346" i="1" s="1"/>
  <c r="AG356" i="1"/>
  <c r="AI356" i="1" s="1"/>
  <c r="AG366" i="1"/>
  <c r="AI366" i="1" s="1"/>
  <c r="AF410" i="1"/>
  <c r="AG410" i="1" s="1"/>
  <c r="AI410" i="1" s="1"/>
  <c r="AF238" i="1"/>
  <c r="AG238" i="1" s="1"/>
  <c r="AI238" i="1" s="1"/>
  <c r="AG248" i="1"/>
  <c r="AI248" i="1" s="1"/>
  <c r="AF253" i="1"/>
  <c r="AG253" i="1" s="1"/>
  <c r="AI253" i="1" s="1"/>
  <c r="AG258" i="1"/>
  <c r="AI258" i="1" s="1"/>
  <c r="AF263" i="1"/>
  <c r="AG263" i="1" s="1"/>
  <c r="AI263" i="1" s="1"/>
  <c r="AF302" i="1"/>
  <c r="AG312" i="1"/>
  <c r="AI312" i="1" s="1"/>
  <c r="AF317" i="1"/>
  <c r="AG317" i="1" s="1"/>
  <c r="AI317" i="1" s="1"/>
  <c r="AG322" i="1"/>
  <c r="AI322" i="1" s="1"/>
  <c r="AF327" i="1"/>
  <c r="AG327" i="1" s="1"/>
  <c r="AI327" i="1" s="1"/>
  <c r="AF366" i="1"/>
  <c r="AG376" i="1"/>
  <c r="AI376" i="1" s="1"/>
  <c r="AF381" i="1"/>
  <c r="AG381" i="1" s="1"/>
  <c r="AI381" i="1" s="1"/>
  <c r="AG386" i="1"/>
  <c r="AI386" i="1" s="1"/>
  <c r="AF391" i="1"/>
  <c r="AG391" i="1" s="1"/>
  <c r="AI391" i="1" s="1"/>
  <c r="AG436" i="1"/>
  <c r="AI436" i="1" s="1"/>
  <c r="AG447" i="1"/>
  <c r="AI447" i="1" s="1"/>
  <c r="AG460" i="1"/>
  <c r="AI460" i="1" s="1"/>
  <c r="AF466" i="1"/>
  <c r="AG466" i="1" s="1"/>
  <c r="AI466" i="1" s="1"/>
  <c r="AG474" i="1"/>
  <c r="AI474" i="1" s="1"/>
  <c r="AF474" i="1"/>
  <c r="AG482" i="1"/>
  <c r="AI482" i="1" s="1"/>
  <c r="AF482" i="1"/>
  <c r="AF692" i="1"/>
  <c r="AG692" i="1" s="1"/>
  <c r="AI692" i="1" s="1"/>
  <c r="AG214" i="1"/>
  <c r="AI214" i="1" s="1"/>
  <c r="AG278" i="1"/>
  <c r="AI278" i="1" s="1"/>
  <c r="AG342" i="1"/>
  <c r="AI342" i="1" s="1"/>
  <c r="AG406" i="1"/>
  <c r="AI406" i="1" s="1"/>
  <c r="AG454" i="1"/>
  <c r="AI454" i="1" s="1"/>
  <c r="AG682" i="1"/>
  <c r="AI682" i="1" s="1"/>
  <c r="AG805" i="1"/>
  <c r="AI805" i="1" s="1"/>
  <c r="AF805" i="1"/>
  <c r="AG362" i="1"/>
  <c r="AI362" i="1" s="1"/>
  <c r="AG442" i="1"/>
  <c r="AI442" i="1" s="1"/>
  <c r="AG558" i="1"/>
  <c r="AI558" i="1" s="1"/>
  <c r="AG617" i="1"/>
  <c r="AI617" i="1" s="1"/>
  <c r="AG672" i="1"/>
  <c r="AI672" i="1" s="1"/>
  <c r="AF702" i="1"/>
  <c r="AG702" i="1" s="1"/>
  <c r="AI702" i="1" s="1"/>
  <c r="AG815" i="1"/>
  <c r="AI815" i="1" s="1"/>
  <c r="AF815" i="1"/>
  <c r="AF845" i="1"/>
  <c r="AG845" i="1" s="1"/>
  <c r="AI845" i="1" s="1"/>
  <c r="AF234" i="1"/>
  <c r="AG234" i="1" s="1"/>
  <c r="AI234" i="1" s="1"/>
  <c r="AG244" i="1"/>
  <c r="AI244" i="1" s="1"/>
  <c r="AG254" i="1"/>
  <c r="AI254" i="1" s="1"/>
  <c r="AF298" i="1"/>
  <c r="AG298" i="1" s="1"/>
  <c r="AI298" i="1" s="1"/>
  <c r="AG308" i="1"/>
  <c r="AI308" i="1" s="1"/>
  <c r="AG318" i="1"/>
  <c r="AI318" i="1" s="1"/>
  <c r="AF362" i="1"/>
  <c r="AG382" i="1"/>
  <c r="AI382" i="1" s="1"/>
  <c r="AF426" i="1"/>
  <c r="AG426" i="1" s="1"/>
  <c r="AI426" i="1" s="1"/>
  <c r="AF442" i="1"/>
  <c r="AG461" i="1"/>
  <c r="AI461" i="1" s="1"/>
  <c r="AG703" i="1"/>
  <c r="AI703" i="1" s="1"/>
  <c r="AG736" i="1"/>
  <c r="AI736" i="1" s="1"/>
  <c r="AG807" i="1"/>
  <c r="AI807" i="1" s="1"/>
  <c r="AF830" i="1"/>
  <c r="AG830" i="1" s="1"/>
  <c r="AI830" i="1" s="1"/>
  <c r="AG880" i="1"/>
  <c r="AI880" i="1" s="1"/>
  <c r="AF721" i="1"/>
  <c r="AG721" i="1" s="1"/>
  <c r="AI721" i="1" s="1"/>
  <c r="AG862" i="1"/>
  <c r="AI862" i="1" s="1"/>
  <c r="AG898" i="1"/>
  <c r="AI898" i="1" s="1"/>
  <c r="AG220" i="1"/>
  <c r="AI220" i="1" s="1"/>
  <c r="AF225" i="1"/>
  <c r="AG225" i="1" s="1"/>
  <c r="AI225" i="1" s="1"/>
  <c r="AF235" i="1"/>
  <c r="AG235" i="1" s="1"/>
  <c r="AI235" i="1" s="1"/>
  <c r="AF274" i="1"/>
  <c r="AG274" i="1" s="1"/>
  <c r="AI274" i="1" s="1"/>
  <c r="AG284" i="1"/>
  <c r="AI284" i="1" s="1"/>
  <c r="AF289" i="1"/>
  <c r="AG289" i="1" s="1"/>
  <c r="AI289" i="1" s="1"/>
  <c r="AF299" i="1"/>
  <c r="AF338" i="1"/>
  <c r="AG338" i="1" s="1"/>
  <c r="AI338" i="1" s="1"/>
  <c r="AG348" i="1"/>
  <c r="AI348" i="1" s="1"/>
  <c r="AF353" i="1"/>
  <c r="AG353" i="1" s="1"/>
  <c r="AI353" i="1" s="1"/>
  <c r="AG358" i="1"/>
  <c r="AI358" i="1" s="1"/>
  <c r="AF363" i="1"/>
  <c r="AG363" i="1" s="1"/>
  <c r="AI363" i="1" s="1"/>
  <c r="AF402" i="1"/>
  <c r="AG402" i="1" s="1"/>
  <c r="AI402" i="1" s="1"/>
  <c r="AG412" i="1"/>
  <c r="AI412" i="1" s="1"/>
  <c r="AF417" i="1"/>
  <c r="AG427" i="1"/>
  <c r="AI427" i="1" s="1"/>
  <c r="AG443" i="1"/>
  <c r="AI443" i="1" s="1"/>
  <c r="AG449" i="1"/>
  <c r="AI449" i="1" s="1"/>
  <c r="AG462" i="1"/>
  <c r="AI462" i="1" s="1"/>
  <c r="AF509" i="1"/>
  <c r="AG509" i="1" s="1"/>
  <c r="AI509" i="1" s="1"/>
  <c r="AG581" i="1"/>
  <c r="AI581" i="1" s="1"/>
  <c r="AF103" i="1"/>
  <c r="AF230" i="1"/>
  <c r="AG230" i="1" s="1"/>
  <c r="AI230" i="1" s="1"/>
  <c r="AG240" i="1"/>
  <c r="AI240" i="1" s="1"/>
  <c r="AF245" i="1"/>
  <c r="AG245" i="1" s="1"/>
  <c r="AI245" i="1" s="1"/>
  <c r="AF255" i="1"/>
  <c r="AG255" i="1" s="1"/>
  <c r="AI255" i="1" s="1"/>
  <c r="AF294" i="1"/>
  <c r="AG294" i="1" s="1"/>
  <c r="AI294" i="1" s="1"/>
  <c r="AG304" i="1"/>
  <c r="AI304" i="1" s="1"/>
  <c r="AF309" i="1"/>
  <c r="AG309" i="1" s="1"/>
  <c r="AI309" i="1" s="1"/>
  <c r="AF319" i="1"/>
  <c r="AG319" i="1" s="1"/>
  <c r="AI319" i="1" s="1"/>
  <c r="AF358" i="1"/>
  <c r="AG368" i="1"/>
  <c r="AI368" i="1" s="1"/>
  <c r="AF373" i="1"/>
  <c r="AG378" i="1"/>
  <c r="AI378" i="1" s="1"/>
  <c r="AF383" i="1"/>
  <c r="AG383" i="1" s="1"/>
  <c r="AI383" i="1" s="1"/>
  <c r="AF422" i="1"/>
  <c r="AG422" i="1" s="1"/>
  <c r="AI422" i="1" s="1"/>
  <c r="AG438" i="1"/>
  <c r="AI438" i="1" s="1"/>
  <c r="AG456" i="1"/>
  <c r="AI456" i="1" s="1"/>
  <c r="AF462" i="1"/>
  <c r="AF469" i="1"/>
  <c r="AG469" i="1" s="1"/>
  <c r="AI469" i="1" s="1"/>
  <c r="AF477" i="1"/>
  <c r="AG477" i="1" s="1"/>
  <c r="AI477" i="1" s="1"/>
  <c r="AG485" i="1"/>
  <c r="AI485" i="1" s="1"/>
  <c r="AF485" i="1"/>
  <c r="AF493" i="1"/>
  <c r="AG493" i="1" s="1"/>
  <c r="AI493" i="1" s="1"/>
  <c r="AF501" i="1"/>
  <c r="AG501" i="1" s="1"/>
  <c r="AI501" i="1" s="1"/>
  <c r="AG550" i="1"/>
  <c r="AI550" i="1" s="1"/>
  <c r="AG601" i="1"/>
  <c r="AI601" i="1" s="1"/>
  <c r="AG746" i="1"/>
  <c r="AI746" i="1" s="1"/>
  <c r="AF250" i="1"/>
  <c r="AG250" i="1" s="1"/>
  <c r="AI250" i="1" s="1"/>
  <c r="AG260" i="1"/>
  <c r="AI260" i="1" s="1"/>
  <c r="AG270" i="1"/>
  <c r="AI270" i="1" s="1"/>
  <c r="AF314" i="1"/>
  <c r="AG314" i="1" s="1"/>
  <c r="AI314" i="1" s="1"/>
  <c r="AG324" i="1"/>
  <c r="AI324" i="1" s="1"/>
  <c r="AG334" i="1"/>
  <c r="AI334" i="1" s="1"/>
  <c r="AF378" i="1"/>
  <c r="AG388" i="1"/>
  <c r="AI388" i="1" s="1"/>
  <c r="AG398" i="1"/>
  <c r="AI398" i="1" s="1"/>
  <c r="AF438" i="1"/>
  <c r="AG444" i="1"/>
  <c r="AI444" i="1" s="1"/>
  <c r="AG450" i="1"/>
  <c r="AI450" i="1" s="1"/>
  <c r="AG529" i="1"/>
  <c r="AI529" i="1" s="1"/>
  <c r="AG561" i="1"/>
  <c r="AI561" i="1" s="1"/>
  <c r="AG629" i="1"/>
  <c r="AI629" i="1" s="1"/>
  <c r="AG730" i="1"/>
  <c r="AI730" i="1" s="1"/>
  <c r="AF746" i="1"/>
  <c r="AG697" i="1"/>
  <c r="AI697" i="1" s="1"/>
  <c r="AF697" i="1"/>
  <c r="AF761" i="1"/>
  <c r="AG761" i="1" s="1"/>
  <c r="AI761" i="1" s="1"/>
  <c r="AF825" i="1"/>
  <c r="AG825" i="1" s="1"/>
  <c r="AI825" i="1" s="1"/>
  <c r="AG881" i="1"/>
  <c r="AI881" i="1" s="1"/>
  <c r="AF881" i="1"/>
  <c r="AG905" i="1"/>
  <c r="AI905" i="1" s="1"/>
  <c r="AG1060" i="1"/>
  <c r="AI1060" i="1" s="1"/>
  <c r="AF1060" i="1"/>
  <c r="AF1282" i="1"/>
  <c r="AG1282" i="1" s="1"/>
  <c r="AI1282" i="1" s="1"/>
  <c r="AF513" i="1"/>
  <c r="AG513" i="1" s="1"/>
  <c r="AI513" i="1" s="1"/>
  <c r="AF517" i="1"/>
  <c r="AG517" i="1" s="1"/>
  <c r="AI517" i="1" s="1"/>
  <c r="AF521" i="1"/>
  <c r="AF525" i="1"/>
  <c r="AG525" i="1" s="1"/>
  <c r="AI525" i="1" s="1"/>
  <c r="AF529" i="1"/>
  <c r="AF533" i="1"/>
  <c r="AG533" i="1" s="1"/>
  <c r="AI533" i="1" s="1"/>
  <c r="AF537" i="1"/>
  <c r="AG537" i="1" s="1"/>
  <c r="AI537" i="1" s="1"/>
  <c r="AF541" i="1"/>
  <c r="AG541" i="1" s="1"/>
  <c r="AI541" i="1" s="1"/>
  <c r="AF545" i="1"/>
  <c r="AG545" i="1" s="1"/>
  <c r="AI545" i="1" s="1"/>
  <c r="AF549" i="1"/>
  <c r="AG549" i="1" s="1"/>
  <c r="AI549" i="1" s="1"/>
  <c r="AF553" i="1"/>
  <c r="AG553" i="1" s="1"/>
  <c r="AI553" i="1" s="1"/>
  <c r="AF557" i="1"/>
  <c r="AG557" i="1" s="1"/>
  <c r="AI557" i="1" s="1"/>
  <c r="AF561" i="1"/>
  <c r="AF565" i="1"/>
  <c r="AF569" i="1"/>
  <c r="AG569" i="1" s="1"/>
  <c r="AI569" i="1" s="1"/>
  <c r="AF573" i="1"/>
  <c r="AG573" i="1" s="1"/>
  <c r="AI573" i="1" s="1"/>
  <c r="AF577" i="1"/>
  <c r="AG577" i="1" s="1"/>
  <c r="AI577" i="1" s="1"/>
  <c r="AF581" i="1"/>
  <c r="AF585" i="1"/>
  <c r="AG585" i="1" s="1"/>
  <c r="AI585" i="1" s="1"/>
  <c r="AF589" i="1"/>
  <c r="AG589" i="1" s="1"/>
  <c r="AI589" i="1" s="1"/>
  <c r="AF593" i="1"/>
  <c r="AG593" i="1" s="1"/>
  <c r="AI593" i="1" s="1"/>
  <c r="AF597" i="1"/>
  <c r="AG597" i="1" s="1"/>
  <c r="AI597" i="1" s="1"/>
  <c r="AF601" i="1"/>
  <c r="AF605" i="1"/>
  <c r="AG605" i="1" s="1"/>
  <c r="AI605" i="1" s="1"/>
  <c r="AF609" i="1"/>
  <c r="AG609" i="1" s="1"/>
  <c r="AI609" i="1" s="1"/>
  <c r="AF613" i="1"/>
  <c r="AG613" i="1" s="1"/>
  <c r="AI613" i="1" s="1"/>
  <c r="AF617" i="1"/>
  <c r="AF621" i="1"/>
  <c r="AG621" i="1" s="1"/>
  <c r="AI621" i="1" s="1"/>
  <c r="AF625" i="1"/>
  <c r="AG625" i="1" s="1"/>
  <c r="AI625" i="1" s="1"/>
  <c r="AF629" i="1"/>
  <c r="AF633" i="1"/>
  <c r="AG633" i="1" s="1"/>
  <c r="AI633" i="1" s="1"/>
  <c r="AF637" i="1"/>
  <c r="AG637" i="1" s="1"/>
  <c r="AI637" i="1" s="1"/>
  <c r="AF641" i="1"/>
  <c r="AG641" i="1" s="1"/>
  <c r="AI641" i="1" s="1"/>
  <c r="AG645" i="1"/>
  <c r="AI645" i="1" s="1"/>
  <c r="AF707" i="1"/>
  <c r="AG707" i="1" s="1"/>
  <c r="AI707" i="1" s="1"/>
  <c r="AF717" i="1"/>
  <c r="AG717" i="1" s="1"/>
  <c r="AI717" i="1" s="1"/>
  <c r="AF771" i="1"/>
  <c r="AG771" i="1" s="1"/>
  <c r="AI771" i="1" s="1"/>
  <c r="AF781" i="1"/>
  <c r="AG781" i="1" s="1"/>
  <c r="AI781" i="1" s="1"/>
  <c r="AF786" i="1"/>
  <c r="AG786" i="1" s="1"/>
  <c r="AI786" i="1" s="1"/>
  <c r="AF835" i="1"/>
  <c r="AG835" i="1" s="1"/>
  <c r="AI835" i="1" s="1"/>
  <c r="AG932" i="1"/>
  <c r="AI932" i="1" s="1"/>
  <c r="AF932" i="1"/>
  <c r="AG942" i="1"/>
  <c r="AI942" i="1" s="1"/>
  <c r="AF673" i="1"/>
  <c r="AG673" i="1" s="1"/>
  <c r="AI673" i="1" s="1"/>
  <c r="AG737" i="1"/>
  <c r="AI737" i="1" s="1"/>
  <c r="AF737" i="1"/>
  <c r="AF801" i="1"/>
  <c r="AG801" i="1" s="1"/>
  <c r="AI801" i="1" s="1"/>
  <c r="AF846" i="1"/>
  <c r="AG846" i="1" s="1"/>
  <c r="AI846" i="1" s="1"/>
  <c r="AF862" i="1"/>
  <c r="AF875" i="1"/>
  <c r="AG875" i="1" s="1"/>
  <c r="AI875" i="1" s="1"/>
  <c r="AF889" i="1"/>
  <c r="AG889" i="1" s="1"/>
  <c r="AI889" i="1" s="1"/>
  <c r="AG943" i="1"/>
  <c r="AI943" i="1" s="1"/>
  <c r="AG952" i="1"/>
  <c r="AI952" i="1" s="1"/>
  <c r="AF952" i="1"/>
  <c r="AF1085" i="1"/>
  <c r="AG1085" i="1" s="1"/>
  <c r="AI1085" i="1" s="1"/>
  <c r="AF693" i="1"/>
  <c r="AG693" i="1" s="1"/>
  <c r="AI693" i="1" s="1"/>
  <c r="AF757" i="1"/>
  <c r="AG757" i="1" s="1"/>
  <c r="AI757" i="1" s="1"/>
  <c r="AF821" i="1"/>
  <c r="AG821" i="1" s="1"/>
  <c r="AI821" i="1" s="1"/>
  <c r="AG841" i="1"/>
  <c r="AI841" i="1" s="1"/>
  <c r="AF841" i="1"/>
  <c r="AG857" i="1"/>
  <c r="AI857" i="1" s="1"/>
  <c r="AF962" i="1"/>
  <c r="AG962" i="1" s="1"/>
  <c r="AI962" i="1" s="1"/>
  <c r="AG1073" i="1"/>
  <c r="AI1073" i="1" s="1"/>
  <c r="AF646" i="1"/>
  <c r="AG646" i="1" s="1"/>
  <c r="AI646" i="1" s="1"/>
  <c r="AF659" i="1"/>
  <c r="AG659" i="1" s="1"/>
  <c r="AI659" i="1" s="1"/>
  <c r="AF703" i="1"/>
  <c r="AF708" i="1"/>
  <c r="AG708" i="1" s="1"/>
  <c r="AI708" i="1" s="1"/>
  <c r="AF713" i="1"/>
  <c r="AG713" i="1" s="1"/>
  <c r="AI713" i="1" s="1"/>
  <c r="AF718" i="1"/>
  <c r="AG718" i="1" s="1"/>
  <c r="AI718" i="1" s="1"/>
  <c r="AF767" i="1"/>
  <c r="AG767" i="1" s="1"/>
  <c r="AI767" i="1" s="1"/>
  <c r="AG777" i="1"/>
  <c r="AI777" i="1" s="1"/>
  <c r="AF777" i="1"/>
  <c r="AF782" i="1"/>
  <c r="AG782" i="1" s="1"/>
  <c r="AI782" i="1" s="1"/>
  <c r="AF831" i="1"/>
  <c r="AG831" i="1" s="1"/>
  <c r="AI831" i="1" s="1"/>
  <c r="AF898" i="1"/>
  <c r="AF1211" i="1"/>
  <c r="AG1211" i="1" s="1"/>
  <c r="AI1211" i="1" s="1"/>
  <c r="AF486" i="1"/>
  <c r="AG486" i="1" s="1"/>
  <c r="AI486" i="1" s="1"/>
  <c r="AF490" i="1"/>
  <c r="AG490" i="1" s="1"/>
  <c r="AI490" i="1" s="1"/>
  <c r="AF494" i="1"/>
  <c r="AG494" i="1" s="1"/>
  <c r="AI494" i="1" s="1"/>
  <c r="AF498" i="1"/>
  <c r="AG498" i="1" s="1"/>
  <c r="AI498" i="1" s="1"/>
  <c r="AF502" i="1"/>
  <c r="AG502" i="1" s="1"/>
  <c r="AI502" i="1" s="1"/>
  <c r="AF506" i="1"/>
  <c r="AG506" i="1" s="1"/>
  <c r="AI506" i="1" s="1"/>
  <c r="AF510" i="1"/>
  <c r="AG510" i="1" s="1"/>
  <c r="AI510" i="1" s="1"/>
  <c r="AF514" i="1"/>
  <c r="AG514" i="1" s="1"/>
  <c r="AI514" i="1" s="1"/>
  <c r="AF518" i="1"/>
  <c r="AG518" i="1" s="1"/>
  <c r="AI518" i="1" s="1"/>
  <c r="AF522" i="1"/>
  <c r="AG522" i="1" s="1"/>
  <c r="AI522" i="1" s="1"/>
  <c r="AF526" i="1"/>
  <c r="AG526" i="1" s="1"/>
  <c r="AI526" i="1" s="1"/>
  <c r="AF530" i="1"/>
  <c r="AG530" i="1" s="1"/>
  <c r="AI530" i="1" s="1"/>
  <c r="AF534" i="1"/>
  <c r="AG534" i="1" s="1"/>
  <c r="AI534" i="1" s="1"/>
  <c r="AF538" i="1"/>
  <c r="AG538" i="1" s="1"/>
  <c r="AI538" i="1" s="1"/>
  <c r="AF542" i="1"/>
  <c r="AG542" i="1" s="1"/>
  <c r="AI542" i="1" s="1"/>
  <c r="AF546" i="1"/>
  <c r="AG546" i="1" s="1"/>
  <c r="AI546" i="1" s="1"/>
  <c r="AF550" i="1"/>
  <c r="AF554" i="1"/>
  <c r="AF558" i="1"/>
  <c r="AF562" i="1"/>
  <c r="AG562" i="1" s="1"/>
  <c r="AI562" i="1" s="1"/>
  <c r="AF566" i="1"/>
  <c r="AG566" i="1" s="1"/>
  <c r="AI566" i="1" s="1"/>
  <c r="AF570" i="1"/>
  <c r="AG570" i="1" s="1"/>
  <c r="AI570" i="1" s="1"/>
  <c r="AF574" i="1"/>
  <c r="AF578" i="1"/>
  <c r="AG578" i="1" s="1"/>
  <c r="AI578" i="1" s="1"/>
  <c r="AF582" i="1"/>
  <c r="AG582" i="1" s="1"/>
  <c r="AI582" i="1" s="1"/>
  <c r="AF586" i="1"/>
  <c r="AG586" i="1" s="1"/>
  <c r="AI586" i="1" s="1"/>
  <c r="AG669" i="1"/>
  <c r="AI669" i="1" s="1"/>
  <c r="AF669" i="1"/>
  <c r="AF733" i="1"/>
  <c r="AG733" i="1" s="1"/>
  <c r="AI733" i="1" s="1"/>
  <c r="AG797" i="1"/>
  <c r="AI797" i="1" s="1"/>
  <c r="AF797" i="1"/>
  <c r="AG876" i="1"/>
  <c r="AI876" i="1" s="1"/>
  <c r="AF876" i="1"/>
  <c r="AF908" i="1"/>
  <c r="AG908" i="1" s="1"/>
  <c r="AI908" i="1" s="1"/>
  <c r="AF1012" i="1"/>
  <c r="AG1012" i="1" s="1"/>
  <c r="AI1012" i="1" s="1"/>
  <c r="AG1166" i="1"/>
  <c r="AI1166" i="1" s="1"/>
  <c r="AF655" i="1"/>
  <c r="AG655" i="1" s="1"/>
  <c r="AI655" i="1" s="1"/>
  <c r="AF679" i="1"/>
  <c r="AG679" i="1" s="1"/>
  <c r="AI679" i="1" s="1"/>
  <c r="AF684" i="1"/>
  <c r="AG684" i="1" s="1"/>
  <c r="AI684" i="1" s="1"/>
  <c r="AG689" i="1"/>
  <c r="AI689" i="1" s="1"/>
  <c r="AF689" i="1"/>
  <c r="AF694" i="1"/>
  <c r="AG694" i="1" s="1"/>
  <c r="AI694" i="1" s="1"/>
  <c r="AF743" i="1"/>
  <c r="AG743" i="1" s="1"/>
  <c r="AI743" i="1" s="1"/>
  <c r="AF748" i="1"/>
  <c r="AG748" i="1" s="1"/>
  <c r="AI748" i="1" s="1"/>
  <c r="AG753" i="1"/>
  <c r="AI753" i="1" s="1"/>
  <c r="AF753" i="1"/>
  <c r="AF758" i="1"/>
  <c r="AG758" i="1" s="1"/>
  <c r="AI758" i="1" s="1"/>
  <c r="AF807" i="1"/>
  <c r="AF817" i="1"/>
  <c r="AG817" i="1" s="1"/>
  <c r="AI817" i="1" s="1"/>
  <c r="AF822" i="1"/>
  <c r="AG822" i="1" s="1"/>
  <c r="AI822" i="1" s="1"/>
  <c r="AF842" i="1"/>
  <c r="AG842" i="1" s="1"/>
  <c r="AI842" i="1" s="1"/>
  <c r="AG847" i="1"/>
  <c r="AI847" i="1" s="1"/>
  <c r="AF858" i="1"/>
  <c r="AG858" i="1" s="1"/>
  <c r="AI858" i="1" s="1"/>
  <c r="AG884" i="1"/>
  <c r="AI884" i="1" s="1"/>
  <c r="AG1013" i="1"/>
  <c r="AI1013" i="1" s="1"/>
  <c r="AF709" i="1"/>
  <c r="AG709" i="1" s="1"/>
  <c r="AI709" i="1" s="1"/>
  <c r="AG773" i="1"/>
  <c r="AI773" i="1" s="1"/>
  <c r="AF773" i="1"/>
  <c r="AF837" i="1"/>
  <c r="AG837" i="1" s="1"/>
  <c r="AI837" i="1" s="1"/>
  <c r="AF1044" i="1"/>
  <c r="AG1044" i="1" s="1"/>
  <c r="AI1044" i="1" s="1"/>
  <c r="AG665" i="1"/>
  <c r="AI665" i="1" s="1"/>
  <c r="AF665" i="1"/>
  <c r="AG729" i="1"/>
  <c r="AI729" i="1" s="1"/>
  <c r="AF729" i="1"/>
  <c r="AG793" i="1"/>
  <c r="AI793" i="1" s="1"/>
  <c r="AF793" i="1"/>
  <c r="AF685" i="1"/>
  <c r="AG685" i="1" s="1"/>
  <c r="AI685" i="1" s="1"/>
  <c r="AG749" i="1"/>
  <c r="AI749" i="1" s="1"/>
  <c r="AF749" i="1"/>
  <c r="AF813" i="1"/>
  <c r="AG813" i="1" s="1"/>
  <c r="AI813" i="1" s="1"/>
  <c r="AG911" i="1"/>
  <c r="AI911" i="1" s="1"/>
  <c r="AG947" i="1"/>
  <c r="AI947" i="1" s="1"/>
  <c r="AG957" i="1"/>
  <c r="AI957" i="1" s="1"/>
  <c r="AG985" i="1"/>
  <c r="AI985" i="1" s="1"/>
  <c r="AG705" i="1"/>
  <c r="AI705" i="1" s="1"/>
  <c r="AF705" i="1"/>
  <c r="AF769" i="1"/>
  <c r="AG769" i="1" s="1"/>
  <c r="AI769" i="1" s="1"/>
  <c r="AG833" i="1"/>
  <c r="AI833" i="1" s="1"/>
  <c r="AF833" i="1"/>
  <c r="AF947" i="1"/>
  <c r="AF957" i="1"/>
  <c r="AF652" i="1"/>
  <c r="AG652" i="1" s="1"/>
  <c r="AI652" i="1" s="1"/>
  <c r="AG661" i="1"/>
  <c r="AI661" i="1" s="1"/>
  <c r="AF666" i="1"/>
  <c r="AG666" i="1" s="1"/>
  <c r="AI666" i="1" s="1"/>
  <c r="AF715" i="1"/>
  <c r="AG715" i="1" s="1"/>
  <c r="AI715" i="1" s="1"/>
  <c r="AF720" i="1"/>
  <c r="AG720" i="1" s="1"/>
  <c r="AI720" i="1" s="1"/>
  <c r="AG725" i="1"/>
  <c r="AI725" i="1" s="1"/>
  <c r="AF725" i="1"/>
  <c r="AF730" i="1"/>
  <c r="AF779" i="1"/>
  <c r="AG779" i="1" s="1"/>
  <c r="AI779" i="1" s="1"/>
  <c r="AF789" i="1"/>
  <c r="AG789" i="1" s="1"/>
  <c r="AI789" i="1" s="1"/>
  <c r="AF794" i="1"/>
  <c r="AG794" i="1" s="1"/>
  <c r="AI794" i="1" s="1"/>
  <c r="AF866" i="1"/>
  <c r="AG866" i="1" s="1"/>
  <c r="AI866" i="1" s="1"/>
  <c r="AF967" i="1"/>
  <c r="AG967" i="1" s="1"/>
  <c r="AI967" i="1" s="1"/>
  <c r="AF996" i="1"/>
  <c r="AG996" i="1" s="1"/>
  <c r="AI996" i="1" s="1"/>
  <c r="AG1037" i="1"/>
  <c r="AI1037" i="1" s="1"/>
  <c r="AF648" i="1"/>
  <c r="AG648" i="1" s="1"/>
  <c r="AI648" i="1" s="1"/>
  <c r="AF671" i="1"/>
  <c r="AG671" i="1" s="1"/>
  <c r="AI671" i="1" s="1"/>
  <c r="AF676" i="1"/>
  <c r="AG676" i="1" s="1"/>
  <c r="AI676" i="1" s="1"/>
  <c r="AF681" i="1"/>
  <c r="AG681" i="1" s="1"/>
  <c r="AI681" i="1" s="1"/>
  <c r="AF686" i="1"/>
  <c r="AG686" i="1" s="1"/>
  <c r="AI686" i="1" s="1"/>
  <c r="AF735" i="1"/>
  <c r="AG735" i="1" s="1"/>
  <c r="AI735" i="1" s="1"/>
  <c r="AF740" i="1"/>
  <c r="AG740" i="1" s="1"/>
  <c r="AI740" i="1" s="1"/>
  <c r="AF745" i="1"/>
  <c r="AG745" i="1" s="1"/>
  <c r="AI745" i="1" s="1"/>
  <c r="AF750" i="1"/>
  <c r="AG750" i="1" s="1"/>
  <c r="AI750" i="1" s="1"/>
  <c r="AF799" i="1"/>
  <c r="AG799" i="1" s="1"/>
  <c r="AI799" i="1" s="1"/>
  <c r="AF809" i="1"/>
  <c r="AG809" i="1" s="1"/>
  <c r="AI809" i="1" s="1"/>
  <c r="AF814" i="1"/>
  <c r="AG814" i="1" s="1"/>
  <c r="AI814" i="1" s="1"/>
  <c r="AG949" i="1"/>
  <c r="AI949" i="1" s="1"/>
  <c r="AG977" i="1"/>
  <c r="AI977" i="1" s="1"/>
  <c r="AF977" i="1"/>
  <c r="AF1094" i="1"/>
  <c r="AG1094" i="1" s="1"/>
  <c r="AI1094" i="1" s="1"/>
  <c r="AG657" i="1"/>
  <c r="AI657" i="1" s="1"/>
  <c r="AG701" i="1"/>
  <c r="AI701" i="1" s="1"/>
  <c r="AF701" i="1"/>
  <c r="AF765" i="1"/>
  <c r="AG765" i="1" s="1"/>
  <c r="AI765" i="1" s="1"/>
  <c r="AF829" i="1"/>
  <c r="AG829" i="1" s="1"/>
  <c r="AI829" i="1" s="1"/>
  <c r="AF894" i="1"/>
  <c r="AG894" i="1" s="1"/>
  <c r="AI894" i="1" s="1"/>
  <c r="AG903" i="1"/>
  <c r="AI903" i="1" s="1"/>
  <c r="AF913" i="1"/>
  <c r="AG913" i="1" s="1"/>
  <c r="AI913" i="1" s="1"/>
  <c r="AG921" i="1"/>
  <c r="AI921" i="1" s="1"/>
  <c r="AF976" i="1"/>
  <c r="AG976" i="1" s="1"/>
  <c r="AI976" i="1" s="1"/>
  <c r="AG1093" i="1"/>
  <c r="AI1093" i="1" s="1"/>
  <c r="AG1264" i="1"/>
  <c r="AI1264" i="1" s="1"/>
  <c r="AF972" i="1"/>
  <c r="AG972" i="1" s="1"/>
  <c r="AI972" i="1" s="1"/>
  <c r="AF1071" i="1"/>
  <c r="AG1071" i="1" s="1"/>
  <c r="AI1071" i="1" s="1"/>
  <c r="AG1113" i="1"/>
  <c r="AI1113" i="1" s="1"/>
  <c r="AG1139" i="1"/>
  <c r="AI1139" i="1" s="1"/>
  <c r="AF1139" i="1"/>
  <c r="AF1212" i="1"/>
  <c r="AG1212" i="1" s="1"/>
  <c r="AI1212" i="1" s="1"/>
  <c r="AG1275" i="1"/>
  <c r="AI1275" i="1" s="1"/>
  <c r="AF1275" i="1"/>
  <c r="AG918" i="1"/>
  <c r="AI918" i="1" s="1"/>
  <c r="AG928" i="1"/>
  <c r="AI928" i="1" s="1"/>
  <c r="AF928" i="1"/>
  <c r="AG982" i="1"/>
  <c r="AI982" i="1" s="1"/>
  <c r="AF987" i="1"/>
  <c r="AG987" i="1" s="1"/>
  <c r="AI987" i="1" s="1"/>
  <c r="AG992" i="1"/>
  <c r="AI992" i="1" s="1"/>
  <c r="AF992" i="1"/>
  <c r="AF997" i="1"/>
  <c r="AG997" i="1" s="1"/>
  <c r="AI997" i="1" s="1"/>
  <c r="AG1007" i="1"/>
  <c r="AI1007" i="1" s="1"/>
  <c r="AG1023" i="1"/>
  <c r="AI1023" i="1" s="1"/>
  <c r="AG1039" i="1"/>
  <c r="AI1039" i="1" s="1"/>
  <c r="AG1055" i="1"/>
  <c r="AI1055" i="1" s="1"/>
  <c r="AF1078" i="1"/>
  <c r="AG1078" i="1" s="1"/>
  <c r="AI1078" i="1" s="1"/>
  <c r="AF1276" i="1"/>
  <c r="AG1276" i="1" s="1"/>
  <c r="AI1276" i="1" s="1"/>
  <c r="AF890" i="1"/>
  <c r="AG890" i="1" s="1"/>
  <c r="AI890" i="1" s="1"/>
  <c r="AF899" i="1"/>
  <c r="AG899" i="1" s="1"/>
  <c r="AI899" i="1" s="1"/>
  <c r="AG904" i="1"/>
  <c r="AI904" i="1" s="1"/>
  <c r="AF909" i="1"/>
  <c r="AG909" i="1" s="1"/>
  <c r="AI909" i="1" s="1"/>
  <c r="AG914" i="1"/>
  <c r="AI914" i="1" s="1"/>
  <c r="AG938" i="1"/>
  <c r="AI938" i="1" s="1"/>
  <c r="AF943" i="1"/>
  <c r="AF948" i="1"/>
  <c r="AG948" i="1" s="1"/>
  <c r="AI948" i="1" s="1"/>
  <c r="AF953" i="1"/>
  <c r="AG953" i="1" s="1"/>
  <c r="AI953" i="1" s="1"/>
  <c r="AG1002" i="1"/>
  <c r="AI1002" i="1" s="1"/>
  <c r="AF1013" i="1"/>
  <c r="AG1018" i="1"/>
  <c r="AI1018" i="1" s="1"/>
  <c r="AF1029" i="1"/>
  <c r="AG1029" i="1" s="1"/>
  <c r="AI1029" i="1" s="1"/>
  <c r="AG1034" i="1"/>
  <c r="AI1034" i="1" s="1"/>
  <c r="AF1045" i="1"/>
  <c r="AG1045" i="1" s="1"/>
  <c r="AI1045" i="1" s="1"/>
  <c r="AG1050" i="1"/>
  <c r="AI1050" i="1" s="1"/>
  <c r="AF1061" i="1"/>
  <c r="AG1061" i="1" s="1"/>
  <c r="AI1061" i="1" s="1"/>
  <c r="AG1066" i="1"/>
  <c r="AI1066" i="1" s="1"/>
  <c r="AG1072" i="1"/>
  <c r="AI1072" i="1" s="1"/>
  <c r="AF1072" i="1"/>
  <c r="AF1086" i="1"/>
  <c r="AG1086" i="1" s="1"/>
  <c r="AI1086" i="1" s="1"/>
  <c r="AF1195" i="1"/>
  <c r="AG1195" i="1" s="1"/>
  <c r="AI1195" i="1" s="1"/>
  <c r="AG872" i="1"/>
  <c r="AI872" i="1" s="1"/>
  <c r="AF904" i="1"/>
  <c r="AF914" i="1"/>
  <c r="AG958" i="1"/>
  <c r="AI958" i="1" s="1"/>
  <c r="AF968" i="1"/>
  <c r="AG968" i="1" s="1"/>
  <c r="AI968" i="1" s="1"/>
  <c r="AF1008" i="1"/>
  <c r="AG1008" i="1" s="1"/>
  <c r="AI1008" i="1" s="1"/>
  <c r="AF1024" i="1"/>
  <c r="AG1024" i="1" s="1"/>
  <c r="AI1024" i="1" s="1"/>
  <c r="AG1040" i="1"/>
  <c r="AI1040" i="1" s="1"/>
  <c r="AF1040" i="1"/>
  <c r="AF1056" i="1"/>
  <c r="AG1056" i="1" s="1"/>
  <c r="AI1056" i="1" s="1"/>
  <c r="AG1160" i="1"/>
  <c r="AI1160" i="1" s="1"/>
  <c r="AF1196" i="1"/>
  <c r="AG1196" i="1" s="1"/>
  <c r="AI1196" i="1" s="1"/>
  <c r="AF1258" i="1"/>
  <c r="AG1258" i="1" s="1"/>
  <c r="AI1258" i="1" s="1"/>
  <c r="AF924" i="1"/>
  <c r="AG924" i="1" s="1"/>
  <c r="AI924" i="1" s="1"/>
  <c r="AG988" i="1"/>
  <c r="AI988" i="1" s="1"/>
  <c r="AF988" i="1"/>
  <c r="AG1080" i="1"/>
  <c r="AI1080" i="1" s="1"/>
  <c r="AF1080" i="1"/>
  <c r="AF1106" i="1"/>
  <c r="AG1106" i="1" s="1"/>
  <c r="AI1106" i="1" s="1"/>
  <c r="AG1178" i="1"/>
  <c r="AI1178" i="1" s="1"/>
  <c r="AG1306" i="1"/>
  <c r="AI1306" i="1" s="1"/>
  <c r="AF1306" i="1"/>
  <c r="AG868" i="1"/>
  <c r="AI868" i="1" s="1"/>
  <c r="AG900" i="1"/>
  <c r="AI900" i="1" s="1"/>
  <c r="AF905" i="1"/>
  <c r="AG910" i="1"/>
  <c r="AI910" i="1" s="1"/>
  <c r="AG934" i="1"/>
  <c r="AI934" i="1" s="1"/>
  <c r="AF939" i="1"/>
  <c r="AG939" i="1" s="1"/>
  <c r="AI939" i="1" s="1"/>
  <c r="AF944" i="1"/>
  <c r="AG944" i="1" s="1"/>
  <c r="AI944" i="1" s="1"/>
  <c r="AF949" i="1"/>
  <c r="AG998" i="1"/>
  <c r="AI998" i="1" s="1"/>
  <c r="AG1003" i="1"/>
  <c r="AI1003" i="1" s="1"/>
  <c r="AG1019" i="1"/>
  <c r="AI1019" i="1" s="1"/>
  <c r="AG1035" i="1"/>
  <c r="AI1035" i="1" s="1"/>
  <c r="AG1051" i="1"/>
  <c r="AI1051" i="1" s="1"/>
  <c r="AG1067" i="1"/>
  <c r="AI1067" i="1" s="1"/>
  <c r="AF1073" i="1"/>
  <c r="AF1179" i="1"/>
  <c r="AG1179" i="1" s="1"/>
  <c r="AI1179" i="1" s="1"/>
  <c r="AF1206" i="1"/>
  <c r="AG1206" i="1" s="1"/>
  <c r="AI1206" i="1" s="1"/>
  <c r="AG1223" i="1"/>
  <c r="AI1223" i="1" s="1"/>
  <c r="AF1223" i="1"/>
  <c r="AG964" i="1"/>
  <c r="AI964" i="1" s="1"/>
  <c r="AF964" i="1"/>
  <c r="AG1134" i="1"/>
  <c r="AI1134" i="1" s="1"/>
  <c r="AF1180" i="1"/>
  <c r="AG1180" i="1" s="1"/>
  <c r="AI1180" i="1" s="1"/>
  <c r="AG896" i="1"/>
  <c r="AI896" i="1" s="1"/>
  <c r="AG920" i="1"/>
  <c r="AI920" i="1" s="1"/>
  <c r="AF920" i="1"/>
  <c r="AG974" i="1"/>
  <c r="AI974" i="1" s="1"/>
  <c r="AG984" i="1"/>
  <c r="AI984" i="1" s="1"/>
  <c r="AF984" i="1"/>
  <c r="AF1004" i="1"/>
  <c r="AG1004" i="1" s="1"/>
  <c r="AI1004" i="1" s="1"/>
  <c r="AG1020" i="1"/>
  <c r="AI1020" i="1" s="1"/>
  <c r="AF1020" i="1"/>
  <c r="AG1036" i="1"/>
  <c r="AI1036" i="1" s="1"/>
  <c r="AF1036" i="1"/>
  <c r="AG1052" i="1"/>
  <c r="AI1052" i="1" s="1"/>
  <c r="AF1052" i="1"/>
  <c r="AF1068" i="1"/>
  <c r="AG1068" i="1" s="1"/>
  <c r="AI1068" i="1" s="1"/>
  <c r="AG1099" i="1"/>
  <c r="AI1099" i="1" s="1"/>
  <c r="AF1134" i="1"/>
  <c r="AG1190" i="1"/>
  <c r="AI1190" i="1" s="1"/>
  <c r="AG906" i="1"/>
  <c r="AI906" i="1" s="1"/>
  <c r="AF940" i="1"/>
  <c r="AG940" i="1" s="1"/>
  <c r="AI940" i="1" s="1"/>
  <c r="AG1074" i="1"/>
  <c r="AI1074" i="1" s="1"/>
  <c r="AF1074" i="1"/>
  <c r="AG1100" i="1"/>
  <c r="AI1100" i="1" s="1"/>
  <c r="AG1117" i="1"/>
  <c r="AI1117" i="1" s="1"/>
  <c r="AG1144" i="1"/>
  <c r="AI1144" i="1" s="1"/>
  <c r="AF1398" i="1"/>
  <c r="AG1398" i="1" s="1"/>
  <c r="AI1398" i="1" s="1"/>
  <c r="AF906" i="1"/>
  <c r="AF911" i="1"/>
  <c r="AF916" i="1"/>
  <c r="AG916" i="1" s="1"/>
  <c r="AI916" i="1" s="1"/>
  <c r="AF960" i="1"/>
  <c r="AG960" i="1" s="1"/>
  <c r="AI960" i="1" s="1"/>
  <c r="AF1075" i="1"/>
  <c r="AG1075" i="1" s="1"/>
  <c r="AI1075" i="1" s="1"/>
  <c r="AF1090" i="1"/>
  <c r="AG1090" i="1" s="1"/>
  <c r="AI1090" i="1" s="1"/>
  <c r="AG1118" i="1"/>
  <c r="AI1118" i="1" s="1"/>
  <c r="AG1154" i="1"/>
  <c r="AI1154" i="1" s="1"/>
  <c r="AF1154" i="1"/>
  <c r="AF1164" i="1"/>
  <c r="AG1164" i="1" s="1"/>
  <c r="AI1164" i="1" s="1"/>
  <c r="AG1270" i="1"/>
  <c r="AI1270" i="1" s="1"/>
  <c r="AG1381" i="1"/>
  <c r="AI1381" i="1" s="1"/>
  <c r="AF1381" i="1"/>
  <c r="AF865" i="1"/>
  <c r="AG865" i="1" s="1"/>
  <c r="AI865" i="1" s="1"/>
  <c r="AF874" i="1"/>
  <c r="AG874" i="1" s="1"/>
  <c r="AI874" i="1" s="1"/>
  <c r="AF883" i="1"/>
  <c r="AG883" i="1" s="1"/>
  <c r="AI883" i="1" s="1"/>
  <c r="AF892" i="1"/>
  <c r="AG892" i="1" s="1"/>
  <c r="AI892" i="1" s="1"/>
  <c r="AF897" i="1"/>
  <c r="AG897" i="1" s="1"/>
  <c r="AI897" i="1" s="1"/>
  <c r="AF921" i="1"/>
  <c r="AG970" i="1"/>
  <c r="AI970" i="1" s="1"/>
  <c r="AF975" i="1"/>
  <c r="AG975" i="1" s="1"/>
  <c r="AI975" i="1" s="1"/>
  <c r="AG980" i="1"/>
  <c r="AI980" i="1" s="1"/>
  <c r="AF980" i="1"/>
  <c r="AF985" i="1"/>
  <c r="AF1005" i="1"/>
  <c r="AG1005" i="1" s="1"/>
  <c r="AI1005" i="1" s="1"/>
  <c r="AG1010" i="1"/>
  <c r="AI1010" i="1" s="1"/>
  <c r="AF1021" i="1"/>
  <c r="AG1021" i="1" s="1"/>
  <c r="AI1021" i="1" s="1"/>
  <c r="AG1026" i="1"/>
  <c r="AI1026" i="1" s="1"/>
  <c r="AF1037" i="1"/>
  <c r="AG1042" i="1"/>
  <c r="AI1042" i="1" s="1"/>
  <c r="AF1053" i="1"/>
  <c r="AG1053" i="1" s="1"/>
  <c r="AI1053" i="1" s="1"/>
  <c r="AG1058" i="1"/>
  <c r="AI1058" i="1" s="1"/>
  <c r="AF1069" i="1"/>
  <c r="AG1069" i="1" s="1"/>
  <c r="AI1069" i="1" s="1"/>
  <c r="AF1082" i="1"/>
  <c r="AG1082" i="1" s="1"/>
  <c r="AI1082" i="1" s="1"/>
  <c r="AG1119" i="1"/>
  <c r="AI1119" i="1" s="1"/>
  <c r="AF1119" i="1"/>
  <c r="AF849" i="1"/>
  <c r="AG849" i="1" s="1"/>
  <c r="AI849" i="1" s="1"/>
  <c r="AF853" i="1"/>
  <c r="AG853" i="1" s="1"/>
  <c r="AI853" i="1" s="1"/>
  <c r="AF857" i="1"/>
  <c r="AF861" i="1"/>
  <c r="AG861" i="1" s="1"/>
  <c r="AI861" i="1" s="1"/>
  <c r="AG926" i="1"/>
  <c r="AI926" i="1" s="1"/>
  <c r="AF931" i="1"/>
  <c r="AG931" i="1" s="1"/>
  <c r="AI931" i="1" s="1"/>
  <c r="AF936" i="1"/>
  <c r="AG936" i="1" s="1"/>
  <c r="AI936" i="1" s="1"/>
  <c r="AF941" i="1"/>
  <c r="AG941" i="1" s="1"/>
  <c r="AI941" i="1" s="1"/>
  <c r="AG990" i="1"/>
  <c r="AI990" i="1" s="1"/>
  <c r="AF995" i="1"/>
  <c r="AG995" i="1" s="1"/>
  <c r="AI995" i="1" s="1"/>
  <c r="AG1000" i="1"/>
  <c r="AI1000" i="1" s="1"/>
  <c r="AF1000" i="1"/>
  <c r="AF1016" i="1"/>
  <c r="AG1016" i="1" s="1"/>
  <c r="AI1016" i="1" s="1"/>
  <c r="AF1032" i="1"/>
  <c r="AG1032" i="1" s="1"/>
  <c r="AI1032" i="1" s="1"/>
  <c r="AG1048" i="1"/>
  <c r="AI1048" i="1" s="1"/>
  <c r="AF1048" i="1"/>
  <c r="AF1064" i="1"/>
  <c r="AG1064" i="1" s="1"/>
  <c r="AI1064" i="1" s="1"/>
  <c r="AF1076" i="1"/>
  <c r="AG1076" i="1" s="1"/>
  <c r="AI1076" i="1" s="1"/>
  <c r="AG1109" i="1"/>
  <c r="AI1109" i="1" s="1"/>
  <c r="AG1128" i="1"/>
  <c r="AI1128" i="1" s="1"/>
  <c r="AF1174" i="1"/>
  <c r="AG1174" i="1" s="1"/>
  <c r="AI1174" i="1" s="1"/>
  <c r="AF888" i="1"/>
  <c r="AG888" i="1" s="1"/>
  <c r="AI888" i="1" s="1"/>
  <c r="AF902" i="1"/>
  <c r="AG902" i="1" s="1"/>
  <c r="AI902" i="1" s="1"/>
  <c r="AG912" i="1"/>
  <c r="AI912" i="1" s="1"/>
  <c r="AF956" i="1"/>
  <c r="AG956" i="1" s="1"/>
  <c r="AI956" i="1" s="1"/>
  <c r="AG1110" i="1"/>
  <c r="AI1110" i="1" s="1"/>
  <c r="AG1246" i="1"/>
  <c r="AI1246" i="1" s="1"/>
  <c r="AF1351" i="1"/>
  <c r="AG1351" i="1"/>
  <c r="AI1351" i="1" s="1"/>
  <c r="AF1163" i="1"/>
  <c r="AG1163" i="1" s="1"/>
  <c r="AI1163" i="1" s="1"/>
  <c r="AG1263" i="1"/>
  <c r="AI1263" i="1" s="1"/>
  <c r="AF1263" i="1"/>
  <c r="AF1334" i="1"/>
  <c r="AG1334" i="1" s="1"/>
  <c r="AI1334" i="1" s="1"/>
  <c r="AF1159" i="1"/>
  <c r="AG1159" i="1" s="1"/>
  <c r="AI1159" i="1" s="1"/>
  <c r="AF1235" i="1"/>
  <c r="AG1235" i="1" s="1"/>
  <c r="AI1235" i="1" s="1"/>
  <c r="AG1390" i="1"/>
  <c r="AI1390" i="1" s="1"/>
  <c r="AF1431" i="1"/>
  <c r="AG1431" i="1" s="1"/>
  <c r="AI1431" i="1" s="1"/>
  <c r="AG1115" i="1"/>
  <c r="AI1115" i="1" s="1"/>
  <c r="AF1115" i="1"/>
  <c r="AF1125" i="1"/>
  <c r="AG1125" i="1" s="1"/>
  <c r="AI1125" i="1" s="1"/>
  <c r="AF1247" i="1"/>
  <c r="AG1247" i="1" s="1"/>
  <c r="AI1247" i="1" s="1"/>
  <c r="AF1270" i="1"/>
  <c r="AF1283" i="1"/>
  <c r="AG1283" i="1" s="1"/>
  <c r="AI1283" i="1" s="1"/>
  <c r="AG1290" i="1"/>
  <c r="AI1290" i="1" s="1"/>
  <c r="AF1298" i="1"/>
  <c r="AG1298" i="1" s="1"/>
  <c r="AI1298" i="1" s="1"/>
  <c r="AG1314" i="1"/>
  <c r="AI1314" i="1" s="1"/>
  <c r="AF1421" i="1"/>
  <c r="AG1421" i="1" s="1"/>
  <c r="AI1421" i="1" s="1"/>
  <c r="AF1441" i="1"/>
  <c r="AG1441" i="1"/>
  <c r="AI1441" i="1" s="1"/>
  <c r="AF1135" i="1"/>
  <c r="AG1135" i="1" s="1"/>
  <c r="AI1135" i="1" s="1"/>
  <c r="AG1175" i="1"/>
  <c r="AI1175" i="1" s="1"/>
  <c r="AF1175" i="1"/>
  <c r="AF1191" i="1"/>
  <c r="AG1191" i="1" s="1"/>
  <c r="AI1191" i="1" s="1"/>
  <c r="AF1207" i="1"/>
  <c r="AG1207" i="1" s="1"/>
  <c r="AI1207" i="1" s="1"/>
  <c r="AF1259" i="1"/>
  <c r="AG1259" i="1" s="1"/>
  <c r="AI1259" i="1" s="1"/>
  <c r="AG1315" i="1"/>
  <c r="AI1315" i="1" s="1"/>
  <c r="AG1392" i="1"/>
  <c r="AI1392" i="1" s="1"/>
  <c r="AG1422" i="1"/>
  <c r="AI1422" i="1" s="1"/>
  <c r="AF1111" i="1"/>
  <c r="AG1111" i="1" s="1"/>
  <c r="AI1111" i="1" s="1"/>
  <c r="AF1150" i="1"/>
  <c r="AG1150" i="1" s="1"/>
  <c r="AI1150" i="1" s="1"/>
  <c r="AG1155" i="1"/>
  <c r="AI1155" i="1" s="1"/>
  <c r="AF1155" i="1"/>
  <c r="AF1160" i="1"/>
  <c r="AF1170" i="1"/>
  <c r="AG1170" i="1" s="1"/>
  <c r="AI1170" i="1" s="1"/>
  <c r="AF1186" i="1"/>
  <c r="AG1186" i="1" s="1"/>
  <c r="AI1186" i="1" s="1"/>
  <c r="AF1202" i="1"/>
  <c r="AG1202" i="1" s="1"/>
  <c r="AI1202" i="1" s="1"/>
  <c r="AF1230" i="1"/>
  <c r="AG1230" i="1" s="1"/>
  <c r="AI1230" i="1" s="1"/>
  <c r="AF1248" i="1"/>
  <c r="AG1248" i="1" s="1"/>
  <c r="AI1248" i="1" s="1"/>
  <c r="AF1271" i="1"/>
  <c r="AG1271" i="1" s="1"/>
  <c r="AI1271" i="1" s="1"/>
  <c r="AG1284" i="1"/>
  <c r="AI1284" i="1" s="1"/>
  <c r="AG1291" i="1"/>
  <c r="AI1291" i="1" s="1"/>
  <c r="AF1291" i="1"/>
  <c r="AG1219" i="1"/>
  <c r="AI1219" i="1" s="1"/>
  <c r="AF1219" i="1"/>
  <c r="AG1337" i="1"/>
  <c r="AI1337" i="1" s="1"/>
  <c r="AF1364" i="1"/>
  <c r="AG1364" i="1" s="1"/>
  <c r="AI1364" i="1" s="1"/>
  <c r="AG1374" i="1"/>
  <c r="AI1374" i="1" s="1"/>
  <c r="AF1131" i="1"/>
  <c r="AG1131" i="1" s="1"/>
  <c r="AI1131" i="1" s="1"/>
  <c r="AG1231" i="1"/>
  <c r="AI1231" i="1" s="1"/>
  <c r="AF1231" i="1"/>
  <c r="AG1338" i="1"/>
  <c r="AI1338" i="1" s="1"/>
  <c r="AG1411" i="1"/>
  <c r="AI1411" i="1" s="1"/>
  <c r="AG1463" i="1"/>
  <c r="AI1463" i="1" s="1"/>
  <c r="AF1463" i="1"/>
  <c r="AF1099" i="1"/>
  <c r="AF1146" i="1"/>
  <c r="AG1146" i="1" s="1"/>
  <c r="AI1146" i="1" s="1"/>
  <c r="AF1151" i="1"/>
  <c r="AG1151" i="1" s="1"/>
  <c r="AI1151" i="1" s="1"/>
  <c r="AF1156" i="1"/>
  <c r="AG1156" i="1" s="1"/>
  <c r="AI1156" i="1" s="1"/>
  <c r="AG1171" i="1"/>
  <c r="AI1171" i="1" s="1"/>
  <c r="AF1171" i="1"/>
  <c r="AG1187" i="1"/>
  <c r="AI1187" i="1" s="1"/>
  <c r="AF1187" i="1"/>
  <c r="AG1203" i="1"/>
  <c r="AI1203" i="1" s="1"/>
  <c r="AF1203" i="1"/>
  <c r="AF1220" i="1"/>
  <c r="AG1220" i="1" s="1"/>
  <c r="AI1220" i="1" s="1"/>
  <c r="AF1243" i="1"/>
  <c r="AG1243" i="1" s="1"/>
  <c r="AI1243" i="1" s="1"/>
  <c r="AF1266" i="1"/>
  <c r="AG1266" i="1" s="1"/>
  <c r="AI1266" i="1" s="1"/>
  <c r="AF1338" i="1"/>
  <c r="AF1079" i="1"/>
  <c r="AG1079" i="1" s="1"/>
  <c r="AI1079" i="1" s="1"/>
  <c r="AF1083" i="1"/>
  <c r="AG1083" i="1" s="1"/>
  <c r="AI1083" i="1" s="1"/>
  <c r="AF1087" i="1"/>
  <c r="AG1087" i="1" s="1"/>
  <c r="AI1087" i="1" s="1"/>
  <c r="AF1091" i="1"/>
  <c r="AG1091" i="1" s="1"/>
  <c r="AI1091" i="1" s="1"/>
  <c r="AF1095" i="1"/>
  <c r="AG1095" i="1" s="1"/>
  <c r="AI1095" i="1" s="1"/>
  <c r="AF1112" i="1"/>
  <c r="AG1112" i="1" s="1"/>
  <c r="AI1112" i="1" s="1"/>
  <c r="AF1117" i="1"/>
  <c r="AF1166" i="1"/>
  <c r="AF1182" i="1"/>
  <c r="AG1182" i="1" s="1"/>
  <c r="AI1182" i="1" s="1"/>
  <c r="AF1198" i="1"/>
  <c r="AG1198" i="1" s="1"/>
  <c r="AI1198" i="1" s="1"/>
  <c r="AF1214" i="1"/>
  <c r="AG1214" i="1" s="1"/>
  <c r="AI1214" i="1" s="1"/>
  <c r="AG1255" i="1"/>
  <c r="AI1255" i="1" s="1"/>
  <c r="AF1255" i="1"/>
  <c r="AF1278" i="1"/>
  <c r="AG1278" i="1" s="1"/>
  <c r="AI1278" i="1" s="1"/>
  <c r="AF1385" i="1"/>
  <c r="AG1385" i="1" s="1"/>
  <c r="AI1385" i="1" s="1"/>
  <c r="AG1394" i="1"/>
  <c r="AI1394" i="1" s="1"/>
  <c r="AG1402" i="1"/>
  <c r="AI1402" i="1" s="1"/>
  <c r="AG1413" i="1"/>
  <c r="AI1413" i="1" s="1"/>
  <c r="AF1127" i="1"/>
  <c r="AG1127" i="1" s="1"/>
  <c r="AI1127" i="1" s="1"/>
  <c r="AG1267" i="1"/>
  <c r="AI1267" i="1" s="1"/>
  <c r="AF1267" i="1"/>
  <c r="AF1279" i="1"/>
  <c r="AG1279" i="1" s="1"/>
  <c r="AI1279" i="1" s="1"/>
  <c r="AG1302" i="1"/>
  <c r="AI1302" i="1" s="1"/>
  <c r="AF1302" i="1"/>
  <c r="AF1310" i="1"/>
  <c r="AG1310" i="1" s="1"/>
  <c r="AI1310" i="1" s="1"/>
  <c r="AG1340" i="1"/>
  <c r="AI1340" i="1" s="1"/>
  <c r="AG1426" i="1"/>
  <c r="AI1426" i="1" s="1"/>
  <c r="AF1426" i="1"/>
  <c r="AF1436" i="1"/>
  <c r="AG1436" i="1" s="1"/>
  <c r="AI1436" i="1" s="1"/>
  <c r="AG1147" i="1"/>
  <c r="AI1147" i="1" s="1"/>
  <c r="AF1147" i="1"/>
  <c r="AF1215" i="1"/>
  <c r="AG1215" i="1" s="1"/>
  <c r="AI1215" i="1" s="1"/>
  <c r="AF1286" i="1"/>
  <c r="AG1286" i="1" s="1"/>
  <c r="AI1286" i="1" s="1"/>
  <c r="AF1100" i="1"/>
  <c r="AF1113" i="1"/>
  <c r="AF1162" i="1"/>
  <c r="AG1162" i="1" s="1"/>
  <c r="AI1162" i="1" s="1"/>
  <c r="AG1167" i="1"/>
  <c r="AI1167" i="1" s="1"/>
  <c r="AF1167" i="1"/>
  <c r="AG1183" i="1"/>
  <c r="AI1183" i="1" s="1"/>
  <c r="AF1183" i="1"/>
  <c r="AG1199" i="1"/>
  <c r="AI1199" i="1" s="1"/>
  <c r="AF1199" i="1"/>
  <c r="AF1227" i="1"/>
  <c r="AG1227" i="1" s="1"/>
  <c r="AI1227" i="1" s="1"/>
  <c r="AG1287" i="1"/>
  <c r="AI1287" i="1" s="1"/>
  <c r="AF1287" i="1"/>
  <c r="AF1294" i="1"/>
  <c r="AG1294" i="1" s="1"/>
  <c r="AI1294" i="1" s="1"/>
  <c r="AG1513" i="1"/>
  <c r="AI1513" i="1" s="1"/>
  <c r="AF1084" i="1"/>
  <c r="AG1084" i="1" s="1"/>
  <c r="AI1084" i="1" s="1"/>
  <c r="AF1088" i="1"/>
  <c r="AG1088" i="1" s="1"/>
  <c r="AI1088" i="1" s="1"/>
  <c r="AF1092" i="1"/>
  <c r="AG1092" i="1" s="1"/>
  <c r="AI1092" i="1" s="1"/>
  <c r="AF1096" i="1"/>
  <c r="AG1096" i="1" s="1"/>
  <c r="AI1096" i="1" s="1"/>
  <c r="AF1109" i="1"/>
  <c r="AF1118" i="1"/>
  <c r="AF1123" i="1"/>
  <c r="AG1123" i="1" s="1"/>
  <c r="AI1123" i="1" s="1"/>
  <c r="AF1128" i="1"/>
  <c r="AF1133" i="1"/>
  <c r="AG1133" i="1" s="1"/>
  <c r="AI1133" i="1" s="1"/>
  <c r="AF1178" i="1"/>
  <c r="AF1194" i="1"/>
  <c r="AG1194" i="1" s="1"/>
  <c r="AI1194" i="1" s="1"/>
  <c r="AF1210" i="1"/>
  <c r="AG1210" i="1" s="1"/>
  <c r="AI1210" i="1" s="1"/>
  <c r="AF1216" i="1"/>
  <c r="AG1216" i="1" s="1"/>
  <c r="AI1216" i="1" s="1"/>
  <c r="AF1239" i="1"/>
  <c r="AG1239" i="1" s="1"/>
  <c r="AI1239" i="1" s="1"/>
  <c r="AF1262" i="1"/>
  <c r="AG1262" i="1" s="1"/>
  <c r="AI1262" i="1" s="1"/>
  <c r="AG1319" i="1"/>
  <c r="AI1319" i="1" s="1"/>
  <c r="AG1368" i="1"/>
  <c r="AI1368" i="1" s="1"/>
  <c r="AG1416" i="1"/>
  <c r="AI1416" i="1" s="1"/>
  <c r="AF1143" i="1"/>
  <c r="AG1143" i="1" s="1"/>
  <c r="AI1143" i="1" s="1"/>
  <c r="AG1251" i="1"/>
  <c r="AI1251" i="1" s="1"/>
  <c r="AF1251" i="1"/>
  <c r="AF1368" i="1"/>
  <c r="AG1457" i="1"/>
  <c r="AI1457" i="1" s="1"/>
  <c r="AG1469" i="1"/>
  <c r="AI1469" i="1" s="1"/>
  <c r="AF1469" i="1"/>
  <c r="AG1521" i="1"/>
  <c r="AI1521" i="1" s="1"/>
  <c r="AF1670" i="1"/>
  <c r="AG1670" i="1" s="1"/>
  <c r="AI1670" i="1" s="1"/>
  <c r="AG1561" i="1"/>
  <c r="AI1561" i="1" s="1"/>
  <c r="AF1561" i="1"/>
  <c r="AF1314" i="1"/>
  <c r="AF1318" i="1"/>
  <c r="AG1318" i="1" s="1"/>
  <c r="AI1318" i="1" s="1"/>
  <c r="AF1322" i="1"/>
  <c r="AG1322" i="1" s="1"/>
  <c r="AI1322" i="1" s="1"/>
  <c r="AF1326" i="1"/>
  <c r="AG1326" i="1" s="1"/>
  <c r="AI1326" i="1" s="1"/>
  <c r="AF1330" i="1"/>
  <c r="AG1330" i="1" s="1"/>
  <c r="AI1330" i="1" s="1"/>
  <c r="AG1347" i="1"/>
  <c r="AI1347" i="1" s="1"/>
  <c r="AF1360" i="1"/>
  <c r="AG1360" i="1" s="1"/>
  <c r="AI1360" i="1" s="1"/>
  <c r="AF1377" i="1"/>
  <c r="AG1377" i="1" s="1"/>
  <c r="AI1377" i="1" s="1"/>
  <c r="AF1394" i="1"/>
  <c r="AF1477" i="1"/>
  <c r="AG1477" i="1" s="1"/>
  <c r="AI1477" i="1" s="1"/>
  <c r="AG1505" i="1"/>
  <c r="AI1505" i="1" s="1"/>
  <c r="AG1630" i="1"/>
  <c r="AI1630" i="1" s="1"/>
  <c r="AF1630" i="1"/>
  <c r="AG1343" i="1"/>
  <c r="AI1343" i="1" s="1"/>
  <c r="AF1356" i="1"/>
  <c r="AG1356" i="1" s="1"/>
  <c r="AI1356" i="1" s="1"/>
  <c r="AF1373" i="1"/>
  <c r="AG1373" i="1" s="1"/>
  <c r="AI1373" i="1" s="1"/>
  <c r="AF1390" i="1"/>
  <c r="AG1407" i="1"/>
  <c r="AI1407" i="1" s="1"/>
  <c r="AG1412" i="1"/>
  <c r="AI1412" i="1" s="1"/>
  <c r="AF1417" i="1"/>
  <c r="AG1417" i="1" s="1"/>
  <c r="AI1417" i="1" s="1"/>
  <c r="AG1447" i="1"/>
  <c r="AI1447" i="1" s="1"/>
  <c r="AG1339" i="1"/>
  <c r="AI1339" i="1" s="1"/>
  <c r="AF1369" i="1"/>
  <c r="AG1369" i="1" s="1"/>
  <c r="AI1369" i="1" s="1"/>
  <c r="AF1386" i="1"/>
  <c r="AG1386" i="1" s="1"/>
  <c r="AI1386" i="1" s="1"/>
  <c r="AG1403" i="1"/>
  <c r="AI1403" i="1" s="1"/>
  <c r="AF1422" i="1"/>
  <c r="AG1427" i="1"/>
  <c r="AI1427" i="1" s="1"/>
  <c r="AG1432" i="1"/>
  <c r="AI1432" i="1" s="1"/>
  <c r="AF1437" i="1"/>
  <c r="AG1437" i="1" s="1"/>
  <c r="AI1437" i="1" s="1"/>
  <c r="AF1465" i="1"/>
  <c r="AG1465" i="1" s="1"/>
  <c r="AI1465" i="1" s="1"/>
  <c r="AG1570" i="1"/>
  <c r="AI1570" i="1" s="1"/>
  <c r="AG1660" i="1"/>
  <c r="AI1660" i="1" s="1"/>
  <c r="AF1660" i="1"/>
  <c r="AF1702" i="1"/>
  <c r="AG1702" i="1" s="1"/>
  <c r="AI1702" i="1" s="1"/>
  <c r="AF1459" i="1"/>
  <c r="AG1459" i="1" s="1"/>
  <c r="AI1459" i="1" s="1"/>
  <c r="AG1525" i="1"/>
  <c r="AI1525" i="1" s="1"/>
  <c r="AF1295" i="1"/>
  <c r="AG1295" i="1" s="1"/>
  <c r="AI1295" i="1" s="1"/>
  <c r="AF1299" i="1"/>
  <c r="AG1299" i="1" s="1"/>
  <c r="AI1299" i="1" s="1"/>
  <c r="AF1303" i="1"/>
  <c r="AG1303" i="1" s="1"/>
  <c r="AI1303" i="1" s="1"/>
  <c r="AF1307" i="1"/>
  <c r="AG1307" i="1" s="1"/>
  <c r="AI1307" i="1" s="1"/>
  <c r="AF1311" i="1"/>
  <c r="AG1311" i="1" s="1"/>
  <c r="AI1311" i="1" s="1"/>
  <c r="AF1315" i="1"/>
  <c r="AF1319" i="1"/>
  <c r="AF1323" i="1"/>
  <c r="AG1323" i="1" s="1"/>
  <c r="AI1323" i="1" s="1"/>
  <c r="AF1327" i="1"/>
  <c r="AG1327" i="1" s="1"/>
  <c r="AI1327" i="1" s="1"/>
  <c r="AG1331" i="1"/>
  <c r="AI1331" i="1" s="1"/>
  <c r="AF1344" i="1"/>
  <c r="AG1344" i="1" s="1"/>
  <c r="AI1344" i="1" s="1"/>
  <c r="AF1361" i="1"/>
  <c r="AG1361" i="1" s="1"/>
  <c r="AI1361" i="1" s="1"/>
  <c r="AF1378" i="1"/>
  <c r="AG1378" i="1" s="1"/>
  <c r="AI1378" i="1" s="1"/>
  <c r="AG1395" i="1"/>
  <c r="AI1395" i="1" s="1"/>
  <c r="AG1408" i="1"/>
  <c r="AI1408" i="1" s="1"/>
  <c r="AF1413" i="1"/>
  <c r="AF1485" i="1"/>
  <c r="AG1485" i="1" s="1"/>
  <c r="AI1485" i="1" s="1"/>
  <c r="AG1597" i="1"/>
  <c r="AI1597" i="1" s="1"/>
  <c r="AG1622" i="1"/>
  <c r="AI1622" i="1" s="1"/>
  <c r="AF1340" i="1"/>
  <c r="AF1357" i="1"/>
  <c r="AG1357" i="1" s="1"/>
  <c r="AI1357" i="1" s="1"/>
  <c r="AF1374" i="1"/>
  <c r="AG1391" i="1"/>
  <c r="AI1391" i="1" s="1"/>
  <c r="AF1404" i="1"/>
  <c r="AG1404" i="1" s="1"/>
  <c r="AI1404" i="1" s="1"/>
  <c r="AF1418" i="1"/>
  <c r="AG1418" i="1" s="1"/>
  <c r="AI1418" i="1" s="1"/>
  <c r="AG1423" i="1"/>
  <c r="AI1423" i="1" s="1"/>
  <c r="AG1428" i="1"/>
  <c r="AI1428" i="1" s="1"/>
  <c r="AF1433" i="1"/>
  <c r="AG1433" i="1" s="1"/>
  <c r="AI1433" i="1" s="1"/>
  <c r="AG1443" i="1"/>
  <c r="AI1443" i="1" s="1"/>
  <c r="AG1479" i="1"/>
  <c r="AI1479" i="1" s="1"/>
  <c r="AG1517" i="1"/>
  <c r="AI1517" i="1" s="1"/>
  <c r="AG1587" i="1"/>
  <c r="AI1587" i="1" s="1"/>
  <c r="AG1623" i="1"/>
  <c r="AI1623" i="1" s="1"/>
  <c r="AG1473" i="1"/>
  <c r="AI1473" i="1" s="1"/>
  <c r="AF1473" i="1"/>
  <c r="AF1734" i="1"/>
  <c r="AG1734" i="1" s="1"/>
  <c r="AI1734" i="1" s="1"/>
  <c r="AF1680" i="1"/>
  <c r="AG1680" i="1" s="1"/>
  <c r="AI1680" i="1" s="1"/>
  <c r="AG1750" i="1"/>
  <c r="AI1750" i="1" s="1"/>
  <c r="AG1379" i="1"/>
  <c r="AI1379" i="1" s="1"/>
  <c r="AF1392" i="1"/>
  <c r="AF1414" i="1"/>
  <c r="AG1414" i="1" s="1"/>
  <c r="AI1414" i="1" s="1"/>
  <c r="AG1455" i="1"/>
  <c r="AI1455" i="1" s="1"/>
  <c r="AF1455" i="1"/>
  <c r="AF1461" i="1"/>
  <c r="AG1461" i="1" s="1"/>
  <c r="AI1461" i="1" s="1"/>
  <c r="AG1653" i="1"/>
  <c r="AI1653" i="1" s="1"/>
  <c r="AF1653" i="1"/>
  <c r="AF1358" i="1"/>
  <c r="AG1358" i="1" s="1"/>
  <c r="AI1358" i="1" s="1"/>
  <c r="AG1375" i="1"/>
  <c r="AI1375" i="1" s="1"/>
  <c r="AF1388" i="1"/>
  <c r="AG1388" i="1" s="1"/>
  <c r="AI1388" i="1" s="1"/>
  <c r="AF1405" i="1"/>
  <c r="AG1405" i="1" s="1"/>
  <c r="AI1405" i="1" s="1"/>
  <c r="AG1439" i="1"/>
  <c r="AI1439" i="1" s="1"/>
  <c r="AG1501" i="1"/>
  <c r="AI1501" i="1" s="1"/>
  <c r="AF1608" i="1"/>
  <c r="AG1608" i="1" s="1"/>
  <c r="AI1608" i="1" s="1"/>
  <c r="AG1654" i="1"/>
  <c r="AI1654" i="1" s="1"/>
  <c r="AF1337" i="1"/>
  <c r="AF1354" i="1"/>
  <c r="AG1354" i="1" s="1"/>
  <c r="AI1354" i="1" s="1"/>
  <c r="AG1371" i="1"/>
  <c r="AI1371" i="1" s="1"/>
  <c r="AF1384" i="1"/>
  <c r="AG1384" i="1" s="1"/>
  <c r="AI1384" i="1" s="1"/>
  <c r="AF1401" i="1"/>
  <c r="AG1401" i="1" s="1"/>
  <c r="AI1401" i="1" s="1"/>
  <c r="AF1481" i="1"/>
  <c r="AG1481" i="1" s="1"/>
  <c r="AI1481" i="1" s="1"/>
  <c r="AG1529" i="1"/>
  <c r="AI1529" i="1" s="1"/>
  <c r="AF1574" i="1"/>
  <c r="AG1574" i="1" s="1"/>
  <c r="AI1574" i="1" s="1"/>
  <c r="AG1590" i="1"/>
  <c r="AI1590" i="1" s="1"/>
  <c r="AG1609" i="1"/>
  <c r="AI1609" i="1" s="1"/>
  <c r="AG1367" i="1"/>
  <c r="AI1367" i="1" s="1"/>
  <c r="AG1415" i="1"/>
  <c r="AI1415" i="1" s="1"/>
  <c r="AG1420" i="1"/>
  <c r="AI1420" i="1" s="1"/>
  <c r="AG1445" i="1"/>
  <c r="AI1445" i="1" s="1"/>
  <c r="AG1575" i="1"/>
  <c r="AI1575" i="1" s="1"/>
  <c r="AG1591" i="1"/>
  <c r="AI1591" i="1" s="1"/>
  <c r="AF1591" i="1"/>
  <c r="AG1669" i="1"/>
  <c r="AI1669" i="1" s="1"/>
  <c r="AF1669" i="1"/>
  <c r="AF1679" i="1"/>
  <c r="AG1679" i="1" s="1"/>
  <c r="AI1679" i="1" s="1"/>
  <c r="AG1701" i="1"/>
  <c r="AI1701" i="1" s="1"/>
  <c r="AF1701" i="1"/>
  <c r="AG1711" i="1"/>
  <c r="AI1711" i="1" s="1"/>
  <c r="AF1711" i="1"/>
  <c r="AF1743" i="1"/>
  <c r="AG1743" i="1" s="1"/>
  <c r="AI1743" i="1" s="1"/>
  <c r="AF1661" i="1"/>
  <c r="AG1661" i="1" s="1"/>
  <c r="AI1661" i="1" s="1"/>
  <c r="AG1681" i="1"/>
  <c r="AI1681" i="1" s="1"/>
  <c r="AF1681" i="1"/>
  <c r="AG1691" i="1"/>
  <c r="AI1691" i="1" s="1"/>
  <c r="AF1691" i="1"/>
  <c r="AG1713" i="1"/>
  <c r="AI1713" i="1" s="1"/>
  <c r="AF1713" i="1"/>
  <c r="AF1723" i="1"/>
  <c r="AG1723" i="1" s="1"/>
  <c r="AI1723" i="1" s="1"/>
  <c r="AG1755" i="1"/>
  <c r="AI1755" i="1" s="1"/>
  <c r="AF1755" i="1"/>
  <c r="AG1793" i="1"/>
  <c r="AI1793" i="1" s="1"/>
  <c r="AG1857" i="1"/>
  <c r="AI1857" i="1" s="1"/>
  <c r="AF1489" i="1"/>
  <c r="AG1489" i="1" s="1"/>
  <c r="AI1489" i="1" s="1"/>
  <c r="AF1493" i="1"/>
  <c r="AG1493" i="1" s="1"/>
  <c r="AI1493" i="1" s="1"/>
  <c r="AF1497" i="1"/>
  <c r="AG1497" i="1" s="1"/>
  <c r="AI1497" i="1" s="1"/>
  <c r="AF1501" i="1"/>
  <c r="AF1505" i="1"/>
  <c r="AF1509" i="1"/>
  <c r="AG1509" i="1" s="1"/>
  <c r="AI1509" i="1" s="1"/>
  <c r="AF1513" i="1"/>
  <c r="AF1517" i="1"/>
  <c r="AF1521" i="1"/>
  <c r="AF1525" i="1"/>
  <c r="AF1529" i="1"/>
  <c r="AF1533" i="1"/>
  <c r="AG1533" i="1" s="1"/>
  <c r="AI1533" i="1" s="1"/>
  <c r="AF1537" i="1"/>
  <c r="AG1537" i="1" s="1"/>
  <c r="AI1537" i="1" s="1"/>
  <c r="AF1541" i="1"/>
  <c r="AG1541" i="1" s="1"/>
  <c r="AI1541" i="1" s="1"/>
  <c r="AF1545" i="1"/>
  <c r="AG1545" i="1" s="1"/>
  <c r="AI1545" i="1" s="1"/>
  <c r="AF1549" i="1"/>
  <c r="AG1549" i="1" s="1"/>
  <c r="AI1549" i="1" s="1"/>
  <c r="AF1553" i="1"/>
  <c r="AG1553" i="1" s="1"/>
  <c r="AI1553" i="1" s="1"/>
  <c r="AF1557" i="1"/>
  <c r="AG1557" i="1" s="1"/>
  <c r="AI1557" i="1" s="1"/>
  <c r="AF1570" i="1"/>
  <c r="AF1587" i="1"/>
  <c r="AF1604" i="1"/>
  <c r="AG1604" i="1" s="1"/>
  <c r="AI1604" i="1" s="1"/>
  <c r="AF1621" i="1"/>
  <c r="AG1621" i="1" s="1"/>
  <c r="AI1621" i="1" s="1"/>
  <c r="AF1640" i="1"/>
  <c r="AG1640" i="1" s="1"/>
  <c r="AI1640" i="1" s="1"/>
  <c r="AF1654" i="1"/>
  <c r="AG1692" i="1"/>
  <c r="AI1692" i="1" s="1"/>
  <c r="AF1692" i="1"/>
  <c r="AF1724" i="1"/>
  <c r="AG1724" i="1" s="1"/>
  <c r="AI1724" i="1" s="1"/>
  <c r="AG1781" i="1"/>
  <c r="AI1781" i="1" s="1"/>
  <c r="AG1819" i="1"/>
  <c r="AI1819" i="1" s="1"/>
  <c r="AG1832" i="1"/>
  <c r="AI1832" i="1" s="1"/>
  <c r="AG1845" i="1"/>
  <c r="AI1845" i="1" s="1"/>
  <c r="AG1641" i="1"/>
  <c r="AI1641" i="1" s="1"/>
  <c r="AG1647" i="1"/>
  <c r="AI1647" i="1" s="1"/>
  <c r="AF1671" i="1"/>
  <c r="AG1671" i="1" s="1"/>
  <c r="AI1671" i="1" s="1"/>
  <c r="AG1693" i="1"/>
  <c r="AI1693" i="1" s="1"/>
  <c r="AF1693" i="1"/>
  <c r="AF1703" i="1"/>
  <c r="AG1703" i="1" s="1"/>
  <c r="AI1703" i="1" s="1"/>
  <c r="AF1735" i="1"/>
  <c r="AG1735" i="1" s="1"/>
  <c r="AI1735" i="1" s="1"/>
  <c r="AF1746" i="1"/>
  <c r="AG1746" i="1" s="1"/>
  <c r="AI1746" i="1" s="1"/>
  <c r="AG1757" i="1"/>
  <c r="AI1757" i="1" s="1"/>
  <c r="AG1769" i="1"/>
  <c r="AI1769" i="1" s="1"/>
  <c r="AG1807" i="1"/>
  <c r="AI1807" i="1" s="1"/>
  <c r="AG1820" i="1"/>
  <c r="AI1820" i="1" s="1"/>
  <c r="AF1672" i="1"/>
  <c r="AG1672" i="1" s="1"/>
  <c r="AI1672" i="1" s="1"/>
  <c r="AG1704" i="1"/>
  <c r="AI1704" i="1" s="1"/>
  <c r="AF1704" i="1"/>
  <c r="AF1736" i="1"/>
  <c r="AG1736" i="1" s="1"/>
  <c r="AI1736" i="1" s="1"/>
  <c r="AG1859" i="1"/>
  <c r="AI1859" i="1" s="1"/>
  <c r="AG1885" i="1"/>
  <c r="AI1885" i="1" s="1"/>
  <c r="AF1558" i="1"/>
  <c r="AG1558" i="1" s="1"/>
  <c r="AI1558" i="1" s="1"/>
  <c r="AF1575" i="1"/>
  <c r="AF1592" i="1"/>
  <c r="AG1592" i="1" s="1"/>
  <c r="AI1592" i="1" s="1"/>
  <c r="AF1609" i="1"/>
  <c r="AF1622" i="1"/>
  <c r="AF1631" i="1"/>
  <c r="AG1631" i="1" s="1"/>
  <c r="AI1631" i="1" s="1"/>
  <c r="AG1648" i="1"/>
  <c r="AI1648" i="1" s="1"/>
  <c r="AG1655" i="1"/>
  <c r="AI1655" i="1" s="1"/>
  <c r="AF1673" i="1"/>
  <c r="AG1673" i="1" s="1"/>
  <c r="AI1673" i="1" s="1"/>
  <c r="AF1683" i="1"/>
  <c r="AG1683" i="1" s="1"/>
  <c r="AI1683" i="1" s="1"/>
  <c r="AF1694" i="1"/>
  <c r="AG1694" i="1" s="1"/>
  <c r="AI1694" i="1" s="1"/>
  <c r="AG1705" i="1"/>
  <c r="AI1705" i="1" s="1"/>
  <c r="AF1705" i="1"/>
  <c r="AG1715" i="1"/>
  <c r="AI1715" i="1" s="1"/>
  <c r="AF1715" i="1"/>
  <c r="AF1726" i="1"/>
  <c r="AG1726" i="1" s="1"/>
  <c r="AI1726" i="1" s="1"/>
  <c r="AF1747" i="1"/>
  <c r="AG1747" i="1" s="1"/>
  <c r="AI1747" i="1" s="1"/>
  <c r="AG1636" i="1"/>
  <c r="AI1636" i="1" s="1"/>
  <c r="AF1663" i="1"/>
  <c r="AG1663" i="1" s="1"/>
  <c r="AI1663" i="1" s="1"/>
  <c r="AF1684" i="1"/>
  <c r="AG1684" i="1" s="1"/>
  <c r="AI1684" i="1" s="1"/>
  <c r="AG1716" i="1"/>
  <c r="AI1716" i="1" s="1"/>
  <c r="AF1716" i="1"/>
  <c r="AG1797" i="1"/>
  <c r="AI1797" i="1" s="1"/>
  <c r="AF1649" i="1"/>
  <c r="AG1649" i="1" s="1"/>
  <c r="AI1649" i="1" s="1"/>
  <c r="AF1664" i="1"/>
  <c r="AG1664" i="1" s="1"/>
  <c r="AI1664" i="1" s="1"/>
  <c r="AF1685" i="1"/>
  <c r="AG1685" i="1" s="1"/>
  <c r="AI1685" i="1" s="1"/>
  <c r="AG1695" i="1"/>
  <c r="AI1695" i="1" s="1"/>
  <c r="AF1695" i="1"/>
  <c r="AF1717" i="1"/>
  <c r="AG1717" i="1" s="1"/>
  <c r="AI1717" i="1" s="1"/>
  <c r="AF1727" i="1"/>
  <c r="AG1727" i="1" s="1"/>
  <c r="AI1727" i="1" s="1"/>
  <c r="AG1836" i="1"/>
  <c r="AI1836" i="1" s="1"/>
  <c r="AG1849" i="1"/>
  <c r="AI1849" i="1" s="1"/>
  <c r="AF1563" i="1"/>
  <c r="AG1563" i="1" s="1"/>
  <c r="AI1563" i="1" s="1"/>
  <c r="AF1580" i="1"/>
  <c r="AG1580" i="1" s="1"/>
  <c r="AI1580" i="1" s="1"/>
  <c r="AF1597" i="1"/>
  <c r="AF1610" i="1"/>
  <c r="AG1610" i="1" s="1"/>
  <c r="AI1610" i="1" s="1"/>
  <c r="AG1637" i="1"/>
  <c r="AI1637" i="1" s="1"/>
  <c r="AF1656" i="1"/>
  <c r="AG1656" i="1" s="1"/>
  <c r="AI1656" i="1" s="1"/>
  <c r="AG1665" i="1"/>
  <c r="AI1665" i="1" s="1"/>
  <c r="AF1665" i="1"/>
  <c r="AF1696" i="1"/>
  <c r="AG1696" i="1" s="1"/>
  <c r="AI1696" i="1" s="1"/>
  <c r="AF1728" i="1"/>
  <c r="AG1728" i="1" s="1"/>
  <c r="AI1728" i="1" s="1"/>
  <c r="AG1773" i="1"/>
  <c r="AI1773" i="1" s="1"/>
  <c r="AG1811" i="1"/>
  <c r="AI1811" i="1" s="1"/>
  <c r="AG1824" i="1"/>
  <c r="AI1824" i="1" s="1"/>
  <c r="AG1837" i="1"/>
  <c r="AI1837" i="1" s="1"/>
  <c r="AG1875" i="1"/>
  <c r="AI1875" i="1" s="1"/>
  <c r="AF1559" i="1"/>
  <c r="AG1559" i="1" s="1"/>
  <c r="AI1559" i="1" s="1"/>
  <c r="AF1593" i="1"/>
  <c r="AG1593" i="1" s="1"/>
  <c r="AI1593" i="1" s="1"/>
  <c r="AF1606" i="1"/>
  <c r="AG1606" i="1" s="1"/>
  <c r="AI1606" i="1" s="1"/>
  <c r="AF1623" i="1"/>
  <c r="AF1632" i="1"/>
  <c r="AG1632" i="1" s="1"/>
  <c r="AI1632" i="1" s="1"/>
  <c r="AF1637" i="1"/>
  <c r="AF1650" i="1"/>
  <c r="AG1650" i="1" s="1"/>
  <c r="AI1650" i="1" s="1"/>
  <c r="AF1657" i="1"/>
  <c r="AG1657" i="1" s="1"/>
  <c r="AI1657" i="1" s="1"/>
  <c r="AF1675" i="1"/>
  <c r="AG1675" i="1" s="1"/>
  <c r="AI1675" i="1" s="1"/>
  <c r="AF1686" i="1"/>
  <c r="AG1686" i="1" s="1"/>
  <c r="AI1686" i="1" s="1"/>
  <c r="AG1697" i="1"/>
  <c r="AI1697" i="1" s="1"/>
  <c r="AF1697" i="1"/>
  <c r="AG1707" i="1"/>
  <c r="AI1707" i="1" s="1"/>
  <c r="AF1707" i="1"/>
  <c r="AF1718" i="1"/>
  <c r="AG1718" i="1" s="1"/>
  <c r="AI1718" i="1" s="1"/>
  <c r="AG1729" i="1"/>
  <c r="AI1729" i="1" s="1"/>
  <c r="AG1739" i="1"/>
  <c r="AI1739" i="1" s="1"/>
  <c r="AF1739" i="1"/>
  <c r="AF1750" i="1"/>
  <c r="AG1799" i="1"/>
  <c r="AI1799" i="1" s="1"/>
  <c r="AG1812" i="1"/>
  <c r="AI1812" i="1" s="1"/>
  <c r="AG1863" i="1"/>
  <c r="AI1863" i="1" s="1"/>
  <c r="AG1876" i="1"/>
  <c r="AI1876" i="1" s="1"/>
  <c r="AF1467" i="1"/>
  <c r="AG1467" i="1" s="1"/>
  <c r="AI1467" i="1" s="1"/>
  <c r="AF1471" i="1"/>
  <c r="AG1471" i="1" s="1"/>
  <c r="AI1471" i="1" s="1"/>
  <c r="AF1475" i="1"/>
  <c r="AG1475" i="1" s="1"/>
  <c r="AI1475" i="1" s="1"/>
  <c r="AF1479" i="1"/>
  <c r="AG1628" i="1"/>
  <c r="AI1628" i="1" s="1"/>
  <c r="AF1643" i="1"/>
  <c r="AG1643" i="1" s="1"/>
  <c r="AI1643" i="1" s="1"/>
  <c r="AG1676" i="1"/>
  <c r="AI1676" i="1" s="1"/>
  <c r="AF1676" i="1"/>
  <c r="AF1708" i="1"/>
  <c r="AG1708" i="1" s="1"/>
  <c r="AI1708" i="1" s="1"/>
  <c r="AG1851" i="1"/>
  <c r="AI1851" i="1" s="1"/>
  <c r="AG1877" i="1"/>
  <c r="AI1877" i="1" s="1"/>
  <c r="AG1644" i="1"/>
  <c r="AI1644" i="1" s="1"/>
  <c r="AG1677" i="1"/>
  <c r="AI1677" i="1" s="1"/>
  <c r="AF1677" i="1"/>
  <c r="AF1687" i="1"/>
  <c r="AG1687" i="1" s="1"/>
  <c r="AI1687" i="1" s="1"/>
  <c r="AG1709" i="1"/>
  <c r="AI1709" i="1" s="1"/>
  <c r="AF1709" i="1"/>
  <c r="AF1719" i="1"/>
  <c r="AG1719" i="1" s="1"/>
  <c r="AI1719" i="1" s="1"/>
  <c r="AF1751" i="1"/>
  <c r="AG1751" i="1" s="1"/>
  <c r="AI1751" i="1" s="1"/>
  <c r="AG1775" i="1"/>
  <c r="AI1775" i="1" s="1"/>
  <c r="AG1788" i="1"/>
  <c r="AI1788" i="1" s="1"/>
  <c r="AG1801" i="1"/>
  <c r="AI1801" i="1" s="1"/>
  <c r="AG1839" i="1"/>
  <c r="AI1839" i="1" s="1"/>
  <c r="AG1852" i="1"/>
  <c r="AI1852" i="1" s="1"/>
  <c r="AG1651" i="1"/>
  <c r="AI1651" i="1" s="1"/>
  <c r="AF1688" i="1"/>
  <c r="AG1688" i="1" s="1"/>
  <c r="AI1688" i="1" s="1"/>
  <c r="AG1720" i="1"/>
  <c r="AI1720" i="1" s="1"/>
  <c r="AF1720" i="1"/>
  <c r="AG1776" i="1"/>
  <c r="AI1776" i="1" s="1"/>
  <c r="AG1840" i="1"/>
  <c r="AI1840" i="1" s="1"/>
  <c r="AG1853" i="1"/>
  <c r="AI1853" i="1" s="1"/>
  <c r="AG1891" i="1"/>
  <c r="AI1891" i="1" s="1"/>
  <c r="AF1560" i="1"/>
  <c r="AG1560" i="1" s="1"/>
  <c r="AI1560" i="1" s="1"/>
  <c r="AF1577" i="1"/>
  <c r="AG1577" i="1" s="1"/>
  <c r="AI1577" i="1" s="1"/>
  <c r="AF1590" i="1"/>
  <c r="AF1607" i="1"/>
  <c r="AG1607" i="1" s="1"/>
  <c r="AI1607" i="1" s="1"/>
  <c r="AF1624" i="1"/>
  <c r="AG1624" i="1" s="1"/>
  <c r="AI1624" i="1" s="1"/>
  <c r="AF1651" i="1"/>
  <c r="AF1667" i="1"/>
  <c r="AG1667" i="1" s="1"/>
  <c r="AI1667" i="1" s="1"/>
  <c r="AF1678" i="1"/>
  <c r="AG1678" i="1" s="1"/>
  <c r="AI1678" i="1" s="1"/>
  <c r="AG1689" i="1"/>
  <c r="AI1689" i="1" s="1"/>
  <c r="AF1689" i="1"/>
  <c r="AF1699" i="1"/>
  <c r="AG1699" i="1" s="1"/>
  <c r="AI1699" i="1" s="1"/>
  <c r="AF1710" i="1"/>
  <c r="AG1710" i="1" s="1"/>
  <c r="AI1710" i="1" s="1"/>
  <c r="AG1721" i="1"/>
  <c r="AI1721" i="1" s="1"/>
  <c r="AF1721" i="1"/>
  <c r="AG1731" i="1"/>
  <c r="AI1731" i="1" s="1"/>
  <c r="AF1731" i="1"/>
  <c r="AF1742" i="1"/>
  <c r="AG1742" i="1" s="1"/>
  <c r="AI1742" i="1" s="1"/>
  <c r="AG1639" i="1"/>
  <c r="AI1639" i="1" s="1"/>
  <c r="AF1645" i="1"/>
  <c r="AG1645" i="1" s="1"/>
  <c r="AI1645" i="1" s="1"/>
  <c r="AG1652" i="1"/>
  <c r="AI1652" i="1" s="1"/>
  <c r="AG1659" i="1"/>
  <c r="AI1659" i="1" s="1"/>
  <c r="AG1668" i="1"/>
  <c r="AI1668" i="1" s="1"/>
  <c r="AF1668" i="1"/>
  <c r="AF1700" i="1"/>
  <c r="AG1700" i="1" s="1"/>
  <c r="AI1700" i="1" s="1"/>
  <c r="AF1732" i="1"/>
  <c r="AG1732" i="1" s="1"/>
  <c r="AI1732" i="1" s="1"/>
  <c r="AG1816" i="1"/>
  <c r="AI1816" i="1" s="1"/>
  <c r="AG1867" i="1"/>
  <c r="AI1867" i="1" s="1"/>
  <c r="AG1880" i="1"/>
  <c r="AI1880" i="1" s="1"/>
  <c r="AF1759" i="1"/>
  <c r="AG1759" i="1" s="1"/>
  <c r="AI1759" i="1" s="1"/>
  <c r="AF1763" i="1"/>
  <c r="AG1763" i="1" s="1"/>
  <c r="AI1763" i="1" s="1"/>
  <c r="AF1767" i="1"/>
  <c r="AG1767" i="1" s="1"/>
  <c r="AI1767" i="1" s="1"/>
  <c r="AF1771" i="1"/>
  <c r="AG1771" i="1" s="1"/>
  <c r="AI1771" i="1" s="1"/>
  <c r="AF1775" i="1"/>
  <c r="AF1779" i="1"/>
  <c r="AG1779" i="1" s="1"/>
  <c r="AI1779" i="1" s="1"/>
  <c r="AF1783" i="1"/>
  <c r="AG1783" i="1" s="1"/>
  <c r="AI1783" i="1" s="1"/>
  <c r="AF1787" i="1"/>
  <c r="AG1787" i="1" s="1"/>
  <c r="AI1787" i="1" s="1"/>
  <c r="AF1791" i="1"/>
  <c r="AG1791" i="1" s="1"/>
  <c r="AI1791" i="1" s="1"/>
  <c r="AF1795" i="1"/>
  <c r="AG1795" i="1" s="1"/>
  <c r="AI1795" i="1" s="1"/>
  <c r="AF1799" i="1"/>
  <c r="AF1803" i="1"/>
  <c r="AG1803" i="1" s="1"/>
  <c r="AI1803" i="1" s="1"/>
  <c r="AF1807" i="1"/>
  <c r="AF1811" i="1"/>
  <c r="AF1815" i="1"/>
  <c r="AG1815" i="1" s="1"/>
  <c r="AI1815" i="1" s="1"/>
  <c r="AF1819" i="1"/>
  <c r="AF1823" i="1"/>
  <c r="AG1823" i="1" s="1"/>
  <c r="AI1823" i="1" s="1"/>
  <c r="AF1827" i="1"/>
  <c r="AG1827" i="1" s="1"/>
  <c r="AI1827" i="1" s="1"/>
  <c r="AF1831" i="1"/>
  <c r="AG1831" i="1" s="1"/>
  <c r="AI1831" i="1" s="1"/>
  <c r="AF1835" i="1"/>
  <c r="AG1835" i="1" s="1"/>
  <c r="AI1835" i="1" s="1"/>
  <c r="AF1839" i="1"/>
  <c r="AF1843" i="1"/>
  <c r="AG1843" i="1" s="1"/>
  <c r="AI1843" i="1" s="1"/>
  <c r="AF1847" i="1"/>
  <c r="AG1847" i="1" s="1"/>
  <c r="AI1847" i="1" s="1"/>
  <c r="AF1851" i="1"/>
  <c r="AF1855" i="1"/>
  <c r="AG1855" i="1" s="1"/>
  <c r="AI1855" i="1" s="1"/>
  <c r="AF1859" i="1"/>
  <c r="AF1863" i="1"/>
  <c r="AF1867" i="1"/>
  <c r="AF1871" i="1"/>
  <c r="AG1871" i="1" s="1"/>
  <c r="AI1871" i="1" s="1"/>
  <c r="AF1875" i="1"/>
  <c r="AF1879" i="1"/>
  <c r="AG1879" i="1" s="1"/>
  <c r="AI1879" i="1" s="1"/>
  <c r="AF1883" i="1"/>
  <c r="AG1883" i="1" s="1"/>
  <c r="AI1883" i="1" s="1"/>
  <c r="AF1887" i="1"/>
  <c r="AG1887" i="1" s="1"/>
  <c r="AI1887" i="1" s="1"/>
  <c r="AF1891" i="1"/>
  <c r="AF1740" i="1"/>
  <c r="AG1740" i="1" s="1"/>
  <c r="AI1740" i="1" s="1"/>
  <c r="AF1744" i="1"/>
  <c r="AG1744" i="1" s="1"/>
  <c r="AI1744" i="1" s="1"/>
  <c r="AF1748" i="1"/>
  <c r="AG1748" i="1" s="1"/>
  <c r="AI1748" i="1" s="1"/>
  <c r="AF1752" i="1"/>
  <c r="AG1752" i="1" s="1"/>
  <c r="AI1752" i="1" s="1"/>
  <c r="AF1756" i="1"/>
  <c r="AG1756" i="1" s="1"/>
  <c r="AI1756" i="1" s="1"/>
  <c r="AF1760" i="1"/>
  <c r="AG1760" i="1" s="1"/>
  <c r="AI1760" i="1" s="1"/>
  <c r="AF1764" i="1"/>
  <c r="AG1764" i="1" s="1"/>
  <c r="AI1764" i="1" s="1"/>
  <c r="AF1768" i="1"/>
  <c r="AG1768" i="1" s="1"/>
  <c r="AI1768" i="1" s="1"/>
  <c r="AF1772" i="1"/>
  <c r="AG1772" i="1" s="1"/>
  <c r="AI1772" i="1" s="1"/>
  <c r="AF1776" i="1"/>
  <c r="AF1780" i="1"/>
  <c r="AG1780" i="1" s="1"/>
  <c r="AI1780" i="1" s="1"/>
  <c r="AF1784" i="1"/>
  <c r="AG1784" i="1" s="1"/>
  <c r="AI1784" i="1" s="1"/>
  <c r="AF1788" i="1"/>
  <c r="AF1792" i="1"/>
  <c r="AG1792" i="1" s="1"/>
  <c r="AI1792" i="1" s="1"/>
  <c r="AF1796" i="1"/>
  <c r="AG1796" i="1" s="1"/>
  <c r="AI1796" i="1" s="1"/>
  <c r="AF1800" i="1"/>
  <c r="AG1800" i="1" s="1"/>
  <c r="AI1800" i="1" s="1"/>
  <c r="AF1804" i="1"/>
  <c r="AG1804" i="1" s="1"/>
  <c r="AI1804" i="1" s="1"/>
  <c r="AF1808" i="1"/>
  <c r="AG1808" i="1" s="1"/>
  <c r="AI1808" i="1" s="1"/>
  <c r="AF1812" i="1"/>
  <c r="AF1816" i="1"/>
  <c r="AF1820" i="1"/>
  <c r="AF1824" i="1"/>
  <c r="AF1828" i="1"/>
  <c r="AG1828" i="1" s="1"/>
  <c r="AI1828" i="1" s="1"/>
  <c r="AF1832" i="1"/>
  <c r="AF1836" i="1"/>
  <c r="AF1840" i="1"/>
  <c r="AF1844" i="1"/>
  <c r="AG1844" i="1" s="1"/>
  <c r="AI1844" i="1" s="1"/>
  <c r="AF1848" i="1"/>
  <c r="AG1848" i="1" s="1"/>
  <c r="AI1848" i="1" s="1"/>
  <c r="AF1852" i="1"/>
  <c r="AF1856" i="1"/>
  <c r="AF1860" i="1"/>
  <c r="AG1860" i="1" s="1"/>
  <c r="AI1860" i="1" s="1"/>
  <c r="AF1864" i="1"/>
  <c r="AG1864" i="1" s="1"/>
  <c r="AI1864" i="1" s="1"/>
  <c r="AF1868" i="1"/>
  <c r="AG1868" i="1" s="1"/>
  <c r="AI1868" i="1" s="1"/>
  <c r="AF1872" i="1"/>
  <c r="AG1872" i="1" s="1"/>
  <c r="AI1872" i="1" s="1"/>
  <c r="AF1876" i="1"/>
  <c r="AF1880" i="1"/>
  <c r="AF1884" i="1"/>
  <c r="AG1884" i="1" s="1"/>
  <c r="AI1884" i="1" s="1"/>
  <c r="AF1888" i="1"/>
  <c r="AG1888" i="1" s="1"/>
  <c r="AI1888" i="1" s="1"/>
  <c r="AF1892" i="1"/>
  <c r="AG1892" i="1" s="1"/>
  <c r="AI1892" i="1" s="1"/>
  <c r="AF1725" i="1"/>
  <c r="AG1725" i="1" s="1"/>
  <c r="AI1725" i="1" s="1"/>
  <c r="AF1729" i="1"/>
  <c r="AF1733" i="1"/>
  <c r="AG1733" i="1" s="1"/>
  <c r="AI1733" i="1" s="1"/>
  <c r="AF1737" i="1"/>
  <c r="AG1737" i="1" s="1"/>
  <c r="AI1737" i="1" s="1"/>
  <c r="AF1741" i="1"/>
  <c r="AG1741" i="1" s="1"/>
  <c r="AI1741" i="1" s="1"/>
  <c r="AF1745" i="1"/>
  <c r="AG1745" i="1" s="1"/>
  <c r="AI1745" i="1" s="1"/>
  <c r="AF1749" i="1"/>
  <c r="AG1749" i="1" s="1"/>
  <c r="AI1749" i="1" s="1"/>
  <c r="AF1753" i="1"/>
  <c r="AG1753" i="1" s="1"/>
  <c r="AI1753" i="1" s="1"/>
  <c r="AF1757" i="1"/>
  <c r="AF1761" i="1"/>
  <c r="AG1761" i="1" s="1"/>
  <c r="AI1761" i="1" s="1"/>
  <c r="AF1765" i="1"/>
  <c r="AG1765" i="1" s="1"/>
  <c r="AI1765" i="1" s="1"/>
  <c r="AF1769" i="1"/>
  <c r="AF1773" i="1"/>
  <c r="AF1777" i="1"/>
  <c r="AG1777" i="1" s="1"/>
  <c r="AI1777" i="1" s="1"/>
  <c r="AF1781" i="1"/>
  <c r="AF1785" i="1"/>
  <c r="AG1785" i="1" s="1"/>
  <c r="AI1785" i="1" s="1"/>
  <c r="AF1789" i="1"/>
  <c r="AG1789" i="1" s="1"/>
  <c r="AI1789" i="1" s="1"/>
  <c r="AF1793" i="1"/>
  <c r="AF1797" i="1"/>
  <c r="AF1801" i="1"/>
  <c r="AF1805" i="1"/>
  <c r="AG1805" i="1" s="1"/>
  <c r="AI1805" i="1" s="1"/>
  <c r="AF1809" i="1"/>
  <c r="AG1809" i="1" s="1"/>
  <c r="AI1809" i="1" s="1"/>
  <c r="AF1813" i="1"/>
  <c r="AG1813" i="1" s="1"/>
  <c r="AI1813" i="1" s="1"/>
  <c r="AF1817" i="1"/>
  <c r="AG1817" i="1" s="1"/>
  <c r="AI1817" i="1" s="1"/>
  <c r="AF1821" i="1"/>
  <c r="AG1821" i="1" s="1"/>
  <c r="AI1821" i="1" s="1"/>
  <c r="AF1825" i="1"/>
  <c r="AG1825" i="1" s="1"/>
  <c r="AI1825" i="1" s="1"/>
  <c r="AF1829" i="1"/>
  <c r="AG1829" i="1" s="1"/>
  <c r="AI1829" i="1" s="1"/>
  <c r="AF1833" i="1"/>
  <c r="AG1833" i="1" s="1"/>
  <c r="AI1833" i="1" s="1"/>
  <c r="AF1837" i="1"/>
  <c r="AF1841" i="1"/>
  <c r="AG1841" i="1" s="1"/>
  <c r="AI1841" i="1" s="1"/>
  <c r="AF1845" i="1"/>
  <c r="AF1849" i="1"/>
  <c r="AF1853" i="1"/>
  <c r="AF1857" i="1"/>
  <c r="AF1861" i="1"/>
  <c r="AG1861" i="1" s="1"/>
  <c r="AI1861" i="1" s="1"/>
  <c r="AF1865" i="1"/>
  <c r="AG1865" i="1" s="1"/>
  <c r="AI1865" i="1" s="1"/>
  <c r="AF1869" i="1"/>
  <c r="AG1869" i="1" s="1"/>
  <c r="AI1869" i="1" s="1"/>
  <c r="AF1873" i="1"/>
  <c r="AG1873" i="1" s="1"/>
  <c r="AI1873" i="1" s="1"/>
  <c r="AF1877" i="1"/>
  <c r="AF1881" i="1"/>
  <c r="AG1881" i="1" s="1"/>
  <c r="AI1881" i="1" s="1"/>
  <c r="AF1885" i="1"/>
  <c r="AF1889" i="1"/>
  <c r="AG1889" i="1" s="1"/>
  <c r="AI1889" i="1" s="1"/>
  <c r="AF1893" i="1"/>
  <c r="AG1893" i="1" s="1"/>
  <c r="AI1893" i="1" s="1"/>
</calcChain>
</file>

<file path=xl/sharedStrings.xml><?xml version="1.0" encoding="utf-8"?>
<sst xmlns="http://schemas.openxmlformats.org/spreadsheetml/2006/main" count="37676" uniqueCount="5544">
  <si>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</si>
  <si>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</si>
  <si>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</si>
  <si>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</si>
  <si>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</si>
  <si>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</si>
  <si>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</si>
  <si>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</si>
  <si>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</si>
  <si>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</si>
  <si>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</si>
  <si>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</si>
  <si>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</si>
  <si>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</si>
  <si>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</si>
  <si>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</si>
  <si>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</si>
  <si>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</si>
  <si>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</si>
  <si>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</si>
  <si>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</si>
  <si>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</si>
  <si>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</si>
  <si>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</si>
  <si>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</si>
  <si>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</si>
  <si>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Flat Discount</t>
  </si>
  <si>
    <t>Converted COD Value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</si>
  <si>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</si>
  <si>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</si>
  <si>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</si>
  <si>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</si>
  <si>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</si>
  <si>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</si>
  <si>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</si>
  <si>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Country</t>
  </si>
  <si>
    <t>ASNP - Ninja Van at Pengkalan Chepa - 49024</t>
  </si>
  <si>
    <t>Nahkhoda Link Express</t>
  </si>
  <si>
    <t>ASNP - Ninja Van at Pengkalan Chepa</t>
  </si>
  <si>
    <t>NVMY49024000002480</t>
  </si>
  <si>
    <t/>
  </si>
  <si>
    <t>Completed</t>
  </si>
  <si>
    <t>Mohd khairul mahathir bin anjim</t>
  </si>
  <si>
    <t>DELIVERY_THREE_DAYS_ANYTIME</t>
  </si>
  <si>
    <t>Parcel</t>
  </si>
  <si>
    <t>STANDARD</t>
  </si>
  <si>
    <t>SMALL</t>
  </si>
  <si>
    <t>Petaling</t>
  </si>
  <si>
    <t>WMSIA</t>
  </si>
  <si>
    <t>PT 1128, Perumahan PKINK Pengkalan Chepa, Kelantan</t>
  </si>
  <si>
    <t>Sabah</t>
  </si>
  <si>
    <t>Kg taun gusi jalan kudat 89150 kota belud sabah</t>
  </si>
  <si>
    <t>EMSIA</t>
  </si>
  <si>
    <t>MM-MM</t>
  </si>
  <si>
    <t>AHMAD RETAIL</t>
  </si>
  <si>
    <t>EM</t>
  </si>
  <si>
    <t>NVMY49024000002556</t>
  </si>
  <si>
    <t>ROSLIZA BT ISMAIL</t>
  </si>
  <si>
    <t>Machang</t>
  </si>
  <si>
    <t>Kelantan</t>
  </si>
  <si>
    <t>KLINIK PERGIGIAN TUMPAT (LAMA), 16200 TUMPAT KELANTAN</t>
  </si>
  <si>
    <t>KEL-KEL</t>
  </si>
  <si>
    <t>WM</t>
  </si>
  <si>
    <t>NVMY49024000002533</t>
  </si>
  <si>
    <t>NORAINI BTE AZALAN</t>
  </si>
  <si>
    <t>Melaka</t>
  </si>
  <si>
    <t>JB 1089 JALAN TBU 3,TAMAN BEMBAN UTAMA 77200 BEMBAN MELAKA.</t>
  </si>
  <si>
    <t>NVMY49024000002548</t>
  </si>
  <si>
    <t>Aniza Mohamed Saad</t>
  </si>
  <si>
    <t>Johor</t>
  </si>
  <si>
    <t xml:space="preserve"> No 28, Jln Gading 1, Tmn Gading 1, 83300 Batu Pahat, Johor</t>
  </si>
  <si>
    <t>C2-BPT-8-82</t>
  </si>
  <si>
    <t>NVMY49024000002590</t>
  </si>
  <si>
    <t>Rohaya ab rahman</t>
  </si>
  <si>
    <t>Kota Bharu</t>
  </si>
  <si>
    <t>Pahang</t>
  </si>
  <si>
    <t>C 29 felda jengka 17 26400 bandat jengka pahang</t>
  </si>
  <si>
    <t>KBR1-KBR1</t>
  </si>
  <si>
    <t>NVMY49024000002544</t>
  </si>
  <si>
    <t>Nurliana aqilah bt abu mansor</t>
  </si>
  <si>
    <t>Kedah</t>
  </si>
  <si>
    <t>8b,kampung kepala batas,jalan chepir 08200 sik kedah</t>
  </si>
  <si>
    <t>A3-SIK-3-24</t>
  </si>
  <si>
    <t>NVMY49024000002584</t>
  </si>
  <si>
    <t>Asma Amarina</t>
  </si>
  <si>
    <t>Negeri Sembilan</t>
  </si>
  <si>
    <t>151, Jln Springhill 10/5, Bandar Springhill, 71010 Port Dickson Negeri Sembilan</t>
  </si>
  <si>
    <t>C4-PDS-10-94</t>
  </si>
  <si>
    <t>NVMY49024000002513</t>
  </si>
  <si>
    <t>NURSUFIANA NORAHIM</t>
  </si>
  <si>
    <t>Terengganu</t>
  </si>
  <si>
    <t>TENAGA NASIONAL BERHAD, JALAN PERMAISURI 2, BANDAR PERMAISURI SETIU TERENGGANU</t>
  </si>
  <si>
    <t>TGG-TGG</t>
  </si>
  <si>
    <t>NVMY49024000002577</t>
  </si>
  <si>
    <t>OOI MEI MEI</t>
  </si>
  <si>
    <t>2, LORONG TIRAM JAYA 6, 25200 KUANTAN, PAHANG</t>
  </si>
  <si>
    <t>NVMY49024000002568</t>
  </si>
  <si>
    <t>RIDZA MAT BAZLI</t>
  </si>
  <si>
    <t>JAYA GROCER, LOT LG AT-01, KUANTAN CITY MALL, JLN PUTRA SQUARE 25300 KUANTAN, PAHANG</t>
  </si>
  <si>
    <t>NVMY49024000002537</t>
  </si>
  <si>
    <t>hidayah</t>
  </si>
  <si>
    <t>Perak</t>
  </si>
  <si>
    <t>LOT7010 kg trosor sungai siput 31100 (U) perak</t>
  </si>
  <si>
    <t>B3-SAR-6-58</t>
  </si>
  <si>
    <t>NVMY49024000002572</t>
  </si>
  <si>
    <t>ARNIE ABDULLAH</t>
  </si>
  <si>
    <t>NO 25 LORONG PINGGIRAN PUTRA 3/82, TAMAN KUANTAN JAYA, 26060 KUANTAN, PAHANG</t>
  </si>
  <si>
    <t>NVMY49024000002551</t>
  </si>
  <si>
    <t>MIN AROPAH MAMAT</t>
  </si>
  <si>
    <t>SEK KEB BIDOR 2 JLN TELUK INTAN 35500 BIDOR PERAK</t>
  </si>
  <si>
    <t>B3-TAP-6-52</t>
  </si>
  <si>
    <t>NVMY49024000002546</t>
  </si>
  <si>
    <t>fiza</t>
  </si>
  <si>
    <t>512 Jalan BSS 1/4,Taman Bukit Sri Senawang,71450 Seremban,negeri Sembilan</t>
  </si>
  <si>
    <t>C4-SWG-10-92</t>
  </si>
  <si>
    <t>NVMY49024000002567</t>
  </si>
  <si>
    <t>IZZAH IZZ ABD HADI</t>
  </si>
  <si>
    <t>Selangor</t>
  </si>
  <si>
    <t>LOT 12826 JALAN KELISA 5 BATU 18, KAMPUNG SUNGAI TANGKAS 43000 KAJANG SELANGOR</t>
  </si>
  <si>
    <t>NVMY49024000002550</t>
  </si>
  <si>
    <t>MUHAMMAD LUQMANULHAKIM</t>
  </si>
  <si>
    <t>284 H, Kuarters Guru SK Bandar Mas, Jalan Baiduri, Bandar Mas, 81900, Kota Tinggi, Johor.</t>
  </si>
  <si>
    <t>C1-PWR-7-64</t>
  </si>
  <si>
    <t>NVMY49024000002566</t>
  </si>
  <si>
    <t>IZAH IZZ ABD HADI</t>
  </si>
  <si>
    <t>NVMY49024000002580</t>
  </si>
  <si>
    <t>ASHAARI MAT</t>
  </si>
  <si>
    <t>LOT 290, TEPI SK ALOR 16400, BAKAT, MELOR, KELANTAN</t>
  </si>
  <si>
    <t>NVMY49024000002569</t>
  </si>
  <si>
    <t>SITI NUR AISHAH</t>
  </si>
  <si>
    <t>UNISZA, LOT 8, TUMPU, UNIVERSITI SULTAN ZAINAL ABIDIN (UNISZA), KAMPUNG GONG DATUK, 21300 KUALA TERENGGANU, TERENGGANU</t>
  </si>
  <si>
    <t>NVMY49024000002557</t>
  </si>
  <si>
    <t>FAIZAL</t>
  </si>
  <si>
    <t>NO33A JALAN JERNIH 1/3 PRESINT SELASIH TAMAN EKA MATAHARI 71950 LABU NEGERI SEMBILAN</t>
  </si>
  <si>
    <t>NVMY49024000002540</t>
  </si>
  <si>
    <t>Nur SYAHIRA BINTI OSMAN JULAINI</t>
  </si>
  <si>
    <t>NO 587, BATU 5 BATAS PAIP LORONG AIR MASIN JALAN KUALA KEDAH 06600 ALOR SETAR</t>
  </si>
  <si>
    <t>A3-AOR-3-22</t>
  </si>
  <si>
    <t>NVMY49024000002545</t>
  </si>
  <si>
    <t>Hanan</t>
  </si>
  <si>
    <t>No 55, Jalan Mawar 2/4, Ambangan Heights, 08000 Sg Petani, Kedah</t>
  </si>
  <si>
    <t>A3-GRN-3-23</t>
  </si>
  <si>
    <t>NVMY49024000002531</t>
  </si>
  <si>
    <t>NUR SABRINA BINTI MOHD ZAILANI</t>
  </si>
  <si>
    <t>NO 38A KAMPUNG PERMATANG BERANGAN, 08000 SUNGAI PETANI, KEDAH</t>
  </si>
  <si>
    <t>A3-SPT-3-18</t>
  </si>
  <si>
    <t>NVMY49024000002578</t>
  </si>
  <si>
    <t>KHAIRUL AKMAL</t>
  </si>
  <si>
    <t>NO 3 LOT 4494 JALAN SUNGAI UDANG 41250 KLANG SELANGOR</t>
  </si>
  <si>
    <t>D4-PKL-12-145</t>
  </si>
  <si>
    <t>NVMY49024000002337</t>
  </si>
  <si>
    <t>SITI MAISARAH BINTI ABDUL MUTALIB</t>
  </si>
  <si>
    <t>NO B BAZAR 19 , KOMPLEKS HIG KG PADANG LALANG KUAH 07000 LANGKAWI KEDAH</t>
  </si>
  <si>
    <t>NVMY49024000002582</t>
  </si>
  <si>
    <t>SHAKILA</t>
  </si>
  <si>
    <t xml:space="preserve">117 , FELDA SELASIH , 22020 JERTEH , TERENGGANU </t>
  </si>
  <si>
    <t>NVMY49024000002563</t>
  </si>
  <si>
    <t>Mahani Yusoff</t>
  </si>
  <si>
    <t>No.9. Jalan jerai 13. Taman Desarina. Simpang kuala. 05400. Alor setar. Kedah</t>
  </si>
  <si>
    <t>NVMY49024000002529</t>
  </si>
  <si>
    <t>Nur Afiqah Binti Talib</t>
  </si>
  <si>
    <t>Pulau Pinang</t>
  </si>
  <si>
    <t>289-J Lorong Tampin Jalan Perak 10150 Pulau Pinang</t>
  </si>
  <si>
    <t>B2-GEO-5-45</t>
  </si>
  <si>
    <t>NVMY49024000002591</t>
  </si>
  <si>
    <t>Md Zahid Bin Yaacob</t>
  </si>
  <si>
    <t>52-5 batu 2 lorong hj senudin bukit palah 75150 melaka</t>
  </si>
  <si>
    <t>C3-PIA-9-89</t>
  </si>
  <si>
    <t>NVMY49024000002616</t>
  </si>
  <si>
    <t>JAMALL RAHMAN</t>
  </si>
  <si>
    <t>Kuala Lumpur</t>
  </si>
  <si>
    <t>BLOCK A6/2/7 DESA PANDAN 55100 KUALA LUMPUR</t>
  </si>
  <si>
    <t>D1-SHM-15-102</t>
  </si>
  <si>
    <t>NVMY49024000002612</t>
  </si>
  <si>
    <t>Black kumbang</t>
  </si>
  <si>
    <t>No 237 Kuarters Kastam,taman bukit chamang 28700 Bentong</t>
  </si>
  <si>
    <t>NVMY49024000002565</t>
  </si>
  <si>
    <t>LEDIA SALLEH</t>
  </si>
  <si>
    <t>NO 10 G RESTAURANT IKAN BAKAR, SEMPORNA JALAN METRO PRIMA 7 METRO PRIMA KEPONG 52100 KUALA LUMPUR</t>
  </si>
  <si>
    <t>D1-KEP-15-106</t>
  </si>
  <si>
    <t>NVMY49024000002353</t>
  </si>
  <si>
    <t>Amira</t>
  </si>
  <si>
    <t>Seri Hamie Homestay, Batu 20¼, Tabuh Naning, 78000 Alor Gajah, Melaka.</t>
  </si>
  <si>
    <t>C1-TRM-7-72</t>
  </si>
  <si>
    <t>NVMY49024000002693</t>
  </si>
  <si>
    <t>PUTERI SYAHIRA</t>
  </si>
  <si>
    <t>NO 1-4-15 BLOK 1, GUGUSAN DAHLIA, JALAN PERKAKA 8/7 KOTA DAMANSARA, 47810 SELANGOR</t>
  </si>
  <si>
    <t>D1-DAM-15-104</t>
  </si>
  <si>
    <t>NVMY49024000002615</t>
  </si>
  <si>
    <t>Abdan Mustapa</t>
  </si>
  <si>
    <t>no 19, Jalan 2/1A, Seksyen 2, 43650 Bandar Baru Bangi</t>
  </si>
  <si>
    <t>D1-BGI-15-97</t>
  </si>
  <si>
    <t>NVMY49024000002625</t>
  </si>
  <si>
    <t>Anuar</t>
  </si>
  <si>
    <t>123 Perumahan JPN JLN PERINDUSTRIAN 18300 GUA MUSANG Kelantan</t>
  </si>
  <si>
    <t>NVMY49024000002627</t>
  </si>
  <si>
    <t>Muhammad Arif Bin Iberahim</t>
  </si>
  <si>
    <t>SK Fakeh Abd Samad, Jalan Gambang, 25150 Kuantan, Pahang.</t>
  </si>
  <si>
    <t>NVMY49024000002609</t>
  </si>
  <si>
    <t>UMMUL NUR FATIHAH BINTI AZHA</t>
  </si>
  <si>
    <t xml:space="preserve"> LOT 8115 KG SUNGAI SERAI, BINJAI RENDAH, 21400 MARANG TERENGGANU</t>
  </si>
  <si>
    <t>NVMY49024000002599</t>
  </si>
  <si>
    <t>Safian bin Mohd Yusof</t>
  </si>
  <si>
    <t>NO:2-3-16 Gugusan Matahari Jalan Camar 4/5 ,Kota Damansara 47810 Petaling Jaya.Selangor</t>
  </si>
  <si>
    <t>NVMY49024000002589</t>
  </si>
  <si>
    <t>Maimunah maawal</t>
  </si>
  <si>
    <t>Sekolah rendah bukit jalor.gemencheh negeri sembilan..73200</t>
  </si>
  <si>
    <t>C4-GMS-10-91</t>
  </si>
  <si>
    <t>NVMY49024000002573</t>
  </si>
  <si>
    <t>NURMEY BT JANTAN</t>
  </si>
  <si>
    <t>SMK DATI' USMAN AWANG, JALAN LAYANG, TAMAN PERLING 81200 JOHOR BAHRU, JOHOR</t>
  </si>
  <si>
    <t>C1-TSK-7-75</t>
  </si>
  <si>
    <t>NVMY49024000002606</t>
  </si>
  <si>
    <t>HAMDAN BIN ABD MANAN</t>
  </si>
  <si>
    <t>LOT 6527 JLN CHABANG KG BARU KERTEH 24300 TERENGGANU</t>
  </si>
  <si>
    <t>NVMY49024000002600</t>
  </si>
  <si>
    <t>Mohd Amri Bin Jaafar Halmi</t>
  </si>
  <si>
    <t>No 11 Lorong Bukit Goh Aman 1/12, Taman Bukit Goh Aman 1,26050 kuantan pahang</t>
  </si>
  <si>
    <t>NVMY49024000002601</t>
  </si>
  <si>
    <t>Muhamad hanafi b ibrahim</t>
  </si>
  <si>
    <t>B7 pt8869 rmm kg teluk kalong,24000 kemaman terangganu</t>
  </si>
  <si>
    <t>NVMY49024000002631</t>
  </si>
  <si>
    <t>NUR KHAIRIAH</t>
  </si>
  <si>
    <t xml:space="preserve">B3-01-07 , BLOK B3 , CYBERJAYA 1 , PERSIARAN BESTARI 63000 SEPANG SELANGOR </t>
  </si>
  <si>
    <t>D1-CJY-15-103</t>
  </si>
  <si>
    <t>NVMY49024000002635</t>
  </si>
  <si>
    <t>ZAILAN SHAHBUDIN</t>
  </si>
  <si>
    <t>82, JLN MAHKOTA 9, SEKSYEN 9, BANDAR BUKIT MAHKOTA 43000 KAJANG SELANGOR</t>
  </si>
  <si>
    <t>D3-BSP-13-131</t>
  </si>
  <si>
    <t>NVMY49024000002595</t>
  </si>
  <si>
    <t>Muhamad Nazrie Azlan</t>
  </si>
  <si>
    <t>B-2-7 Blok B Pangsapuri Angsana Jln Bp 17/1 Kg Pulau Meranti 47120 Puchong Selangor Darul Ehsan</t>
  </si>
  <si>
    <t>D2-PUC-14-118</t>
  </si>
  <si>
    <t>NVMY49024000002611</t>
  </si>
  <si>
    <t>Nik hilmi bin Nik Mohamed</t>
  </si>
  <si>
    <t xml:space="preserve">No 16,jalan PU9/2G,Taman Puchong utama,47140 Puchong selangor </t>
  </si>
  <si>
    <t>NVMY49024000002638</t>
  </si>
  <si>
    <t>UMI</t>
  </si>
  <si>
    <t>4600 KG SG DERHAKA 21100 K.TERENGGANU, TERENGGANU (RUMAH WARNA OREN)</t>
  </si>
  <si>
    <t>NVMY49024000002634</t>
  </si>
  <si>
    <t>NVMY49024000002637</t>
  </si>
  <si>
    <t>NORHAYATI</t>
  </si>
  <si>
    <t xml:space="preserve">NO 27 TAMAN PILAH SENALING 72000 KUALA PILAH NEGERI SEMBILAN </t>
  </si>
  <si>
    <t>C4-BHU-10-90</t>
  </si>
  <si>
    <t>NVMY49024000002639</t>
  </si>
  <si>
    <t>NVMY49024000002251</t>
  </si>
  <si>
    <t>Nur Shakinah</t>
  </si>
  <si>
    <t>Klinik Ung Lahad Datu, Lot 847, Jalan Teratai, 91100 Lahad Datu, Sabah</t>
  </si>
  <si>
    <t>NVMY49024000002628</t>
  </si>
  <si>
    <t>SITI NORBAYA BINTI HUSSIN</t>
  </si>
  <si>
    <t xml:space="preserve">SEKOLAH MENENGAH JELAWAT 16370 BACHOK KELANTAN </t>
  </si>
  <si>
    <t>NVMY49024000002608</t>
  </si>
  <si>
    <t>MOHAMAD KARIM BIN MAT GHANI</t>
  </si>
  <si>
    <t>NO. 122A,  JALAN SR2/1A,  TAMAN SAUJANA RAWANG,  48000 RAWANG, SELANGOR.</t>
  </si>
  <si>
    <t>D1-RWG-15-105</t>
  </si>
  <si>
    <t>NVMY49024000002576</t>
  </si>
  <si>
    <t>TMH GROUP</t>
  </si>
  <si>
    <t>128 SITE B LORONG 3, SEKINCHAN 45400, SELANGOR</t>
  </si>
  <si>
    <t>D3-KSR-13-125</t>
  </si>
  <si>
    <t>NVMY49024000002633</t>
  </si>
  <si>
    <t>NVMY49024000002355</t>
  </si>
  <si>
    <t>Farahani</t>
  </si>
  <si>
    <t>Lot 94 batu hampar 71300 batu hampar rembau negeri sembilan</t>
  </si>
  <si>
    <t>NVMY49024000002596</t>
  </si>
  <si>
    <t>Zamzuri Bin Suhaimin</t>
  </si>
  <si>
    <t xml:space="preserve">Block 10G9 Taman Semarak 2 71800 Nilai N9 </t>
  </si>
  <si>
    <t>C4-NIL-10-95</t>
  </si>
  <si>
    <t>NVMY49024000002605</t>
  </si>
  <si>
    <t>Mohd johari b ismail</t>
  </si>
  <si>
    <t>Lot484 pengadang baru 20050 kuala terengganu</t>
  </si>
  <si>
    <t>NVMY49024000002597</t>
  </si>
  <si>
    <t>Mohd Fatihe Bin Hashim</t>
  </si>
  <si>
    <t>No 74, Jalan Matahari 2, Taman Serendah utama, 48200 Serendah, Selangor</t>
  </si>
  <si>
    <t>NVMY49024000002618</t>
  </si>
  <si>
    <t>Mst bundle</t>
  </si>
  <si>
    <t>Lot 1831-A Baloh raja, kubang kerian 16150 kota bharu kelantan</t>
  </si>
  <si>
    <t>NVMY49024000002506</t>
  </si>
  <si>
    <t>zaafaraniah binti yusof</t>
  </si>
  <si>
    <t>Sarawak</t>
  </si>
  <si>
    <t>no 3005, cahaya damai lorong 13, bandar baru samariang, 93050 kuching sarawak</t>
  </si>
  <si>
    <t>NVMY49024000002586</t>
  </si>
  <si>
    <t>ARNIE ARDIANA BINTI ARBAK</t>
  </si>
  <si>
    <t>LOT 854, JALAN 7, TAMAN SEKAMAT, 43000 KAJANG, SELANGOR</t>
  </si>
  <si>
    <t>NVMY49024000002581</t>
  </si>
  <si>
    <t>NORAINI HAMZAH</t>
  </si>
  <si>
    <t>NO 67 KG PADANG KULIM KILANG LAMA, 09000, KULIM KEDAH</t>
  </si>
  <si>
    <t>NVMY49024000002607</t>
  </si>
  <si>
    <t>Musliadi bin Ahamad</t>
  </si>
  <si>
    <t>Lot 234,Kampung Nering, 16800,Pasir Puteh, Kelantan</t>
  </si>
  <si>
    <t>NVMY49024000002626</t>
  </si>
  <si>
    <t>Mohd Zaki Bin Abdul Halim</t>
  </si>
  <si>
    <t>Hotel ibis styles klia jalan1/60klia 43900 sepang selangor</t>
  </si>
  <si>
    <t>NVMY49024000002574</t>
  </si>
  <si>
    <t>NORINA BINTI RATMAN</t>
  </si>
  <si>
    <t>BAHAGIAN PEMBANGUNAN TEKNOLOGI NANAS, LEMBAGA PERINDUSTRIAN NANAS MALAYSIA, STESEN ALOR BUKIT, 81500 PEKAN NANAS, PONTIAN, JOHOR</t>
  </si>
  <si>
    <t>C1-PTN-7-67</t>
  </si>
  <si>
    <t>NVMY49024000002692</t>
  </si>
  <si>
    <t>MOHD HAFIZ BIN SUIP</t>
  </si>
  <si>
    <t>A-12 VISTA MILLINIUM CONDO JALAN DESA MILLINIUM 1 , 47150 PUCHONG SELANGOR</t>
  </si>
  <si>
    <t>NVMY49024000002640</t>
  </si>
  <si>
    <t>AMTAZAL</t>
  </si>
  <si>
    <t>LOT 705 JALAN MASJID MAKMUR KG LATI 17000 PASIR MAS KELANTAN</t>
  </si>
  <si>
    <t>NVMY49024000002564</t>
  </si>
  <si>
    <t>MOHD HASYIMI BIN HASHIM</t>
  </si>
  <si>
    <t>4-G-13, PANGSAPURI MELATI, JALAN METAFASA U16/3 TAMAN BUKIT SUBANG 40150, SHAH ALAM, SELANGOR</t>
  </si>
  <si>
    <t>D3-SZB-13-129</t>
  </si>
  <si>
    <t>NVMY49024000002610</t>
  </si>
  <si>
    <t>Mohamad Arif Bin Yaacob</t>
  </si>
  <si>
    <t>No 26 Taman Anjaria Lorong 14 23000 DUNGUN Terengganu</t>
  </si>
  <si>
    <t>NVMY49024000002385</t>
  </si>
  <si>
    <t>Fadzlinda mokhtar</t>
  </si>
  <si>
    <t>No 71 lot 8080,jalan matdin,desa putra,sg merab,bandar baru bangi,43560,selangor</t>
  </si>
  <si>
    <t>A3-PSN-3-26</t>
  </si>
  <si>
    <t>NVMY49024000002515</t>
  </si>
  <si>
    <t>EN FAUZI</t>
  </si>
  <si>
    <t xml:space="preserve">SURUHANJAYA TENAGA PEJABAT KAWASAN NEGERI PAHAMG TINGKAT 7 MENARA ZENITH JALAN PUTRA SQUARE 6 25200 KUANTAN PAHANG </t>
  </si>
  <si>
    <t>B1-KUA-4-40</t>
  </si>
  <si>
    <t>NVMY49024000002623</t>
  </si>
  <si>
    <t>Jemay cikgu juta</t>
  </si>
  <si>
    <t xml:space="preserve">No51 taman desa mesra, lorong Permatang badak perdana 15, Permatang badak 25150 Kuantan Pahang </t>
  </si>
  <si>
    <t>NVMY49024000002603</t>
  </si>
  <si>
    <t>Mat shairudin mohamad</t>
  </si>
  <si>
    <t>no5 kampung baru Ajil 21800 Ajil hulu Terengganu</t>
  </si>
  <si>
    <t>NVMY49024000002630</t>
  </si>
  <si>
    <t>Shafiee Abdullah</t>
  </si>
  <si>
    <t>No 10 lorong kempadang perdana 8, 25150 Kuantan Pahang</t>
  </si>
  <si>
    <t>B1-PKN-4-36</t>
  </si>
  <si>
    <t>NVMY49024000002592</t>
  </si>
  <si>
    <t>Ahmad</t>
  </si>
  <si>
    <t>no 8,k8 residensi, jalan kajang perdana 7a, kajang perdana, 43000, kajang, Selangor</t>
  </si>
  <si>
    <t>D1-KAJ-15-96</t>
  </si>
  <si>
    <t>NVMY49024000002525</t>
  </si>
  <si>
    <t>REJOL LAMUDIN</t>
  </si>
  <si>
    <t>WINAWANG SDN BHD, LOT 5-2, 2ND FLOOR LINTAS PLAZA, 88300 KOTA KINABALU, SABAH</t>
  </si>
  <si>
    <t>NVMY49024000002585</t>
  </si>
  <si>
    <t>Kamariah bt ibrahim</t>
  </si>
  <si>
    <t>No 35 jalan ara 2 Taman desa cemerlang 81800 ulu tiram Johor</t>
  </si>
  <si>
    <t>NVMY49024000002613</t>
  </si>
  <si>
    <t>Amer Amerien</t>
  </si>
  <si>
    <t>No 11, Jalan KS7/3, Kotasas, 25200 Kuantan</t>
  </si>
  <si>
    <t>NVMY49024000002622</t>
  </si>
  <si>
    <t>Muhammad bin Abd rahim</t>
  </si>
  <si>
    <t>Lot 350B, lorongA-6, bukit A, KG CHERAS BARU,56100K.L</t>
  </si>
  <si>
    <t>D4-ECO-12-148</t>
  </si>
  <si>
    <t>NVMY49024000002617</t>
  </si>
  <si>
    <t>MUHAMMAD FAIZI B SA’AKDAN@SA’DAN</t>
  </si>
  <si>
    <t xml:space="preserve">LOT PT 2845 1A KG BUKIT RANG  2 PULAU TAWAR 27050 JERANTUT PAHANG </t>
  </si>
  <si>
    <t>NVMY49024000002579</t>
  </si>
  <si>
    <t>MUHAMAD IKRAM</t>
  </si>
  <si>
    <t>NO 15, LOT 2757 JALAN BALANG 8, KAMPUNG PADANG BALANG 53300 SETAPAK WILAYAH PERSEKUTUAN KUALA LUMPUR</t>
  </si>
  <si>
    <t>D1-CAV-15-108</t>
  </si>
  <si>
    <t>NVMY49024000002593</t>
  </si>
  <si>
    <t>MARZUKI HUSAIN</t>
  </si>
  <si>
    <t>PT 30491,TMN KALUNGAN IMPIAN,BANGGOL AIR LILIH,21200,K.NERUS,TERENGGANU</t>
  </si>
  <si>
    <t>NVMY49024000002570</t>
  </si>
  <si>
    <t>NUR ATIA ATHIRAH</t>
  </si>
  <si>
    <t>31 JALAN MEGAH 4, TAMAN MEGAH 43200 CHERAS SELANGOR</t>
  </si>
  <si>
    <t>D2-CHE-14-113</t>
  </si>
  <si>
    <t>NVMY49024000002696</t>
  </si>
  <si>
    <t>NURSYADINNA</t>
  </si>
  <si>
    <t>NO21 JALAN AMM 5 TAMAN AYER MOLEK MESRA MELAKA 75460 MELAKA</t>
  </si>
  <si>
    <t>C3-MLM-9-88</t>
  </si>
  <si>
    <t>NVMY49024000002655</t>
  </si>
  <si>
    <t>PUTERI ALIEYA NATASYA</t>
  </si>
  <si>
    <t>UNIT 13A-01 , THE ORION CONDOMINIUM , 149 , JALAN TUN RAZAK , 50400 , KUALA LUMPUR</t>
  </si>
  <si>
    <t>D1-CKT-15-110</t>
  </si>
  <si>
    <t>NVMY49024000002741</t>
  </si>
  <si>
    <t>Nur Dini</t>
  </si>
  <si>
    <t>No 10, jalan BPM 11, taman bukit piatu mutiara, 75150, melaka</t>
  </si>
  <si>
    <t>NVMY49024000002715</t>
  </si>
  <si>
    <t>SHAHREEN SHAARI</t>
  </si>
  <si>
    <t>NO 11 BT 23 1/4 KAMPUNG PARIT 72000 KUALA PILAH, NEGERI SEMBILAN</t>
  </si>
  <si>
    <t>NVMY49024000002668</t>
  </si>
  <si>
    <t>Auni Afifah</t>
  </si>
  <si>
    <t>Lot 1382A lorong Melor, Kampung Padang Maras, Batu Rakit, 21020 Kuala Nerus, Terengganu</t>
  </si>
  <si>
    <t>NVMY49024000002663</t>
  </si>
  <si>
    <t>Liyana nordin</t>
  </si>
  <si>
    <t xml:space="preserve">29-03-06 rumah pangsa fasa 1A gombak setia 53100 kuala lumpur </t>
  </si>
  <si>
    <t>D2-DNK-14-120</t>
  </si>
  <si>
    <t>NVMY49024000002691</t>
  </si>
  <si>
    <t>nizam</t>
  </si>
  <si>
    <t xml:space="preserve">2241 TAMAN MUTIARA JALAN SULTANAH 05350 ALOR SETAR KEDAH </t>
  </si>
  <si>
    <t>NVMY49024000002736</t>
  </si>
  <si>
    <t>eika</t>
  </si>
  <si>
    <t>187, kg sg lerek chalok 21450 setiu terengganu</t>
  </si>
  <si>
    <t>NVMY49024000002561</t>
  </si>
  <si>
    <t>Datuk Azni Bin Mohd Salleh</t>
  </si>
  <si>
    <t>Lot 29 house no 10 Lorong bunga tulip Taman Maya Penampang 88200 Kota Kinabalu Sabah</t>
  </si>
  <si>
    <t>NVMY49024000002710</t>
  </si>
  <si>
    <t>Zaini A. Hasan</t>
  </si>
  <si>
    <t>JA 2221 Taman Pahlawan 77300 Merlimau Melaka</t>
  </si>
  <si>
    <t>NVMY49024000002660</t>
  </si>
  <si>
    <t>NOR AZWANI BINTI AWANG</t>
  </si>
  <si>
    <t>NO 39, JALAN BAKTI 31, TAMAN MUTIRA RINI, 81300 SKUDAI JOHOR</t>
  </si>
  <si>
    <t>C1-NSJ-7-66</t>
  </si>
  <si>
    <t>NVMY49024000002706</t>
  </si>
  <si>
    <t>ZURYANITA BINTI KADIRUN</t>
  </si>
  <si>
    <t>NO 19 JALAN 4/6 TAMAN SRI HANECO  43500 SEMENYIH, SELANGOR</t>
  </si>
  <si>
    <t>D1-SYH-15-98</t>
  </si>
  <si>
    <t>NVMY49024000002629</t>
  </si>
  <si>
    <t>TY</t>
  </si>
  <si>
    <t xml:space="preserve">LOT 1404 , BATU 2 , JALAN BULOH KASAP , 85000 SEGAMAT JOHOR </t>
  </si>
  <si>
    <t>C2-SGT-8-79</t>
  </si>
  <si>
    <t>NVMY49024000002672</t>
  </si>
  <si>
    <t>Asyiqin binti Wahab</t>
  </si>
  <si>
    <t>No 26, Jalan Kejora 7, Taman Tanjong Minyak Perdana, Melaka Tengah 75260 Melaka</t>
  </si>
  <si>
    <t>C3-MYK-9-84</t>
  </si>
  <si>
    <t>NVMY49024000002621</t>
  </si>
  <si>
    <t>Mohd Hasbullah bin Hasan</t>
  </si>
  <si>
    <t>Cawangan Gerakan BN 5 PGA 86200 Simpang Renggam Johor</t>
  </si>
  <si>
    <t>C2-HTM-8-83</t>
  </si>
  <si>
    <t>NVMY49024000002598</t>
  </si>
  <si>
    <t>Mazlin bin Mohd Zain</t>
  </si>
  <si>
    <t>No 388 Jalan Gemilang 3/3, Taman Gemilang, 32610 Seri Iskandar, Perak</t>
  </si>
  <si>
    <t>B3-GAJ-6-50</t>
  </si>
  <si>
    <t>NVMY49024000002594</t>
  </si>
  <si>
    <t>Mohd ismadi idros</t>
  </si>
  <si>
    <t>7152 kampung baru Mak mandin 13400 Butterworth</t>
  </si>
  <si>
    <t>B2-BWH-5-42</t>
  </si>
  <si>
    <t>NVMY49024000002619</t>
  </si>
  <si>
    <t>MOHMAD FOUZEE BIN MUSA</t>
  </si>
  <si>
    <t>D.74 FELDA LUI MUDA, 72120 BANDAR SERI JEMPOL, NEGERI SEMBILAN DARUL KHUSUS.</t>
  </si>
  <si>
    <t>NVMY49024000002711</t>
  </si>
  <si>
    <t>Nur rashidah adnan</t>
  </si>
  <si>
    <t>111, kampung lubuk panjang, chalok 21450 setiu, terengganu</t>
  </si>
  <si>
    <t>A2-STU-2-16</t>
  </si>
  <si>
    <t>NVMY49024000002754</t>
  </si>
  <si>
    <t>MISIYEM</t>
  </si>
  <si>
    <t>NO 49 PULAU LUMUT U10, 76/J ALAM BUDIMAN 40170 SHAH ALAM SELANGOR</t>
  </si>
  <si>
    <t>D4-ALM-12-144</t>
  </si>
  <si>
    <t>NVMY49024000002707</t>
  </si>
  <si>
    <t>Qaseh Lara Bt Azmi,</t>
  </si>
  <si>
    <t>125,Jalan Timur 2/4B, Timur Enstek,Bandar Enstek, 71760,Nilai, Negeri 9.</t>
  </si>
  <si>
    <t>NVMY49024000002739</t>
  </si>
  <si>
    <t>Ainna</t>
  </si>
  <si>
    <t>Kak tie mee celup dua amah Lot 425 kg raja 18500 machang kelantan</t>
  </si>
  <si>
    <t>NVMY49024000002650</t>
  </si>
  <si>
    <t>Nisa Nabihah</t>
  </si>
  <si>
    <t xml:space="preserve">Pt 6353, jalan jaya setia, kg jaya setia 45600 selangor </t>
  </si>
  <si>
    <t>NVMY49024000002652</t>
  </si>
  <si>
    <t>ameera ashri</t>
  </si>
  <si>
    <t>no32 jln tps 1/7 taman pelangi semenyih 43500 semenyih, selangor</t>
  </si>
  <si>
    <t>NVMY49024000002751</t>
  </si>
  <si>
    <t>NIK NOOR NAZIFAH BINTI NIK SOH</t>
  </si>
  <si>
    <t>LOT 8907 LORONG HAJAH HABSAH KG PONDOK BARU PADANG SIAM 17500 TANAH MERAH KELANTAN</t>
  </si>
  <si>
    <t>NVMY49024000002677</t>
  </si>
  <si>
    <t>syuhadah</t>
  </si>
  <si>
    <t>no76, jalan sejahtera 7, taman bukit tambun perdana 2, 76100 durian tunggal</t>
  </si>
  <si>
    <t>C3-AGH-9-85</t>
  </si>
  <si>
    <t>NVMY49024000002726</t>
  </si>
  <si>
    <t>Mohd Saharuddin bin Idris</t>
  </si>
  <si>
    <t>PT 10633 ,Jalan Kenanga Sura Jetty, 23000 Dungun , Terengganu</t>
  </si>
  <si>
    <t>NVMY49024000002644</t>
  </si>
  <si>
    <t>Noorshahira bt hayazi</t>
  </si>
  <si>
    <t>(Rmh No 2) Lot 1415F,jln manggis,kg medan,42500 telok panglima garang,selangor.</t>
  </si>
  <si>
    <t>D4-RBY-12-140</t>
  </si>
  <si>
    <t>NVMY49024000002717</t>
  </si>
  <si>
    <t>AMIRA SYAHIRAH</t>
  </si>
  <si>
    <t>LOT 2024 KG BARU MAMPANG, 71300 REMBAU, NEGERI SEMBILAN</t>
  </si>
  <si>
    <t>NVMY49024000002750</t>
  </si>
  <si>
    <t>ZAINI HASSAN</t>
  </si>
  <si>
    <t>PT 16026, KG PUSU TIGA WAKAF DUA 21400 BUKIT PAYONG, MARANG TERENGGANU</t>
  </si>
  <si>
    <t>NVMY49024000002620</t>
  </si>
  <si>
    <t>Usheikarrei</t>
  </si>
  <si>
    <t xml:space="preserve">No25 tmn desa kemboja  33300 Gerik Perak </t>
  </si>
  <si>
    <t>B3-GER-6-57</t>
  </si>
  <si>
    <t>NVMY49024000002760</t>
  </si>
  <si>
    <t>ROSLIN/FARIHAN</t>
  </si>
  <si>
    <t>PONDOK REMAJA INABAH 2 KAMPUNG SUNGAI IKAN 21060 KUALA NERUS TERENGGANU</t>
  </si>
  <si>
    <t>A2-GBK-2-11</t>
  </si>
  <si>
    <t>NVMY49024000002721</t>
  </si>
  <si>
    <t>MOK SUBE NASI KUKUS</t>
  </si>
  <si>
    <t>NO 2A, JLN TIARA 1, TIARA SQUARE, TMN PERINDUSTRIAN SIME UEP 47600 SUBANG JAYA, SELANGOR</t>
  </si>
  <si>
    <t>D2-HTC-14-116</t>
  </si>
  <si>
    <t>NVMY49024000002716</t>
  </si>
  <si>
    <t>NOOR SOLEHAH BT HAMID</t>
  </si>
  <si>
    <t>NO. 33 LORONG PMTJ 2PERUMAHAN MAKMUR TAJAU JAYA, 26500 MARAN, PAHANG</t>
  </si>
  <si>
    <t>NVMY49024000002759</t>
  </si>
  <si>
    <t>LINDA</t>
  </si>
  <si>
    <t>20, JALAN MELAWIS 1 TAMAN MELAWIS, HANG TUAH JAYA 75450 AYER KEROH, MELAKA</t>
  </si>
  <si>
    <t>C3-MTG-9-86</t>
  </si>
  <si>
    <t>NVMY49024000002698</t>
  </si>
  <si>
    <t>Norma idayu binti aruien</t>
  </si>
  <si>
    <t>Zapin apartment,taman impian ehsan,C1 416 blok muar 43000 kajang selangor</t>
  </si>
  <si>
    <t>NVMY49024000002666</t>
  </si>
  <si>
    <t>AIFFA HILMY</t>
  </si>
  <si>
    <t>NO 96 TAMAN PERUMAHAN ALOR JAMBU MENGABANG TELIPOT 21030 KUALA NERUS, TERENGGANU.</t>
  </si>
  <si>
    <t>NVMY49024000002746</t>
  </si>
  <si>
    <t>AIMI MAISARAH</t>
  </si>
  <si>
    <t>LOT 9794 JALAN 2/1 KAMPUNG MELAYU FRIM KEPONG 52100 KUALA LUMPUR</t>
  </si>
  <si>
    <t>D1-SLG-15-99</t>
  </si>
  <si>
    <t>NVMY49024000002690</t>
  </si>
  <si>
    <t>ROHANI BINTI SAPAR</t>
  </si>
  <si>
    <t>NO 32, KG PARIT KERIMUN 82200 BENUT PONTIAN JOHOR</t>
  </si>
  <si>
    <t>NVMY49024000002632</t>
  </si>
  <si>
    <t>SYED HUSNI NOOR BIN SYED HATIM NOOR</t>
  </si>
  <si>
    <t>NO. 26 LORONG KTC 3/8 KULIM TECHNO CITY (KTC3), KULIM HI-TECH PARK 09000 KULIM, KEDAH</t>
  </si>
  <si>
    <t>NVMY49024000002695</t>
  </si>
  <si>
    <t>Mohd Azry b.Toyeb</t>
  </si>
  <si>
    <t>C2-B-05 kompleks perumahan polis taman desa baiduri, lrg tan sri abd rahman hashim 3, 56000 cheras kuala lumpur</t>
  </si>
  <si>
    <t>NVMY49024000002702</t>
  </si>
  <si>
    <t>Aidah fauzi</t>
  </si>
  <si>
    <t>No 323, jln pulai impian 6, taman pulai impian sikamat, 70400 seremban, negeri sembilan</t>
  </si>
  <si>
    <t>C4-SBN-10-93</t>
  </si>
  <si>
    <t>NVMY49024000002718</t>
  </si>
  <si>
    <t>che ku nur ain bt che ku rahim</t>
  </si>
  <si>
    <t>C-04-10 PRIMA LAKEFRONT HOMES, PERSIARAN SEPANG CYBER 11, 63000 CYBERJAYA, SELANGOR</t>
  </si>
  <si>
    <t>NVMY49024000002747</t>
  </si>
  <si>
    <t>HASNAH BINTI MAT AIL</t>
  </si>
  <si>
    <t>NO. 10 JALAN PINGGIRAN PERMAI, TAMAN PINGGIRAN PERMAI, 28010 KERDAU, TEMERLOH, PAHANG DARUL MAKMUR</t>
  </si>
  <si>
    <t>NVMY49024000002683</t>
  </si>
  <si>
    <t>NUR ARINA SYAZNI</t>
  </si>
  <si>
    <t>LOT91, LORONG 2 JALAN SUNGAI TUNGGUL BARU 45500, TANJONG KARANG SELANGOR</t>
  </si>
  <si>
    <t>NVMY49024000002602</t>
  </si>
  <si>
    <t>Fazli syam bin Daud</t>
  </si>
  <si>
    <t>No70 felda pasak 81900 kota tinggi Johor</t>
  </si>
  <si>
    <t>NVMY49024000002679</t>
  </si>
  <si>
    <t>Nor Izzati binti Rastam</t>
  </si>
  <si>
    <t>No 10 Jalan Saga 4 Taman Saga 28400 Mentakab Pahang</t>
  </si>
  <si>
    <t>NVMY49024000002636</t>
  </si>
  <si>
    <t>SAFIZA BT SAFFIE</t>
  </si>
  <si>
    <t>KG SEBERANG SIPUTEH PADANG SERA, 06100 KODIANG KEDAH</t>
  </si>
  <si>
    <t>A3-JIT-3-27</t>
  </si>
  <si>
    <t>NVMY49024000002661</t>
  </si>
  <si>
    <t>PN HAJAH SURAIYA BINTI KHASIM</t>
  </si>
  <si>
    <t>S.K. GUAR CHEMPEDAK, GUAR CHEMPEDAK, 08800 GURUN, KEDAH</t>
  </si>
  <si>
    <t>NVMY49024000002659</t>
  </si>
  <si>
    <t>Keknis Farhana</t>
  </si>
  <si>
    <t>PT175 Taman Melati Kg Gaung Lati 17000 Pasir Mas Kelantan</t>
  </si>
  <si>
    <t>NVMY49024000002651</t>
  </si>
  <si>
    <t>Siti Zulaikha binti Ahmad Padil</t>
  </si>
  <si>
    <t>A-04-11,Dahlia Impiana, jalan Dahlia 6/3, Taman Dahlia, Bandar Baru Salak Tinggi 43900 Sepang ,Selangor</t>
  </si>
  <si>
    <t>D1-STG-15-101</t>
  </si>
  <si>
    <t>NVMY49024000002755</t>
  </si>
  <si>
    <t>RASHEILA BINTI HARUN</t>
  </si>
  <si>
    <t>NO 7 JLN MAWAR 3 TAMAN RAJA UDA 42000 PELABUHAN KLANG SELANGOR</t>
  </si>
  <si>
    <t>NVMY49024000002687</t>
  </si>
  <si>
    <t>Norliyana Bt Mohd Fauzi</t>
  </si>
  <si>
    <t>Lobby Mr Diy (M) SDN BHD, A1 Transit Point, Jalan Lim Hoe Lek, Kuantan,25200 Pahang Darul Makmur</t>
  </si>
  <si>
    <t>NVMY49024000002657</t>
  </si>
  <si>
    <t>nur munirah</t>
  </si>
  <si>
    <t>3A jalan satu, kampung perwira jaya 55100,KL</t>
  </si>
  <si>
    <t>NVMY49024000002712</t>
  </si>
  <si>
    <t>JUKIE</t>
  </si>
  <si>
    <t xml:space="preserve">C38 KG GONG BERANGAN TEMPINIS , 22020 JERTEH , TERENGGANU </t>
  </si>
  <si>
    <t>NVMY49024000002697</t>
  </si>
  <si>
    <t>Shazlina Rizal</t>
  </si>
  <si>
    <t>Lot 3 off jln hidayah kg bukit cherakah jaya seksyen u15 40170 shah alam selangor</t>
  </si>
  <si>
    <t>D1-PCK-15-111</t>
  </si>
  <si>
    <t>NVMY49024000002694</t>
  </si>
  <si>
    <t>CAMELIA</t>
  </si>
  <si>
    <t>NO 4 JALAN JAYA PUTRA 2/2 TAMAN JP PERDANA 81100 JOHOR BAHRU, JOHOR</t>
  </si>
  <si>
    <t>C1-AUS-7-68</t>
  </si>
  <si>
    <t>NVMY49024000002730</t>
  </si>
  <si>
    <t>FARIZ</t>
  </si>
  <si>
    <t>Lot 3111 i jalan batu 15 kpg paya jaras dalam 47000 sg.buloh selangor</t>
  </si>
  <si>
    <t>D3-SGB-13-123</t>
  </si>
  <si>
    <t>NVMY49024000002699</t>
  </si>
  <si>
    <t>Fazz Mohamad</t>
  </si>
  <si>
    <t>Putrajaya</t>
  </si>
  <si>
    <t>H-14-03 PPAM Pudina presint 17 62100 Putrajaya</t>
  </si>
  <si>
    <t>NVMY49024000002734</t>
  </si>
  <si>
    <t>NURMAISARAH BT MOHD AIDILFITRI</t>
  </si>
  <si>
    <t>D 19-6, Gurney Heights Condominium Block C &amp; D, Jalan Bukit Keramat, Kampung Datuk Keramat, 54000 Kuala Lumpur</t>
  </si>
  <si>
    <t>D3-WMJ-13-133</t>
  </si>
  <si>
    <t>NVMY49024000002604</t>
  </si>
  <si>
    <t>Kamarul</t>
  </si>
  <si>
    <t>F165 parit tok ngah, Tanjong piandang, 34250 PERAK.</t>
  </si>
  <si>
    <t>B3-BAG-6-59</t>
  </si>
  <si>
    <t>NVMY49024000002731</t>
  </si>
  <si>
    <t>MICHAEL CHIN</t>
  </si>
  <si>
    <t>25 JALAN DELIMA 1/3, BATU 3, SUBANG HI-TECH INDUSTRIAL PARK 40000 SHAH ALAM, SELANGOR</t>
  </si>
  <si>
    <t>NVMY49024000002471</t>
  </si>
  <si>
    <t>TINA BINTI MITING</t>
  </si>
  <si>
    <t>D/A KARUNING BIN DAMU- LOJI PENAPIS AIR HILTOP BATU 1/2 W.T.D 42 PPRP SANDAKAN 90000 SANDAKAN SABAH</t>
  </si>
  <si>
    <t>NVMY49024000002729</t>
  </si>
  <si>
    <t>MOHD ASMADI REMELI</t>
  </si>
  <si>
    <t>LOT 3109 KG KUBANG BADAK, LORONG HADAPAN SMK KG DANGAR 17000 PASIR MAS KELANTAN.</t>
  </si>
  <si>
    <t>NVMY49024000002714</t>
  </si>
  <si>
    <t>Yan kidd mini mart (ADIS )</t>
  </si>
  <si>
    <t>Jalan 1/93 taman Miharja fasa 1 Cheras  Blok 2 no1 ground floor (2-0-1) Taman miharja Cheras kuala lumpur  55200</t>
  </si>
  <si>
    <t>NVMY49024000002725</t>
  </si>
  <si>
    <t>Syahir 'Azam bin muhamad</t>
  </si>
  <si>
    <t xml:space="preserve">B-15-09 mesra prima, Jalan ikan emas, Pandan mesra, 68000 ampang  Selangor </t>
  </si>
  <si>
    <t>D3-TMJ-13-136</t>
  </si>
  <si>
    <t>NVMY49024000002664</t>
  </si>
  <si>
    <t>NURIN BALQIS ADURA BINTI BAHAR</t>
  </si>
  <si>
    <t>Parit 1, Ban 4, Lorong Cempedak, Sungai Sireh, 45500 Tanjong Karang, Selangor</t>
  </si>
  <si>
    <t>NVMY49024000002571</t>
  </si>
  <si>
    <t>NOR FAZELIN BINTI AWALLUDIN</t>
  </si>
  <si>
    <t>D-1-8 LEBUH DAMAR MERAH TAMAN PENDAMAR INDAH 2, 42000 PELABUHAN KLANG, SELANGOR</t>
  </si>
  <si>
    <t>D2-BTK-14-117</t>
  </si>
  <si>
    <t>NVMY49024000002685</t>
  </si>
  <si>
    <t>Nurul atiqah binti mokhtar</t>
  </si>
  <si>
    <t>T391-16 jalan bukit pedah 1 , taman bukit pedah 27000 jerantut pahang</t>
  </si>
  <si>
    <t>NVMY49024000002701</t>
  </si>
  <si>
    <t>UMMUL WAFRI</t>
  </si>
  <si>
    <t>NO 69, LORONG CAKERA PURNAMA 12/9, 42300 BANDAR PUNCAK ALAM, SELANGOR</t>
  </si>
  <si>
    <t>NVMY49024000002575</t>
  </si>
  <si>
    <t>MOHD AQIDAH</t>
  </si>
  <si>
    <t>KG TERMENUNG, JALAN TAJAU TERMENUNG TUARAN, 89208 SABAH</t>
  </si>
  <si>
    <t>NVMY49024000002669</t>
  </si>
  <si>
    <t>Nur Farihah bt Rosdi</t>
  </si>
  <si>
    <t>Sh06 Gerai Sri Highway Lebuhraya Kuantan-Segamat 26700 Muadzam Shah Pahang</t>
  </si>
  <si>
    <t>NVMY49024000002727</t>
  </si>
  <si>
    <t>Nik Mohd Rizuwan</t>
  </si>
  <si>
    <t>NO 76,PERUMAHAN JPN2 KG KERINTING,18300 GUA MUSANG,KELANTAN</t>
  </si>
  <si>
    <t>NVMY49024000002752</t>
  </si>
  <si>
    <t>NASIR</t>
  </si>
  <si>
    <t>NO 85 JLN BATU UNJUR 9 TMN BAYU PERDANA 41200 KLANG SELANGOR</t>
  </si>
  <si>
    <t>NVMY49024000002624</t>
  </si>
  <si>
    <t>Wan</t>
  </si>
  <si>
    <t>No 24 jalan kemboja  Kampung melayu  86000 kluang johor</t>
  </si>
  <si>
    <t>C2-KLU-8-78</t>
  </si>
  <si>
    <t>NVMY49024000002708</t>
  </si>
  <si>
    <t>Norlian Binti Ab Hamid</t>
  </si>
  <si>
    <t xml:space="preserve">Lot 105, Jln Haji Alias 2, Kg Batu 8 Ijok, 45600 Bestari Jaya,  Selangor </t>
  </si>
  <si>
    <t>NVMY49024000002728</t>
  </si>
  <si>
    <t>NIK AHMAD SABREE BIN NIK LEH</t>
  </si>
  <si>
    <t>PT 1500, TAMAN KURNIAAN BUKIT TANAH, SELISING, PASIR PUTEH, 16810, KELANTAN.</t>
  </si>
  <si>
    <t>NVMY49024000002646</t>
  </si>
  <si>
    <t>Farishah Ramlan</t>
  </si>
  <si>
    <t xml:space="preserve">28 Lorong 2B Taman Klang Perdana 42100 Klang Selangor </t>
  </si>
  <si>
    <t>D4-RPG-12-143</t>
  </si>
  <si>
    <t>NVMY49024000002642</t>
  </si>
  <si>
    <t>Liza</t>
  </si>
  <si>
    <t>Lot no 2, DBKK No. H-1-2, 1st floor, Block H, lorong Kk Taipan 3, inanam new township, 88450 kota Kinabalu, sabah, Kota Kinabalu, 88450, Sabah</t>
  </si>
  <si>
    <t>NVMY49024000002720</t>
  </si>
  <si>
    <t xml:space="preserve">NIK AZMI </t>
  </si>
  <si>
    <t>NO 3 JALAN 3/57 SEKSYEN 3 , BANDAR BARU BANGI 43650</t>
  </si>
  <si>
    <t>NVMY49024000002553</t>
  </si>
  <si>
    <t>JENNY NYAMBONG</t>
  </si>
  <si>
    <t>KLINIK PERGIGIAN JALAN MERBAU 98000 MIRI SARAWAK</t>
  </si>
  <si>
    <t>NVMY49024000002767</t>
  </si>
  <si>
    <t>SITI FARA ZILA</t>
  </si>
  <si>
    <t>NO 246 JLN SENTOSA 12 TAMAN SENTOSA 27600 RAUB PAHANG</t>
  </si>
  <si>
    <t>NVMY49024000002779</t>
  </si>
  <si>
    <t>NVMY49024000002802</t>
  </si>
  <si>
    <t>NVMY49024000002749</t>
  </si>
  <si>
    <t>ZAINI BIN YAKOB</t>
  </si>
  <si>
    <t>NO 54 JALAN SU3 TAMAN SUNGAI UDANG 76300 SUNGAI UDANG MELAKA</t>
  </si>
  <si>
    <t>NVMY49024000002737</t>
  </si>
  <si>
    <t>Nurul Izzah</t>
  </si>
  <si>
    <t xml:space="preserve">No 80 sungai marong , 28700 bentong pahang </t>
  </si>
  <si>
    <t>NVMY49024000002748</t>
  </si>
  <si>
    <t>BAHARUDDIN BIN MAHMOD</t>
  </si>
  <si>
    <t>119, LORONG MAKMUR 2, TAMAN TEMIANG JAYA 70400 SEREMBAN, NEGERI SEMBILAN</t>
  </si>
  <si>
    <t>NVMY49024000002810</t>
  </si>
  <si>
    <t>SANIAH</t>
  </si>
  <si>
    <t xml:space="preserve">LOT 4809 PERSIARAN MASJID SULTAN KAMPUNG TELUK NIPAH , 42920 PULAU INDAH PELABUHAN KLANG SELANGOR </t>
  </si>
  <si>
    <t>NVMY49024000002798</t>
  </si>
  <si>
    <t>suziana bt abd aziz</t>
  </si>
  <si>
    <t>Lot 4885 jalan ibok,kampung baru bukit anak dara kijal 24100 kemaman terengganu</t>
  </si>
  <si>
    <t>NVMY49024000002641</t>
  </si>
  <si>
    <t>Blok A2, (BQ24110167), Nurhasanah Ainina</t>
  </si>
  <si>
    <t>Kolej Kediaman Tun Pengiran Ahmad Raffae, Universiti Malaysia Sabah, Jalan UMS, 88400 Kota Kinabalu, Sabah</t>
  </si>
  <si>
    <t>NVMY49024000002686</t>
  </si>
  <si>
    <t>yana</t>
  </si>
  <si>
    <t xml:space="preserve">116 jalan sejahtera jaya 4 taman sejahtera jaya 09600 lunas kedah </t>
  </si>
  <si>
    <t>NVMY49024000002780</t>
  </si>
  <si>
    <t>Nana</t>
  </si>
  <si>
    <t>B-15-20 i-Sovo i-City Seksyen 7, 40000 Shah Alam Selangor</t>
  </si>
  <si>
    <t>D4-KLG-12-139</t>
  </si>
  <si>
    <t>NVMY49024000002704</t>
  </si>
  <si>
    <t>Dekjaa</t>
  </si>
  <si>
    <t>: C-1-02, Pangsapuri Suria 1, Jalan Cassia Barat 1/1, Bandar Cassia 14110 Simpang Ampat Pulau Pinang</t>
  </si>
  <si>
    <t>B2-SIM-5-44</t>
  </si>
  <si>
    <t>NVMY49024000002705</t>
  </si>
  <si>
    <t>NUR ALIEA</t>
  </si>
  <si>
    <t>NO 418 BATU 14 1/2 JALAN PENDANG 06700 , PENDANG KEDAH</t>
  </si>
  <si>
    <t>A3-PDG-3-25</t>
  </si>
  <si>
    <t>NVMY49024000002674</t>
  </si>
  <si>
    <t>Sofea zahrah</t>
  </si>
  <si>
    <t>MEDI KLINIK SHAHROL,55W TAMAN IMPIAN JALAN CHANGKAT JONG,36000 TELUK INTAN,PERAK</t>
  </si>
  <si>
    <t>B3-TIN-6-54</t>
  </si>
  <si>
    <t>NVMY49024000002797</t>
  </si>
  <si>
    <t>Noor Hasimah M Yacob</t>
  </si>
  <si>
    <t>No 9, Lorong TJM 4, Taman Jengka Mahkota, 26400 Bandar Jengka, Pahang</t>
  </si>
  <si>
    <t>NVMY49024000002700</t>
  </si>
  <si>
    <t>Lalako</t>
  </si>
  <si>
    <t>12 Jalan Bentara 5 Tmn Ungku Tun Aminah 81300 Johor Bahru Johor</t>
  </si>
  <si>
    <t>NVMY49024000002738</t>
  </si>
  <si>
    <t>Izzah latifi</t>
  </si>
  <si>
    <t>5887, Jalan BBN 9/3G, Taman Desa Anggerik, 71800 Setul Seremban, Negeri Sembilan</t>
  </si>
  <si>
    <t>NVMY49024000002766</t>
  </si>
  <si>
    <t>DHIA SAFFIA AZMIR</t>
  </si>
  <si>
    <t>341 JLN GONG PASIR LORONG 2 KANAN 23000 DUNGUN TERENGGANU</t>
  </si>
  <si>
    <t>NVMY49024000002753</t>
  </si>
  <si>
    <t>AZIZAH BINTI ABD RAHMAN</t>
  </si>
  <si>
    <t>NO 109 JLN MUTIARA BIRU F3D, TMN MUTIARA SUNGAI KOB KARANGAN 09700 KULIM KEDAH</t>
  </si>
  <si>
    <t>B2-KLM-5-41</t>
  </si>
  <si>
    <t>NVMY49024000002757</t>
  </si>
  <si>
    <t>KARTINI MAT KAMIS</t>
  </si>
  <si>
    <t>Perlis</t>
  </si>
  <si>
    <t>NO 8 JALAN HIJRAH 5, TAMAN HIJRAH 01000 KANGAR PERLIS</t>
  </si>
  <si>
    <t>A3-KGR-3-19</t>
  </si>
  <si>
    <t>NVMY49024000002648</t>
  </si>
  <si>
    <t>ANEM</t>
  </si>
  <si>
    <t>NO.10 LOT 488  LRG SUJAK, JLN PERADIN TELOK KERANG 82020 PONTIAN JOHOR.</t>
  </si>
  <si>
    <t>NVMY49024000002673</t>
  </si>
  <si>
    <t>Aisyah</t>
  </si>
  <si>
    <t>Sri Dayong 8, PB17, Seri Medan, 83400 Batu Pahat, Johor</t>
  </si>
  <si>
    <t>NVMY49024000002791</t>
  </si>
  <si>
    <t>mohd azam amierul</t>
  </si>
  <si>
    <t>NO B7 RUMAH KOS RENDAH KAMPUNG PASIR GAJAH,24030,CUKAI KEMAMAN TERENGGANU</t>
  </si>
  <si>
    <t>NVMY49024000002771</t>
  </si>
  <si>
    <t>NOOR ZULAIKHA MASRAN</t>
  </si>
  <si>
    <t>KEDAI MAKANAN TERNAKAN KG NELAYAN KANDIS 16310 BACHOK KELANTAN</t>
  </si>
  <si>
    <t>NVMY49024000002649</t>
  </si>
  <si>
    <t>Zulaika Assyifa</t>
  </si>
  <si>
    <t>No 5400 Taman Seroja Jalan Tun Razak 05200 Alor Setar, Kedah</t>
  </si>
  <si>
    <t>NVMY49024000002684</t>
  </si>
  <si>
    <t>Eva Cassandra</t>
  </si>
  <si>
    <t>Taman Putera Perdana Telipok Lorong 2E Lot 22 Hse No 7 88450 Kota Kinabalu Sabah (rumah warna hijau pagar warna putih)</t>
  </si>
  <si>
    <t>NVMY49024000002762</t>
  </si>
  <si>
    <t>aiman abadi</t>
  </si>
  <si>
    <t xml:space="preserve">KOPERASI UITM CAWANGAN PAHANG KOLEJ MAT KILAU UTIM CAWANGAN PAHANG KAMPUS BANDAR PUSAT JENGKA 26400 CHENOR MARAN PAHANG </t>
  </si>
  <si>
    <t>NVMY49024000002709</t>
  </si>
  <si>
    <t>hanum hashim</t>
  </si>
  <si>
    <t>teraju ekonomi asnaf sdn bhd no29, jalan KS9/KU5, taman klang sentral, 41000 klang selangor</t>
  </si>
  <si>
    <t>NVMY49024000002671</t>
  </si>
  <si>
    <t>Nurul Khalilah Binti Mohd Nor</t>
  </si>
  <si>
    <t>No.2 Jalan Pertanian 37, Taman Universiti 81300 Skudai Johor</t>
  </si>
  <si>
    <t>NVMY49024000002833</t>
  </si>
  <si>
    <t>DATIN NAJWA</t>
  </si>
  <si>
    <t xml:space="preserve">B-29-3A, CONTINEW RESIDENCE BY MIKEY 315, JALAN TUN RAZAK PUDU 50400 KUALA LUMPUR </t>
  </si>
  <si>
    <t>NVMY49024000002806</t>
  </si>
  <si>
    <t>MARDIAH BT NORDIN</t>
  </si>
  <si>
    <t xml:space="preserve">NO 33 TINGKAT 1 JALAN DATUK BAHAMAN 3 , PUSAT KOMERSIL TEMERLOH PAHANG </t>
  </si>
  <si>
    <t>NVMY49024000002670</t>
  </si>
  <si>
    <t>RajaaH Atirah</t>
  </si>
  <si>
    <t xml:space="preserve">Klinik Pergigian Norazleen Kuala Kangsar, No 10 Tingkat Bawah Persiaran Taiping, Jalan Taiping, 33000 Kuala Kangsar, Perak </t>
  </si>
  <si>
    <t>NVMY49024000002814</t>
  </si>
  <si>
    <t>Mohd yusran</t>
  </si>
  <si>
    <t>Ladang kampong kuantan 18000 kuala krai kelantan</t>
  </si>
  <si>
    <t>NVMY49024000002643</t>
  </si>
  <si>
    <t>SITI NUR SYAFIQAH BINTI ABDULLAH</t>
  </si>
  <si>
    <t>LOT 1537-C BATU 11, GOMBAK UTARA, GOMBAK, 53100 KUALA LUMPUR, SELANGOR</t>
  </si>
  <si>
    <t>NVMY49024000002743</t>
  </si>
  <si>
    <t>Siti aishah</t>
  </si>
  <si>
    <t>NO 20A KAMPUNG SUNGAI DADEH 35350 TEMOH PERAK</t>
  </si>
  <si>
    <t>NVMY49024000002645</t>
  </si>
  <si>
    <t>Anis Hasbi</t>
  </si>
  <si>
    <t>404, Jalan Wawasan 26, Taman Wawasan , 86800 Mersing, Johor</t>
  </si>
  <si>
    <t>C2-MSG-8-77</t>
  </si>
  <si>
    <t>NVMY49024000002776</t>
  </si>
  <si>
    <t>FARAH EDORA</t>
  </si>
  <si>
    <t>K-T5 JLN BESAR SURA GATE 23000 DUNGUN TERENGGANU</t>
  </si>
  <si>
    <t>NVMY49024000002789</t>
  </si>
  <si>
    <t>UMMU SYIHAB</t>
  </si>
  <si>
    <t xml:space="preserve">LOT 60233 JALAN AIR JERNIH KG SEMAYOR 24200 KEMASIK KEMAMAN TERENGGANU </t>
  </si>
  <si>
    <t>NVMY49024000002732</t>
  </si>
  <si>
    <t>NUR AIN SYAFIRA</t>
  </si>
  <si>
    <t>KLINIK PERGIGIAN LOW NO. 31 , JALAN DAMAR LAUT, 34900 PANTAI REMIS PERAK</t>
  </si>
  <si>
    <t>B3-ATW-6-56</t>
  </si>
  <si>
    <t>NVMY49024000002703</t>
  </si>
  <si>
    <t>Farehah Mohamad</t>
  </si>
  <si>
    <t>No 59 kampung ulu bendul (belakang perumahan tmn Sri ulu bendul) 71500 Tg Ipoh Kuala pilah N9</t>
  </si>
  <si>
    <t>NVMY49024000002713</t>
  </si>
  <si>
    <t>Lily</t>
  </si>
  <si>
    <t>Block A. tingkat 7 nobor 24.jalan bayu puteri 2 pangsapuri desa melayu 80150 johor bahru johor</t>
  </si>
  <si>
    <t>C1-LKN-7-73</t>
  </si>
  <si>
    <t>NVMY49024000002793</t>
  </si>
  <si>
    <t>Azliana</t>
  </si>
  <si>
    <t>No.17,Jalan Taman kota cheras 3/4, Taman kota cheras, Batu 10 43200 Cheras, Selangor</t>
  </si>
  <si>
    <t>NVMY49024000002688</t>
  </si>
  <si>
    <t>Nur Farzilah Bt Abdul Majeed</t>
  </si>
  <si>
    <t xml:space="preserve">No 10, Jalan KJ 64, Taman Krubong Jaya , 75260 Melaka </t>
  </si>
  <si>
    <t>NVMY49024000002682</t>
  </si>
  <si>
    <t>zira muhammad</t>
  </si>
  <si>
    <t>Blok B, No 06-19, Pangsapuri Beringin, Jalan Kempas Utama 2/8, Taman Kempas Utama, 81300, Johor Bahru</t>
  </si>
  <si>
    <t>C1-KEM-7-76</t>
  </si>
  <si>
    <t>NVMY49024000002719</t>
  </si>
  <si>
    <t>TAN HUEY JUEN</t>
  </si>
  <si>
    <t>XEPA-SOUL PATTINSON (MALAYSIA) SDN. BHD, INDUSTRIAL ESTATE, 1-5 JLN TTC 1, TAMAN TEKNOLOGI CHENG, 75250 CHENG, MELAKA</t>
  </si>
  <si>
    <t>NVMY49024000002770</t>
  </si>
  <si>
    <t>ALIA MAISARAH</t>
  </si>
  <si>
    <t>NO 325 RKT KESEDAR PALOH 2 GUA MUSANG 18300 KELANTAN</t>
  </si>
  <si>
    <t>NVMY49024000002773</t>
  </si>
  <si>
    <t>AFRINA BATRISYIA</t>
  </si>
  <si>
    <t>LOT 1010 KG PERANGKAP BUNUT SUSU 17020 PASIR MAS KELANTAN</t>
  </si>
  <si>
    <t>NVMY49024000002811</t>
  </si>
  <si>
    <t>NURNAIMAH NAWI</t>
  </si>
  <si>
    <t>NO 3 PENGKALAN GELAP 22110 SETIU, TERENGGANU</t>
  </si>
  <si>
    <t>NVMY49024000002769</t>
  </si>
  <si>
    <t>SYIRA</t>
  </si>
  <si>
    <t>TALI AIR 2 BAN 4 LORONG RAMBUTAN 45500 TANJONG KARANG SELANGOR</t>
  </si>
  <si>
    <t>NVMY49024000002807</t>
  </si>
  <si>
    <t>YANA BASIL</t>
  </si>
  <si>
    <t xml:space="preserve">C1-46-01 , NO 1 RAZAK CITY RESIDENCE , JALAN RAZAK MANSION , SUNGAI BESI KUALA LUMPUR </t>
  </si>
  <si>
    <t>D4-BTR-12-149</t>
  </si>
  <si>
    <t>NVMY49024000002783</t>
  </si>
  <si>
    <t>Azuan bin hassan</t>
  </si>
  <si>
    <t>2-3-4 widuri 2 Jalan 7/4 seksyen 7   43650 Bandar Baru Bangi Selangor</t>
  </si>
  <si>
    <t>NVMY49024000002740</t>
  </si>
  <si>
    <t>Muhammad Irfan</t>
  </si>
  <si>
    <t>Lot 1566-A KAMPUNG KROH HULU 33700 PADANG RENGAS PERAK</t>
  </si>
  <si>
    <t>NVMY49024000002656</t>
  </si>
  <si>
    <t>Rusharini Aiza binti rozali</t>
  </si>
  <si>
    <t>Kampung Bendang Dalam Mukim Binjal 06000 Jitra Kedah</t>
  </si>
  <si>
    <t>NVMY49024000002744</t>
  </si>
  <si>
    <t>Husna Alidarithous</t>
  </si>
  <si>
    <t>No 6861, Jalan Mentimun, Taman Sejahtera Fasa 2 Tambahan, 31900 Kampar, Perak</t>
  </si>
  <si>
    <t>NVMY49024000002722</t>
  </si>
  <si>
    <t>SYAFIQ NAZIR</t>
  </si>
  <si>
    <t xml:space="preserve">282 JALAN ANGSA KG SUNGAI RELONG , 34600 KG SUNGAI RELONG KAMUNTING PERAK </t>
  </si>
  <si>
    <t>NVMY49024000002735</t>
  </si>
  <si>
    <t>NUR SHAFIQAH BINTI MAT SHUKARY</t>
  </si>
  <si>
    <t>RANGKAIAN INDAH ENTERPRISE  KG DUSUN HULU LAYANG LAYANG KIRI 32800 PARIT PERAK</t>
  </si>
  <si>
    <t>NVMY49024000002758</t>
  </si>
  <si>
    <t>NORA BINTI ROSDIN</t>
  </si>
  <si>
    <t>1367 LAHAR IKAN MATI 13200 KEPALA BATAS SPU PULAU PINANG</t>
  </si>
  <si>
    <t>B2-BTS-5-43</t>
  </si>
  <si>
    <t>NVMY49024000002808</t>
  </si>
  <si>
    <t>NVMY49024000002774</t>
  </si>
  <si>
    <t>NIK NORAIDA BT NIK ADIK</t>
  </si>
  <si>
    <t>NO 11 JLN TEMPINIS KG TASEK TOK LEBAI 22020 JERTEH TERENGGANU</t>
  </si>
  <si>
    <t>NVMY49024000002667</t>
  </si>
  <si>
    <t>Aishahanis</t>
  </si>
  <si>
    <t>18-3-1 persiaran mayang pasir 5  Bayan baru 11950 bayan lepas pulau pinang</t>
  </si>
  <si>
    <t>B2-BAY-5-46</t>
  </si>
  <si>
    <t>NVMY49024000002801</t>
  </si>
  <si>
    <t>WANIE</t>
  </si>
  <si>
    <t>A2-3-4 DESA PANDAN KG PANDAN 55100 KL</t>
  </si>
  <si>
    <t>NVMY49024000002662</t>
  </si>
  <si>
    <t>NUR ILLI NAJLA BINTI NORUDDIN</t>
  </si>
  <si>
    <t>NO.39, JALAN ASSAMARA. TAMAN MELATI. POKOK ASSAM 34000 TAIPING. PERAK</t>
  </si>
  <si>
    <t>B3-TPG-6-60</t>
  </si>
  <si>
    <t>NVMY49024000002812</t>
  </si>
  <si>
    <t>SUHARMIZI BIN MOHAMED</t>
  </si>
  <si>
    <t>KUATERS GURU, SEKOLAH KEBANGSAAN JERAM TEKOH 18300 GUA MUSANG KELANTAN</t>
  </si>
  <si>
    <t>AB1-GUA-1-10</t>
  </si>
  <si>
    <t>NVMY49024000002765</t>
  </si>
  <si>
    <t>SITI NUR AISYAH SOLEHAH</t>
  </si>
  <si>
    <t>2886C KG BATU 4 DLM KAR JALAN KUALA KRAI 15150 KOTA BHARU KELANTAN</t>
  </si>
  <si>
    <t>NVMY49024000002742</t>
  </si>
  <si>
    <t>UMMI NATASYA</t>
  </si>
  <si>
    <t xml:space="preserve">NO18 A KAMPUNG MATANG MAHANG 06150 AYER HITAM ALOR SETAR KEDAH </t>
  </si>
  <si>
    <t>NVMY49024000002675</t>
  </si>
  <si>
    <t>Aishah Najwa</t>
  </si>
  <si>
    <t>No 33 jalan lampam 42 Taman Tanjung Puteri Resort, 81700 Pasir Gudang,  Johor</t>
  </si>
  <si>
    <t>C1-MAS-7-71</t>
  </si>
  <si>
    <t>NVMY49024000002745</t>
  </si>
  <si>
    <t>SYAFIKA TAHA</t>
  </si>
  <si>
    <t>No 37, KPG SUNGAI BEDIL BESAR , PETRA JAYA 93050 KUCHING SARAWAK</t>
  </si>
  <si>
    <t>NVMY49024000002689</t>
  </si>
  <si>
    <t>Nurul Basyira Binti Zakaria</t>
  </si>
  <si>
    <t>Kampung Pantai Kundor Jalan Kuala Besar 15350 Kota Bharu Kelantan</t>
  </si>
  <si>
    <t>NVMY49024000002724</t>
  </si>
  <si>
    <t>NIK HASBOLLAH</t>
  </si>
  <si>
    <t>NIK IKAN BAKAR NO 1 MEDAN SELERA MASJID KAYANGAN BRINCHANG 39100 CAMERON HIGHLANDS PAHANG, Pahang, Brinchang, 39100</t>
  </si>
  <si>
    <t>B3-CMN-6-55</t>
  </si>
  <si>
    <t>NVMY49024000002775</t>
  </si>
  <si>
    <t>NURUL SOFIA</t>
  </si>
  <si>
    <t xml:space="preserve">LOT 1807 BELAKANG KLINIK KESIHATAN KUALA BESUT TERENGGANU </t>
  </si>
  <si>
    <t>NVMY49024000002665</t>
  </si>
  <si>
    <t>Nor Syahida</t>
  </si>
  <si>
    <t xml:space="preserve">No 15e kampung batu 8  1/2 09600 lunas kedah </t>
  </si>
  <si>
    <t>NVMY49024000002676</t>
  </si>
  <si>
    <t>NurSyamimi</t>
  </si>
  <si>
    <t>B-12, Jalan Tanjung Felda Bukit Ramun, 81040,Kulai, Johor.</t>
  </si>
  <si>
    <t>C1-KLI-7-70</t>
  </si>
  <si>
    <t>NVMY49024000002255</t>
  </si>
  <si>
    <t>Christina Ngian Ambun</t>
  </si>
  <si>
    <t>Lot 112, Lorong 6, Taman Kenanga Indah, 95700 Betong, Sarawak</t>
  </si>
  <si>
    <t>NVMY49024000002654</t>
  </si>
  <si>
    <t>ALYA NAZLI</t>
  </si>
  <si>
    <t>D1-3018,  UniStorage(019-5682107),Lot 6, Anjung Siswa, Uitm Arau, 02600 02600, Arau, Perlis, Malaysia</t>
  </si>
  <si>
    <t>NVMY49024000002723</t>
  </si>
  <si>
    <t>NVMY49024000002799</t>
  </si>
  <si>
    <t>nur akmal rawiah</t>
  </si>
  <si>
    <t>lot 34, belakang perabbut kayu, kampung slow machang,17000, pasir mas, kelantan</t>
  </si>
  <si>
    <t>NVMY49024000002777</t>
  </si>
  <si>
    <t>KIFAYAH HANIM</t>
  </si>
  <si>
    <t>27A KG PAK SIK KERUAK 22010 JERTEH TERENGGANU</t>
  </si>
  <si>
    <t>NVMY49024000002614</t>
  </si>
  <si>
    <t>Zahari bin Noor</t>
  </si>
  <si>
    <t>7124 Padang Tembusu, 13100 Penaga, Seberang Perai, Pulau Pinang.</t>
  </si>
  <si>
    <t>NVMY49024000002562</t>
  </si>
  <si>
    <t>NAZMI ADHWA BIN NAHAR</t>
  </si>
  <si>
    <t>D/A HABSAH BAHANI,SK SEDC,JALAN MANTIS,UPPER LANANG ROAD,96000 SIBU,SARAWAK</t>
  </si>
  <si>
    <t>NVMY49024000002658</t>
  </si>
  <si>
    <t>aisyah / suraya balqis</t>
  </si>
  <si>
    <t>2-5-1 the summer place, sungai pinang 8, 11600 Georgetown Pulau Pinang.</t>
  </si>
  <si>
    <t>NVMY49024000002886</t>
  </si>
  <si>
    <t>ABDULLAH ABDUL RAHMAN</t>
  </si>
  <si>
    <t>153-E KAMPUNG SUNGAI ULAR, JARAK BUJOK 26080 KUANTAN PAHANG</t>
  </si>
  <si>
    <t>B1-BLK-4-30</t>
  </si>
  <si>
    <t>NVMY49024000002784</t>
  </si>
  <si>
    <t>Nurul hidayah binti mohamad</t>
  </si>
  <si>
    <t>119 jalan kampung sungai jambi darat,rengit 83100 johor</t>
  </si>
  <si>
    <t>NVMY49024000002778</t>
  </si>
  <si>
    <t>NVMY49024000002890</t>
  </si>
  <si>
    <t>WAN FAKHARI</t>
  </si>
  <si>
    <t xml:space="preserve">LOT 1861 , KOLAM AIR PANAS TOK BOK KAMPUNG RENGAS 18500 MACHANG KELANTAN </t>
  </si>
  <si>
    <t>NVMY49024000002678</t>
  </si>
  <si>
    <t>Nur Basirah Binti Ab Hamid</t>
  </si>
  <si>
    <t>Langkawi Geopark Discovery Centre, Jeti Kilim, Mukim Ayer Hangat, 07000 Langkawi Kedah</t>
  </si>
  <si>
    <t>NVMY49024000002877</t>
  </si>
  <si>
    <t>MUHAMMAD AZARUDEEN KHALID</t>
  </si>
  <si>
    <t>NO 80 RUMAH MURAH TAMAN SERI CHEDING, 42700 BANTING, SELANGOR</t>
  </si>
  <si>
    <t>D4-BAN-12-141</t>
  </si>
  <si>
    <t>NVMY49024000002842</t>
  </si>
  <si>
    <t>ROKIAH BT MOHAMAD</t>
  </si>
  <si>
    <t xml:space="preserve">PMINT TINGKAT 10 MENARA PMINT JALAN SULTAN ISMAIL 20200 KUALA TERENGGANU , TERENGGANU </t>
  </si>
  <si>
    <t>NVMY49024000002825</t>
  </si>
  <si>
    <t>Alia putri</t>
  </si>
  <si>
    <t>No 1 jalan durian pahit , kg buloh poh, 16450 ketereh, Kelantan</t>
  </si>
  <si>
    <t>NVMY49024000002796</t>
  </si>
  <si>
    <t>Rosnawati Bt Ghazali</t>
  </si>
  <si>
    <t>No 145,Jalan pertiwi 6,Taman Pertiwi fasa 2,Kota Sarang Semut,06800 Alor setar Kedah.</t>
  </si>
  <si>
    <t>NVMY49024000002813</t>
  </si>
  <si>
    <t>MOHD ZAINOL BIN MOHD FAUZI</t>
  </si>
  <si>
    <t>NO 19 TAMAN SETIA INDAH JALAN SETIA INDAH 3, 06700 PENDANG, KEDAH</t>
  </si>
  <si>
    <t>NVMY49024000002809</t>
  </si>
  <si>
    <t>IZZAT RUSLI</t>
  </si>
  <si>
    <t xml:space="preserve">PANGSAPURI VISTA PINGGIRAN JALAN PINGGIRAN PUTRA 1 , TAMAN PINGGIRAN PUTRA , SECTION 2 , 43300 SERI KEMBANGAN SELANGOR </t>
  </si>
  <si>
    <t>D2-SRD-14-114</t>
  </si>
  <si>
    <t>NVMY49024000002896</t>
  </si>
  <si>
    <t>ANIS NADHIRAH</t>
  </si>
  <si>
    <t xml:space="preserve">8 , JALAN GUNUNG TAHAN , U11/29 , BUKIT BANDARAYA SHAH ALAM 40170 SELANGOR </t>
  </si>
  <si>
    <t>D3-SHA-13-130</t>
  </si>
  <si>
    <t>NVMY49024000002790</t>
  </si>
  <si>
    <t>ASPAZILAH</t>
  </si>
  <si>
    <t>NO 3 TAMAN JELITA  14200 SUNGAI BAKAP PULAU PINANG</t>
  </si>
  <si>
    <t>NVMY49024000002857</t>
  </si>
  <si>
    <t>nurul syazwani</t>
  </si>
  <si>
    <t xml:space="preserve"> lot 3154c jalan tempayan emas 1 batu 15 kampung paya jaras dalam 47000 sungai buloh selangor </t>
  </si>
  <si>
    <t>NVMY49024000002864</t>
  </si>
  <si>
    <t>syahira</t>
  </si>
  <si>
    <t xml:space="preserve"> lot 271 lorong sepakat 17 kg sri damai 25150 kuantan pahang</t>
  </si>
  <si>
    <t>NVMY49024000002647</t>
  </si>
  <si>
    <t>Nur Wardina Safiah</t>
  </si>
  <si>
    <t>Taman Ekologi, Blok D-2-2A, Fasa 1 Kg Guidan, Sepanggar 88450, Kota Kinabalu</t>
  </si>
  <si>
    <t>NVMY49024000002818</t>
  </si>
  <si>
    <t>NUR KHAIRINA</t>
  </si>
  <si>
    <t>D/L Rumah Kakitangan Ractar lot 746 Jalan Usj 1/18, 47600 Subang Jaya Selangor</t>
  </si>
  <si>
    <t>NVMY49024000002848</t>
  </si>
  <si>
    <t>ZAITUN BT MUSTAPA</t>
  </si>
  <si>
    <t>NO 1884 KG JOH LABOK 18500 MACHANG KELANTAN</t>
  </si>
  <si>
    <t>NVMY49024000002844</t>
  </si>
  <si>
    <t>ZAINI BINTI UMAR</t>
  </si>
  <si>
    <t>NO. 4, JALAN BATU CAVES 27/67, SEKSYEN 27, 40400 SHAH ALAM, SELANGOR</t>
  </si>
  <si>
    <t>D2-HGT-14-121</t>
  </si>
  <si>
    <t>NVMY49024000002870</t>
  </si>
  <si>
    <t>emilyiana asong</t>
  </si>
  <si>
    <t>LOT 4453 KAMPUNG GONG NYATOH TELONG 16310 BACHOK KELANTAN</t>
  </si>
  <si>
    <t>NVMY49024000002866</t>
  </si>
  <si>
    <t>aiensyahirah</t>
  </si>
  <si>
    <t>323 kampung rahmat chalok 21450 bandar permaisuri terengganu</t>
  </si>
  <si>
    <t>NVMY49024000002843</t>
  </si>
  <si>
    <t>AZLIZA BINTI ISMAIL</t>
  </si>
  <si>
    <t xml:space="preserve">LOT 256 , TAMAN ZAWIYAH GUNONG , 16390 BACHOK KELANTAN </t>
  </si>
  <si>
    <t>NVMY49024000002881</t>
  </si>
  <si>
    <t>ZAITON ZAKARIA</t>
  </si>
  <si>
    <t>NO 5, JALAN SEAMARAK 2B/2, SEKSYEN BB7, BANDAR BUKIT BERUNTUNG, 48300 RAWANG, SELANGOR</t>
  </si>
  <si>
    <t>NVMY49024000002892</t>
  </si>
  <si>
    <t>NURUL NATASHA</t>
  </si>
  <si>
    <t xml:space="preserve">LMC 3-19 JALAN CARNATION 2 , CARNATION PARK , TANAH RATA 39000 , CAMERON HIGHLAND </t>
  </si>
  <si>
    <t>NVMY49024000002888</t>
  </si>
  <si>
    <t>MOHD BISRAHHIM BIN GHANI</t>
  </si>
  <si>
    <t>PT 13332 TAMAN DESA SOLEHAH KAMPUNG MAK CHILI 24000 KEMAMAN TERENGGANU</t>
  </si>
  <si>
    <t>B1-CHU-4-29</t>
  </si>
  <si>
    <t>NVMY49024000002827</t>
  </si>
  <si>
    <t>alisya</t>
  </si>
  <si>
    <t>No 43, lorong pedah 4, taman sri pedah jerantut feri, 27150 jerantut, pahang</t>
  </si>
  <si>
    <t>NVMY49024000002829</t>
  </si>
  <si>
    <t>Intan Nor Amnani binti Abdul Rahman</t>
  </si>
  <si>
    <t>PT 8241, Taman Mawar 1, Jalan Intan, Kampung Balai Besar, 23000, Dungun, Terengganu</t>
  </si>
  <si>
    <t>A2-DGN-2-15</t>
  </si>
  <si>
    <t>NVMY49024000002764</t>
  </si>
  <si>
    <t>JASMIN BT REJAB</t>
  </si>
  <si>
    <t>KG KANDIS MUKIM PERING 06100 KODIANG KEDAH</t>
  </si>
  <si>
    <t>NVMY49024000002756</t>
  </si>
  <si>
    <t>LATIFAH BINTI SAIMAN</t>
  </si>
  <si>
    <t>LOT 324 LORONG 3, TAMAN TELUK VILLA 88200 PUTATAN SABAH</t>
  </si>
  <si>
    <t>NVMY49024000002785</t>
  </si>
  <si>
    <t>SITI ZAHARAH</t>
  </si>
  <si>
    <t>NO 1232 BLOK A-10 FELDA ADELA 81900 KOTA TINGGI JOHOR</t>
  </si>
  <si>
    <t>NVMY49024000002891</t>
  </si>
  <si>
    <t>NOR SYARINA BINTI MAAT</t>
  </si>
  <si>
    <t xml:space="preserve">NO 17 , JALAN 3/7 SERDANG JAYA 43300 SERI KEMBANGAN SELANGOR </t>
  </si>
  <si>
    <t>NVMY49024000002768</t>
  </si>
  <si>
    <t>ANIS TARMIZI</t>
  </si>
  <si>
    <t>NO 5 JLN SERI MENERONG 3 TAMAN SERI MENERONG 13300 TASEK GELUGOR PULAU PINANG</t>
  </si>
  <si>
    <t>NVMY49024000002837</t>
  </si>
  <si>
    <t>KHAIRUL ASYRAF BIN MOHD RADZI</t>
  </si>
  <si>
    <t xml:space="preserve">NO 1050 LAHAR IKAN MATI , 13200 KEPALA BATAS , SEBERANG PERAI UTARA , PULAU PINANG </t>
  </si>
  <si>
    <t>NVMY49024000002860</t>
  </si>
  <si>
    <t>NUR ELLY HANANIA BINTI NORFAIZAL</t>
  </si>
  <si>
    <t>A-5-5 BLOCK A PRIMA APARTMENT NO 1 JALAN P11E/1 PRESINT 11 62300 PUTRAJAYA</t>
  </si>
  <si>
    <t>NVMY49024000002804</t>
  </si>
  <si>
    <t>HAKTIJAH BINTI YUSOFF</t>
  </si>
  <si>
    <t xml:space="preserve">NO 485 , JALAN UJ 16 , TAMAN UNIVERSITI JAYA , 08100 BEDONG KEDAH </t>
  </si>
  <si>
    <t>NVMY49024000002787</t>
  </si>
  <si>
    <t>Nadia Johari</t>
  </si>
  <si>
    <t>no 4 medan maju 6 taman haji abdullah fahim 13200 kepala batas spu pulau pinang</t>
  </si>
  <si>
    <t>NVMY49024000002840</t>
  </si>
  <si>
    <t>FATEN AMERA BT ABDUL RASHID</t>
  </si>
  <si>
    <t xml:space="preserve">23-138 LORONG CENGAL KANAN 7 DESA PERDANA , 26900 BANDAR TUN ABDUL RAZAK PAHANG </t>
  </si>
  <si>
    <t>NVMY49024000002895</t>
  </si>
  <si>
    <t>MOHD HAFIZI RAMLEE</t>
  </si>
  <si>
    <t xml:space="preserve">BLOK 4 , KOLEJ KERIS MAS , UNIVERSITI KEBANGSAAN MALAYSIA 43600 BANDAR BARU BANGI SELANGOR </t>
  </si>
  <si>
    <t>NVMY49024000002834</t>
  </si>
  <si>
    <t>KHADIJAH AINI SALLEH</t>
  </si>
  <si>
    <t xml:space="preserve">NO 6 PERSIARAN EMAS MAJU 1 , TAMAN EMAS MAJU 33000 KUALA KANGSAR PERAK </t>
  </si>
  <si>
    <t>NVMY49024000002868</t>
  </si>
  <si>
    <t>Siti Nur Fatin Najihah Binti Azman</t>
  </si>
  <si>
    <t>No 1/2970 Kampung Selamat Jalan Pelabuhan 26080 Kuantan Pahang</t>
  </si>
  <si>
    <t>NVMY49024000002821</t>
  </si>
  <si>
    <t>Nuryusrina binti mohd yusri</t>
  </si>
  <si>
    <t>No 5, lorong pandan aman 1/6, taman pandan aman, 25150 kuantan pahang</t>
  </si>
  <si>
    <t>NVMY49024000002830</t>
  </si>
  <si>
    <t>norami farhani binti hairolnizam</t>
  </si>
  <si>
    <t xml:space="preserve"> pejabat am kolej canselor, kolej canselor, universiti putra malaysia 43400 UPM serdang selangor</t>
  </si>
  <si>
    <t>NVMY49024000002859</t>
  </si>
  <si>
    <t>wan maizatul hayati</t>
  </si>
  <si>
    <t>sedap gula, lot 5740 jalan pegawai daerah, 21700 kuala berang</t>
  </si>
  <si>
    <t>NVMY49024000002889</t>
  </si>
  <si>
    <t>ASMA SHABELLA</t>
  </si>
  <si>
    <t xml:space="preserve">KEDAI KOPI ZARINA IBRAHIM , KG BUKIT ABAL , 16800 PASIR PUTEH KELANTAN </t>
  </si>
  <si>
    <t>NVMY49024000002772</t>
  </si>
  <si>
    <t>NIK NABIELA YUSRAN</t>
  </si>
  <si>
    <t>NO 165 LORONG 5 RPA 2 LANGKAP 36700 LANGKAP HILIR PERAK</t>
  </si>
  <si>
    <t>NVMY49024000002831</t>
  </si>
  <si>
    <t>Pika saffie</t>
  </si>
  <si>
    <t>C-4-11 casa dahlia bandar baru salak tinggi 43900 sepang selangor</t>
  </si>
  <si>
    <t>NVMY49024000002856</t>
  </si>
  <si>
    <t>Fyra</t>
  </si>
  <si>
    <t>69 kg kenangan 28500 lanchang pahang</t>
  </si>
  <si>
    <t>NVMY49024000002865</t>
  </si>
  <si>
    <t>Nur Shahirah Binti Rosli</t>
  </si>
  <si>
    <t xml:space="preserve">Lot378 Kampung Bemban Kelar 17040 Pasir Mas Kelantan </t>
  </si>
  <si>
    <t>NVMY49024000002876</t>
  </si>
  <si>
    <t>WAN NUR SYAFIQAH BT WAN MAZLAN</t>
  </si>
  <si>
    <t>PT 2383, NO. 201, TAMAN KENERAK JAYA, 17000 PASIR MAS, KELANTAN</t>
  </si>
  <si>
    <t>A1-PAS-1-2</t>
  </si>
  <si>
    <t>NVMY49024000002805</t>
  </si>
  <si>
    <t>NADIAH</t>
  </si>
  <si>
    <t xml:space="preserve">NO 1 JALAN PE 1/9 TAMAN PULAI EMAS , KULAI , JOHOR </t>
  </si>
  <si>
    <t>C1-SEN-7-74</t>
  </si>
  <si>
    <t>NVMY49024000002884</t>
  </si>
  <si>
    <t>NARIAH BINTI MAT ALI</t>
  </si>
  <si>
    <t xml:space="preserve">NO 10 JALAN ENCLAVE W , PERSADA MURNI 71760 BANDAR ENSTEK NEGERI SEMBILAN </t>
  </si>
  <si>
    <t>NVMY49024000002862</t>
  </si>
  <si>
    <t>NORSYAZANA</t>
  </si>
  <si>
    <t>NO 32 JALAN VISTA 2/13 TAMAN DESA VISTA, BANDAR BARU SALAK TINGGI, 43900, SEPANG, SELANGOR</t>
  </si>
  <si>
    <t>NVMY49024000002763</t>
  </si>
  <si>
    <t>NORHAFIZAH RABAN</t>
  </si>
  <si>
    <t>TL 25/2 KG PT SATU SANGLANG 82100 PONTIAN JOHOR AYER BALOI JOHOR</t>
  </si>
  <si>
    <t>NVMY49024000002822</t>
  </si>
  <si>
    <t>SAMIHAH AB AZIZ</t>
  </si>
  <si>
    <t>NO 23 JLN BB 6/2 TAMAN BANTING BARU 42700 BANTING, SELANGOR</t>
  </si>
  <si>
    <t>NVMY49024000002786</t>
  </si>
  <si>
    <t>Piana Benjamin</t>
  </si>
  <si>
    <t>No 9456, Lorong 5, Taman Kinabutan Ria, Bt 5 Jalan Apas, 91000 Tawau, Sabah</t>
  </si>
  <si>
    <t>NVMY49024000002824</t>
  </si>
  <si>
    <t>NURUL SYAHIDATUL SAFIAH BINTI SYUKUR</t>
  </si>
  <si>
    <t>J8769 FELCRA LEMBAH KESANG SERI MENDAPAT 77300 MERLIMAU, MELAKA</t>
  </si>
  <si>
    <t>NVMY49024000002949</t>
  </si>
  <si>
    <t>NVMY49024000002841</t>
  </si>
  <si>
    <t>NVMY49024000002878</t>
  </si>
  <si>
    <t>Amir (marvelton hotel)</t>
  </si>
  <si>
    <t>1&amp;3, lorong kelasah 2, taman kelasah, seberang jaya 13700 prai, pulau pinang</t>
  </si>
  <si>
    <t>NVMY49024000002863</t>
  </si>
  <si>
    <t>Tengku</t>
  </si>
  <si>
    <t>F-03-01, PANGSAPURI TAMAN KERIS LAKSAMANA, JALAN BELIUNG 12, 76300 SUNGAI UDANG MELAKA</t>
  </si>
  <si>
    <t>NVMY49024000002882</t>
  </si>
  <si>
    <t>JADDI ABU USAMAH</t>
  </si>
  <si>
    <t>NO. 6 JLN CEMPAKA KUNING 35, TAMAN CEMPAKA, 42700 BANTING, SELANGOR</t>
  </si>
  <si>
    <t>NVMY49024000002925</t>
  </si>
  <si>
    <t>Nurhadaina bt abu hasan asaari</t>
  </si>
  <si>
    <t>Kolej Kediaman Ketiga Belas, Block A, Bandar Petaling Jaya, 46350 Bandar Petaling Jaya, Selangor</t>
  </si>
  <si>
    <t>NVMY49024000002874</t>
  </si>
  <si>
    <t>LENTOQ COSMETICS</t>
  </si>
  <si>
    <t>33 JALAN RU 7, BUKIT RAMBAI UTAMA 75250 MELAKA</t>
  </si>
  <si>
    <t>NVMY49024000002680</t>
  </si>
  <si>
    <t>Syurah</t>
  </si>
  <si>
    <t xml:space="preserve">No5, Kg Tamok , 86500, Bekok, Segamat, Johor. </t>
  </si>
  <si>
    <t>NVMY49024000002942</t>
  </si>
  <si>
    <t>JASSRIE &amp; CO ADVOCATES &amp; SOLICITORS</t>
  </si>
  <si>
    <t>NO. 15A, JALAN NIRWANA 39, TAMAN NIRWANA 68000 AMPANG, SELANGOR</t>
  </si>
  <si>
    <t>D3-AMP-13-132</t>
  </si>
  <si>
    <t>NVMY49024000002945</t>
  </si>
  <si>
    <t>WAN MOHD HAZIF</t>
  </si>
  <si>
    <t>MQCARS, LOT 135 JALAN RAJA MUDA ABDUL AZIZ KG BARU 50300 KUALA LUMPUR</t>
  </si>
  <si>
    <t>NVMY49024000002951</t>
  </si>
  <si>
    <t>TUAN AZARIFF</t>
  </si>
  <si>
    <t>NO. 21 LORONG 5 KAMPUNG PADANG PERDANA JALAN SUNGAI LEMBING 25200 KUANTAN PAHANG</t>
  </si>
  <si>
    <t>NVMY49024000002885</t>
  </si>
  <si>
    <t>SIDEK BIN JAMAL</t>
  </si>
  <si>
    <t>NO 15, JALAN 6/12A KAMPUNG BATU MUDA, BATU 4 1/2 JALAN IPOH 51100 KUALA LUMPUR</t>
  </si>
  <si>
    <t>NVMY49024000002931</t>
  </si>
  <si>
    <t>Mohd fairul hafizi bin remali</t>
  </si>
  <si>
    <t>H 26 (CABIN 02) LORONG KAMPUNG MAMBANG ,KAMPUNG TANAH PUTIH 26600 PEKAN</t>
  </si>
  <si>
    <t>NVMY49024000002901</t>
  </si>
  <si>
    <t>NVMY49024000002858</t>
  </si>
  <si>
    <t>Izan</t>
  </si>
  <si>
    <t>No.8330, Jalan Merak 19, 81000 Bandar Putra Kulai</t>
  </si>
  <si>
    <t>NVMY49024000002924</t>
  </si>
  <si>
    <t>Syaza nor azman</t>
  </si>
  <si>
    <t>No 9 ,jalan 5 taman merbau indah 28300 bera pahang</t>
  </si>
  <si>
    <t>NVMY49024000002733</t>
  </si>
  <si>
    <t>Dee</t>
  </si>
  <si>
    <t>No 198B Kg Bakar Bata Sungai Pasir DK EEK TECH GADGET 08000 Sg Petani Kedah</t>
  </si>
  <si>
    <t>NVMY49024000002845</t>
  </si>
  <si>
    <t>NOOR SHAFIQ B SULAIMAN</t>
  </si>
  <si>
    <t>D' SECRET GARDEN, BLOK A-13/13, JALAN KEMPAS INDAH 81300 JOHOR</t>
  </si>
  <si>
    <t>NVMY49024000002828</t>
  </si>
  <si>
    <t>Siti Rahmah</t>
  </si>
  <si>
    <t>No. 38, Jalan Rakan 16, Taman Rakan Cheras, 43000 Kajang, Selangor.</t>
  </si>
  <si>
    <t>NVMY49024000002869</t>
  </si>
  <si>
    <t>Nurul Nasuha bt Nazarrudin</t>
  </si>
  <si>
    <t>21 1/2 KAMPUNG SOLOK DEKAT PENGKALAN BALAK , 78300</t>
  </si>
  <si>
    <t>NVMY49024000002794</t>
  </si>
  <si>
    <t>Fatin Nasuha</t>
  </si>
  <si>
    <t xml:space="preserve"> Palm Garden Apartment Persiaran Bukit Raja Kawasan 17, Bandar Baru Klang , block B Rumah No 5 Tingkat 6 , 41150 Klang Selangor </t>
  </si>
  <si>
    <t>NVMY49024000002861</t>
  </si>
  <si>
    <t>TEH HAJAR</t>
  </si>
  <si>
    <t>LOT 593 ALOR BUAYA KG PASIR PANJANG LAUT 32040 SERI MANJUNG PERAK</t>
  </si>
  <si>
    <t>B3-STW-6-61</t>
  </si>
  <si>
    <t>NVMY49024000002914</t>
  </si>
  <si>
    <t>Maizatul shahirah binti kamarul</t>
  </si>
  <si>
    <t>48, kampung binjai rendah 21400 Marang , Terengganu</t>
  </si>
  <si>
    <t>NVMY49024000002933</t>
  </si>
  <si>
    <t>Aziz adnan</t>
  </si>
  <si>
    <t>No32jalan tk5/32a,taman mawar.47100 puchong selangor</t>
  </si>
  <si>
    <t>D4-TPK-12-150</t>
  </si>
  <si>
    <t>NVMY49024000002879</t>
  </si>
  <si>
    <t>MOHD ARIFFIN BIN ABDUL RAHIM (BENGKEL KERETA)</t>
  </si>
  <si>
    <t>LOT 6143, JALAN BANGI, KAMPUNG TERAS JERNANG, 43650 BANDAR BARU BANGI, SELANGOR</t>
  </si>
  <si>
    <t>NVMY49024000002928</t>
  </si>
  <si>
    <t>ATTN : TRADE OPERATIONS SECTION</t>
  </si>
  <si>
    <t>BANK PERTANIAN MALAYSIA BERHAD (AGROBANK), TRADE FINANCE DEPARTMENT, SUITE 8.0, 8TH FLOOR, WISMA MARAN, NO 28. MEDAN PASAR, 50050 KUALA LUMPUR</t>
  </si>
  <si>
    <t>NVMY49024000002913</t>
  </si>
  <si>
    <t>NURUL AINA BINTI KHAIROL AZMI</t>
  </si>
  <si>
    <t>NO 74 FELDA SUNGAI TEKAM UTARA, 27060 JERANTUT PAHANG</t>
  </si>
  <si>
    <t>NVMY49024000002852</t>
  </si>
  <si>
    <t>AZIAN</t>
  </si>
  <si>
    <t xml:space="preserve">NO 2-1-17 BLOK 2 PANGSAPURI INTAN TAMAN BUKIT PERMAI 56100 KUALA LUMPUR </t>
  </si>
  <si>
    <t>NVMY49024000002788</t>
  </si>
  <si>
    <t>Ema Hasbi</t>
  </si>
  <si>
    <t>No 13 kampung stakan melayu 94300 kota samarahan sarawak</t>
  </si>
  <si>
    <t>NVMY49024000002815</t>
  </si>
  <si>
    <t>Rohaya Md Ali</t>
  </si>
  <si>
    <t>TL98, Parit Kadir Darat, Senggarang 83200 Batu Pahat, Johor</t>
  </si>
  <si>
    <t>NVMY49024000002880</t>
  </si>
  <si>
    <t>ROHANA OTHMAN</t>
  </si>
  <si>
    <t>NO 11, JLN MERAK, LARKIN JAYA, JB 80350, JOHOR</t>
  </si>
  <si>
    <t>NVMY49024000002819</t>
  </si>
  <si>
    <t>nur ameera</t>
  </si>
  <si>
    <t>40 jalan berlian 22 taman cahaya masai 81700 pasir gudang johor</t>
  </si>
  <si>
    <t>NVMY49024000002871</t>
  </si>
  <si>
    <t>suzana zahir</t>
  </si>
  <si>
    <t>lot 2374 lorong ros batu 18 kuang 48050 Rawang Selangor</t>
  </si>
  <si>
    <t>NVMY49024000002817</t>
  </si>
  <si>
    <t>Nor Azlin Binti Irwan</t>
  </si>
  <si>
    <t xml:space="preserve">Lot 3080 Jalan Dato Haji Shafie Kampung Bukit Kerayong 1, 42200 Kapar Selangor 42200, Kapar, Selangor, Malaysia. </t>
  </si>
  <si>
    <t>NVMY49024000002946</t>
  </si>
  <si>
    <t>MAIMUNAH BT HAMZAH</t>
  </si>
  <si>
    <t>NO 30 LORONG 3C TAMAN BUKIT BENDERA 28400 MENTAKAB PAHANG</t>
  </si>
  <si>
    <t>NVMY49024000002909</t>
  </si>
  <si>
    <t>Niqta</t>
  </si>
  <si>
    <t>kedai goreng pisang dekat gate air pengkalan petah bachok kelantan, 16020 bachok kelantan.</t>
  </si>
  <si>
    <t>NVMY49024000002939</t>
  </si>
  <si>
    <t>Azlizam Zakaria</t>
  </si>
  <si>
    <t>Lot 3787 kg permatang pasir ( lorong kilang kicap ) gunong bachok 16090 kelantan</t>
  </si>
  <si>
    <t>NVMY49024000002832</t>
  </si>
  <si>
    <t>NOOR SHAHIDAH LIM</t>
  </si>
  <si>
    <t>LOT 2750 , JLN PDG NYU(UITM PINTU A) KG GUAR GAJAH ,02600 ARAU PERLIS.</t>
  </si>
  <si>
    <t>NVMY49024000002921</t>
  </si>
  <si>
    <t>salbiah binti ariffin</t>
  </si>
  <si>
    <t>a-3-10 pangsapuri tropika, jalan kelisa 4, taman tropika sungai tangkas, kajang ulu langat, selangor 43000</t>
  </si>
  <si>
    <t>NVMY49024000002873</t>
  </si>
  <si>
    <t>nur erni yusnita binti masrom</t>
  </si>
  <si>
    <t>T/L 101/3 Jalan Tenggayun, Kampung Parit Tegong Rimba Terjun. 82000 Pontian, Johor</t>
  </si>
  <si>
    <t>NVMY49024000002853</t>
  </si>
  <si>
    <t>Puteri Anira (305978)</t>
  </si>
  <si>
    <t>Puteri Anira (305978) Uum Parcel Centre Inasis Yab / Muamalat, Laluan C, 06010, Temin, Kubang Pasu, 06010, Kedah</t>
  </si>
  <si>
    <t>NVMY49024000002961</t>
  </si>
  <si>
    <t>NURUL AIN</t>
  </si>
  <si>
    <t>BLOCK A-5-21, APARTMENT CEMARA, JALAN SRI PERMAISURI 3, BANDAR SRI PERMAISURI 56000 CHERAS, KUALA LUMPUR</t>
  </si>
  <si>
    <t>NVMY49024000002803</t>
  </si>
  <si>
    <t>ZAHARAH BINTI HAJI ALI</t>
  </si>
  <si>
    <t xml:space="preserve">B 568 , JALAN TAMAN UNIVERSITI 21 , TAMAN UNIVERSITI SEMELING 08100 BEDONG KEDAH </t>
  </si>
  <si>
    <t>NVMY49024000002872</t>
  </si>
  <si>
    <t>nurin natasha</t>
  </si>
  <si>
    <t>No 15 jalan pandan jaya 2/3 taman pandan jaya 75250 melaka</t>
  </si>
  <si>
    <t>NVMY49024000002929</t>
  </si>
  <si>
    <t>AHMAD HAFIZZUDDIN BIN AB RAHMAN</t>
  </si>
  <si>
    <t xml:space="preserve">B-7-3 PANGSAPURI SURIA PERMAI , BANDAR BARU PUTRA PERMAI , 43300 SERI KEMBANGAN SELANGOR </t>
  </si>
  <si>
    <t>NVMY49024000002911</t>
  </si>
  <si>
    <t>Khainisah</t>
  </si>
  <si>
    <t>Lot 817A, Kg Tanah Putih, 26600, Pekan, Pahang.</t>
  </si>
  <si>
    <t>NVMY49024000002906</t>
  </si>
  <si>
    <t>Shamsuri bin Md Desa</t>
  </si>
  <si>
    <t xml:space="preserve">No.163 Felda Triang 1 28200 Bandar Bera Pahang </t>
  </si>
  <si>
    <t>NVMY49024000002897</t>
  </si>
  <si>
    <t>NORAIDA MAZELA MUHAMAD</t>
  </si>
  <si>
    <t xml:space="preserve">NO 20 JALAN 8C IKU4 TAMAN SERI RANTAU 42100 KLANG SELANGOR </t>
  </si>
  <si>
    <t>NVMY49024000002934</t>
  </si>
  <si>
    <t>NURUL SAFIKAH</t>
  </si>
  <si>
    <t>LOT 2925 JALAN SEMPADAN, KAMPUNG ALOR PERAI 22300 KUALA BESUT TERENGGANU MALAYSIA</t>
  </si>
  <si>
    <t>A1-JTH-1-5</t>
  </si>
  <si>
    <t>NVMY49024000002800</t>
  </si>
  <si>
    <t>NORSIMAH BINTI ABD NISFU</t>
  </si>
  <si>
    <t>SRI UTAMA CONDOMINIUM BLOK B,IJM 90000 SANDAKAN SABAH</t>
  </si>
  <si>
    <t>NVMY49024000002935</t>
  </si>
  <si>
    <t>MOHAMAD HAFIZ BIN MD JULKAPLY</t>
  </si>
  <si>
    <t>NO. 6 JALAN RAJAWALI P9B1/11 PRESINT 9 62250 PUTRAJAYA</t>
  </si>
  <si>
    <t>NVMY49024000002893</t>
  </si>
  <si>
    <t>NURUL SHAZIRA AZMI</t>
  </si>
  <si>
    <t>NO 17, JALAN SRI SIANTAN 38, TAMAN SRI ANDALAS 41000 KLANG, SELANGOR</t>
  </si>
  <si>
    <t>NVMY49024000002915</t>
  </si>
  <si>
    <t>nur syahirah binti othman</t>
  </si>
  <si>
    <t>E 101 jalan sungai chandong 9 bandar armada putra 42920 pulau indah selangor</t>
  </si>
  <si>
    <t>NVMY49024000002823</t>
  </si>
  <si>
    <t>NOOR SHAFIDA BINTI MOHAMAD TARMIZI</t>
  </si>
  <si>
    <t>NO.80, JALAN SERI MENERONG 3, TAMAN SERI MENERONG, 13300 TASEK GELUGOR, PULAU PINANG.</t>
  </si>
  <si>
    <t>NVMY49024000002917</t>
  </si>
  <si>
    <t>Fatin Farhayu</t>
  </si>
  <si>
    <t>(kedai bahulu)kampung golok semerak,16700,pasir puteh,kelantan</t>
  </si>
  <si>
    <t>NVMY49024000002923</t>
  </si>
  <si>
    <t>nor ain</t>
  </si>
  <si>
    <t>no.11 Tj 1/1 Taman Temerloh Jaya 28000 Temerloh Pahang</t>
  </si>
  <si>
    <t>NVMY49024000002816</t>
  </si>
  <si>
    <t>FAZILAH BT ABDUL AZIZ</t>
  </si>
  <si>
    <t>2-7-6 TAMAN MUTIARA VISTA,JALAN BAKAU,11600 PULAU PINANG</t>
  </si>
  <si>
    <t>NVMY49024000002959</t>
  </si>
  <si>
    <t>MOHD SAFUAN BIN MAT NOR</t>
  </si>
  <si>
    <t>NO 27, LORONG PERMATANG BADAK AMAN 28, 25150 KUANTAN PAHANG</t>
  </si>
  <si>
    <t>NVMY49024000002847</t>
  </si>
  <si>
    <t>VIMALA A/P CHANDRAN</t>
  </si>
  <si>
    <t>58, LEBUH DELIMA, TAMAN ARKED, 08000 SUNGAI PETANI, KEDAH</t>
  </si>
  <si>
    <t>NVMY49024000002854</t>
  </si>
  <si>
    <t>Fatin Syahirah Binti Mohamad Sarudin</t>
  </si>
  <si>
    <t>No 9 Lorong 2/2 Fasa 2 Taman Sejahtera Rakyat (KEDA) Sungai Toh Pawang 08100 Bedong Kedah</t>
  </si>
  <si>
    <t>NVMY49024000002887</t>
  </si>
  <si>
    <t>HAMZAH BIN MOHD NOR</t>
  </si>
  <si>
    <t>NO 51 JALAN SETIA IMPIAN U13/3R SETIA ALAM, SELANGOR</t>
  </si>
  <si>
    <t>NVMY49024000002846</t>
  </si>
  <si>
    <t>NORZULFAH</t>
  </si>
  <si>
    <t>BLOCK L-06-09 PANGSAPURI TAMAN GAYA, JALAN GAYA 11 TAMAN GAYA, 81800 ULU TIRAM, JOHOR</t>
  </si>
  <si>
    <t>NVMY49024000002952</t>
  </si>
  <si>
    <t>ARIANA</t>
  </si>
  <si>
    <t>COPY &amp; PRINT SHOP, LOT 1, JALAN TIMUR TAMBAHAN, BATANG BERJUNTAI, 45600, BESTARI JAYA (BATANG BERJUNTAI), KUALA SELANGOR, SELANGOR</t>
  </si>
  <si>
    <t>NVMY49024000002912</t>
  </si>
  <si>
    <t>Husna</t>
  </si>
  <si>
    <t>42, Lorong Sri Jaya 5, Sg. Ruan, 27500 Raub, Pahang</t>
  </si>
  <si>
    <t>NVMY49024000002826</t>
  </si>
  <si>
    <t>Nurul Atikah Binti Johari</t>
  </si>
  <si>
    <t>Lot 237 Simpang Putera Kampung Lobak Mahang 09700 Karangan Kulim Kedah</t>
  </si>
  <si>
    <t>NVMY49024000002938</t>
  </si>
  <si>
    <t>LUBAID LUZMAN</t>
  </si>
  <si>
    <t>SBJ-G07 PANGSAPURI SERI BAKAWALI JALAN BAKAWALI 2, SEKSYEN BS10 BUKIT SENTOSA 3, 48300 GOMBAK SELANGOR</t>
  </si>
  <si>
    <t>NVMY49024000002950</t>
  </si>
  <si>
    <t>ZAINUDDIN BIN BAKRI</t>
  </si>
  <si>
    <t>1326 KG WAKAF CHE ALI, BUKIT PAYONG 21400 MARANG TERENGGANU</t>
  </si>
  <si>
    <t>NVMY49024000002839</t>
  </si>
  <si>
    <t>HELMY EFFENDY BIN ISHAK</t>
  </si>
  <si>
    <t xml:space="preserve">PERTUBUHAN KESELAMATAN SOSIAL MENARA PERKESO PUTRAJAYA NO 6 , PERSIARAN PERDANA , PRESINT 2 62100 PUTRAJAYA </t>
  </si>
  <si>
    <t>NVMY49024000002836</t>
  </si>
  <si>
    <t>RAJU KHAN</t>
  </si>
  <si>
    <t xml:space="preserve">NO 1 JALAN SP , 8/5 BANDAR SAUJANA PUTRA , 42610 JENJAROM KUALA LANGAT </t>
  </si>
  <si>
    <t>NVMY49024000002947</t>
  </si>
  <si>
    <t>MEK ESAH AB RAHAMAN</t>
  </si>
  <si>
    <t>NO 15 JALAN BK4/3D BANDAR KINRARA 47180 PUCHONG SELANGOR</t>
  </si>
  <si>
    <t>NVMY49024000002781</t>
  </si>
  <si>
    <t>Bella Khun</t>
  </si>
  <si>
    <t>LOT 7 TINGKAT 2 BLOK M ,VILLA PERMAI JALAN SIBUGA 90000 SANDAKAN SABAH</t>
  </si>
  <si>
    <t>NVMY49024000002867</t>
  </si>
  <si>
    <t>IZZATUL NAZIFA BINTI AZIAN</t>
  </si>
  <si>
    <t>A3-05-03, KUARTERS SENTOSA, PANGSAPURI KESIHATAN FASA II, JALAN LIM KHOON HUAT, 10460 GEORGETOWN PULAU PINANG.</t>
  </si>
  <si>
    <t>NVMY49024000002851</t>
  </si>
  <si>
    <t>SALMIZA BT BILMI</t>
  </si>
  <si>
    <t>NO 503 PULAU MERTAJAM 13100 PENAGA SEBERANG PERAI UTARA PULAU PINANG</t>
  </si>
  <si>
    <t>NVMY49024000002972</t>
  </si>
  <si>
    <t>ZURITA</t>
  </si>
  <si>
    <t>NO.18 Jalan Mahagoni 1B/3, Tamu Hill Park  44300 Batang Kali Selangor</t>
  </si>
  <si>
    <t>D3-KKB-13-124</t>
  </si>
  <si>
    <t>NVMY49024000002962</t>
  </si>
  <si>
    <t>NIK IKAN BAKAR NO 1 MEDAN SELERA MASJID KAYANGAN BRINCHANG 39100 CAMERON HIGHLANDS PAHANG, Pahang, Brinchang, 39100, Pahang, Brinchang, 39100</t>
  </si>
  <si>
    <t>NVMY49024000002963</t>
  </si>
  <si>
    <t>NVMY49024000002905</t>
  </si>
  <si>
    <t>No 10, Jalan KJ 64, Taman Krubong Jaya , 75260 Melaka</t>
  </si>
  <si>
    <t>NVMY49024000002982</t>
  </si>
  <si>
    <t>sis eriena</t>
  </si>
  <si>
    <t>lot 5425 jalan sheikh jalalludin , bt 29 kampung jenderam hulu 43800 dengkil selangor</t>
  </si>
  <si>
    <t>NVMY49024000002977</t>
  </si>
  <si>
    <t>YIE ZA</t>
  </si>
  <si>
    <t>199S, KG GONG PAK MASEH 21100 KUALA TERENGGANU, TERENGGANU</t>
  </si>
  <si>
    <t>NVMY49024000002898</t>
  </si>
  <si>
    <t>MUHAMMAD SYARBIENI BIN JEFRI</t>
  </si>
  <si>
    <t>NO 79 BATU 7 1/2 KAMPUNG PAYA CHANGKAT JERING 34850 TAIPING PERAK</t>
  </si>
  <si>
    <t>NVMY49024000002918</t>
  </si>
  <si>
    <t>Syazwana</t>
  </si>
  <si>
    <t>No 44 Lorong 5, Taman camar Puteh selama 09810 Serdang kedah</t>
  </si>
  <si>
    <t>NVMY49024000002978</t>
  </si>
  <si>
    <t>haziela hamzah</t>
  </si>
  <si>
    <t>no.153,jalan gate kuarters jba/hl 43000 kajang selangor</t>
  </si>
  <si>
    <t>NVMY49024000002958</t>
  </si>
  <si>
    <t>TAKATO</t>
  </si>
  <si>
    <t>NO. 31, JALAN KASBAN 8/KU8, TAMAN MERU MAKMUR, 41050 KLANG, SELANGOR</t>
  </si>
  <si>
    <t>D3-MRU-13-134</t>
  </si>
  <si>
    <t>NVMY49024000002964</t>
  </si>
  <si>
    <t>MARINA NAZRIN</t>
  </si>
  <si>
    <t>NO. 49, LORONG PIPIT 2/6, JALAN SULTANAH, 05350 ALOR SETAR, KEDAH</t>
  </si>
  <si>
    <t>NVMY49024000002920</t>
  </si>
  <si>
    <t>Nurin Farah Ain Bt Arbain</t>
  </si>
  <si>
    <t>122-B Kampung Kelantan 81900 Kota Tinggi Johor</t>
  </si>
  <si>
    <t>C1-TGI-7-63</t>
  </si>
  <si>
    <t>NVMY49024000002681</t>
  </si>
  <si>
    <t>NUR FARRAH ZURAIN BINTI RAMLAN</t>
  </si>
  <si>
    <t xml:space="preserve">No1 Kampung Sungai Bako Jalan Bako Kuching Sarawak, Kuching Sarawak 93050, Kuching  Sarawak , Malaysia </t>
  </si>
  <si>
    <t>NVMY49024000002932</t>
  </si>
  <si>
    <t>Norzalipah binti Ghazali</t>
  </si>
  <si>
    <t>No 10 lorong berlian kampung melayu Majidee 81100 Johor Bahru, Johor</t>
  </si>
  <si>
    <t>NVMY49024000002850</t>
  </si>
  <si>
    <t>SHEERA</t>
  </si>
  <si>
    <t>86-GF SOLOK PENDAMAR INDAH 1, TAMAN PENDAMAR INDAH, 42000 PELABUHAN KLANG, SELANGOR</t>
  </si>
  <si>
    <t>NVMY49024000002966</t>
  </si>
  <si>
    <t>AMMAR RIZQI</t>
  </si>
  <si>
    <t xml:space="preserve">PERUMAHAN LOT 493 , TAMAN KIJAL MERGA 24100 KIJAL KEMAMAN </t>
  </si>
  <si>
    <t>NVMY49024000002975</t>
  </si>
  <si>
    <t>WAN AZMILIA</t>
  </si>
  <si>
    <t>NO. 9 JALAN WATAN 3, TAMAN SRI WATAN, 68000 AMPANG, SELANGOR</t>
  </si>
  <si>
    <t>NVMY49024000002974</t>
  </si>
  <si>
    <t>nur erine zulaikha bt zakaria</t>
  </si>
  <si>
    <t>blok b11-3-4 kelumpuk nuri jalan 25 /65 setiawangsa ulu kelang 54200 kuala lumpur</t>
  </si>
  <si>
    <t>D1-MLT-15-100</t>
  </si>
  <si>
    <t>NVMY49024000002940</t>
  </si>
  <si>
    <t>Ahmad Romzi Bin Yahaya</t>
  </si>
  <si>
    <t>520 Kampung Tengah Juru  14000 Bukit Mertajam  Pulau Pinang</t>
  </si>
  <si>
    <t>NVMY49024000002984</t>
  </si>
  <si>
    <t>KAMARULZULFEKHA</t>
  </si>
  <si>
    <t>no 63 jalan kemboja 6 TAMAN PAYA RUMPUT PERDANA 76450 melaka</t>
  </si>
  <si>
    <t>NVMY49024000002973</t>
  </si>
  <si>
    <t>ZARIAH BT MUHAMMAD SHARIF</t>
  </si>
  <si>
    <t>41, JALAN AMAN , KAMPUNG MELAYU BT 16, 48000 RAWANG , SELANGOR</t>
  </si>
  <si>
    <t>NVMY49024000002919</t>
  </si>
  <si>
    <t>Nurhayati Su'aidah Binti Zulkafli</t>
  </si>
  <si>
    <t>JC 4702, Jalan Merlimau Permai 4,  Taman Merlimau Permai,  77300 Merlimau,Melaka.</t>
  </si>
  <si>
    <t>NVMY49024000002954</t>
  </si>
  <si>
    <t>ROSLI BIN ABDUL RAHMAN</t>
  </si>
  <si>
    <t>NO. 91 JALAN MAKMUR, TAMAN ENDAU MAKMUR, 86900 ENDAU, JOHOR</t>
  </si>
  <si>
    <t>YPG-YPG</t>
  </si>
  <si>
    <t>NVMY49024000002849</t>
  </si>
  <si>
    <t>SITI NURSYAHIRAH BT HASSAN</t>
  </si>
  <si>
    <t>LOT 3655 KG SINARAN BARU, LORONG RAMBUTAN 3, 81300 SKUDAI, JOHOR</t>
  </si>
  <si>
    <t>NVMY49024000002936</t>
  </si>
  <si>
    <t>Mohamad Syafiqqiuddin Bin Rosli</t>
  </si>
  <si>
    <t>No.1829,Asrama Toray Malaysia Group, Jalan Tun Hussein Onn, 13700 Seberang Jaya, Pulau Pinang</t>
  </si>
  <si>
    <t>NVMY49024000002902</t>
  </si>
  <si>
    <t>Normah (Aisha Katiran)</t>
  </si>
  <si>
    <t>650C Jalan Saujana 1 Taman Saujana Johor Masai Malaysia 81750</t>
  </si>
  <si>
    <t>NVMY49024000002903</t>
  </si>
  <si>
    <t>NUR FAIZAH BINTI ABD RAHMAN</t>
  </si>
  <si>
    <t>948, JALAN MUTIARA 6, TAMAN MUTIARA SUNGAI KOB, 09700 KARANGAN, KEDAH.</t>
  </si>
  <si>
    <t>NVMY49024000002944</t>
  </si>
  <si>
    <t>Kamisah Binti Muhammad</t>
  </si>
  <si>
    <t>No.G-03 Block C, Perumahan Molek Ria, Jalan Persiaran Bumi Hijau, Taman Molek 81100 Johor Bahru</t>
  </si>
  <si>
    <t>NVMY49024000002967</t>
  </si>
  <si>
    <t>CH LIM</t>
  </si>
  <si>
    <t>2, JALAN BSJ 3A, TAMAN BUKIT SEGAR JAYA 2, 43200 BATU 9 CHERAS, SELANGOR</t>
  </si>
  <si>
    <t>NVMY49024000002948</t>
  </si>
  <si>
    <t>SLISHA</t>
  </si>
  <si>
    <t>NO 47 JLN USJ 3/2A, SUBANG JAYA SELANGOR 47600</t>
  </si>
  <si>
    <t>NVMY49024000002957</t>
  </si>
  <si>
    <t>MEGAT KHAIRIL MEGAT KHAS</t>
  </si>
  <si>
    <t>112, JALAN SARI ILMIA 2/3, ALAM SARI, 43000 KAJANG, SELANGOR</t>
  </si>
  <si>
    <t>NVMY49024000002922</t>
  </si>
  <si>
    <t>Asmat Wahida Zainuddin</t>
  </si>
  <si>
    <t xml:space="preserve"> Lot 1435, Kampung Perangkap, Bunut Susu, 17020 Pasir Mas, Kelantan.</t>
  </si>
  <si>
    <t>NVMY49024000002983</t>
  </si>
  <si>
    <t>SITI RAHMATIA</t>
  </si>
  <si>
    <t>2-514 JLN MATAHARI U5/117 SEKSYEN U5 , 40150 SHAH ALAM , SELANGOR.</t>
  </si>
  <si>
    <t>NVMY49024000002979</t>
  </si>
  <si>
    <t>Mazliza binti Mohamed</t>
  </si>
  <si>
    <t>Lot 2912 kampung Marak Banggu 16150 Kota Bharu  Kelantan</t>
  </si>
  <si>
    <t>NVMY49024000002782</t>
  </si>
  <si>
    <t>Nor farah izzati binti abdul rashid</t>
  </si>
  <si>
    <t xml:space="preserve">No 520 lorong manjung point 2/6  Taman manjung point seksyen 2 32040 seri manjung perak </t>
  </si>
  <si>
    <t>NVMY49024000002941</t>
  </si>
  <si>
    <t>Muhamad Zulhizam bin Muhamad</t>
  </si>
  <si>
    <t xml:space="preserve">Kg Kuala Kajang 17500 Tanah Merah Kelantan </t>
  </si>
  <si>
    <t>NVMY49024000002904</t>
  </si>
  <si>
    <t>nur shafiqah binti zulkifli</t>
  </si>
  <si>
    <t xml:space="preserve"> no 151,lorong 13,taman bersatu 09100 baling kedah darul aman</t>
  </si>
  <si>
    <t>A3-BAL-3-28</t>
  </si>
  <si>
    <t>NVMY49024000002960</t>
  </si>
  <si>
    <t>ASH'RI BIN MD DAH</t>
  </si>
  <si>
    <t>NO 15 JALAN AYU 4, TAMAN MOLEK 85200 JEMENTAH SEGAMAT JOHOR</t>
  </si>
  <si>
    <t>NVMY49024000002976</t>
  </si>
  <si>
    <t>ROSINIWATI YAACOB</t>
  </si>
  <si>
    <t>1 LORONG 14/47B, 46100 PETALING JAYA, SELANGOR</t>
  </si>
  <si>
    <t>D3-PJY-13-137</t>
  </si>
  <si>
    <t>NVMY49024000002968</t>
  </si>
  <si>
    <t>NO 27, TAMAN PILAH SENALING 72000 KUALA PILAH, NEGERI SEMBILAN</t>
  </si>
  <si>
    <t>NVMY49024000002930</t>
  </si>
  <si>
    <t>MUHAMMAD FARIS BIN CHE JALIL</t>
  </si>
  <si>
    <t xml:space="preserve">26 , DATARAN PERPADUAN 11 , TAMAN BERCHAM RAYA , 31150 ULU KINTA PERAK </t>
  </si>
  <si>
    <t>B3-IPH-6-62</t>
  </si>
  <si>
    <t>NVMY49024000002894</t>
  </si>
  <si>
    <t>INTAN SURAYA BT MOHD SAAD</t>
  </si>
  <si>
    <t xml:space="preserve">JJ 65 , KAMPUNG SUNGAI PETAI BUKIT GANTANG 34850 CHANGKAT JERING , PERAK </t>
  </si>
  <si>
    <t>NVMY49024000002907</t>
  </si>
  <si>
    <t>NUR NAJWA AWATIF BINTI ABDOL RASHID (305949)</t>
  </si>
  <si>
    <t>AP3 B550, UUM PARCEL CENTRE, LALUAN C, 06010, UUM, SINTOK, KEDAH, Kubang Pasu, 06010, Kedah</t>
  </si>
  <si>
    <t>NVMY49024000002899</t>
  </si>
  <si>
    <t>Sara</t>
  </si>
  <si>
    <t xml:space="preserve">no 10 kuartes simedarby,Ladang ephil,sungai siput 31100 sungai siput,  perak </t>
  </si>
  <si>
    <t>NVMY49024000002883</t>
  </si>
  <si>
    <t>JUFRI RAIMI BIN JAMALUDIN</t>
  </si>
  <si>
    <t>NO 57 TAMAN TIONG 08000 SUNGAI PETANI, KEDAH</t>
  </si>
  <si>
    <t>NVMY49024000002955</t>
  </si>
  <si>
    <t>ZAINI BT AMIR</t>
  </si>
  <si>
    <t>NO 15, JALAN UNGU U9/29A SUNWAY KAYANGAN 40150 SHAH ALAM, SELANGOR</t>
  </si>
  <si>
    <t>NVMY49024000002956</t>
  </si>
  <si>
    <t>WAN RASNA BT WAN RASHID</t>
  </si>
  <si>
    <t>NO 50, JALAN KEMBOJA 4A/2, TAMAN KEMBOJA, BUKIT SENTOSA, 48300 RAWANG, SELANGOR</t>
  </si>
  <si>
    <t>NVMY49024000002916</t>
  </si>
  <si>
    <t>RABIATUL SYAWANI BINTI ZUNODI</t>
  </si>
  <si>
    <t>BLOK D3 PUSAT KEPIMPINAN TLDM, Pengkalan TLDM, Jalan Iskandar Shah, 32100, Lumut</t>
  </si>
  <si>
    <t>NVMY49024000002875</t>
  </si>
  <si>
    <t>ZAITON AHMAD</t>
  </si>
  <si>
    <t>NO 13 JALAN TODAK TAMAN SERI8 TENGGARA PARIT BUTAR 34200 PERAK</t>
  </si>
  <si>
    <t>NVMY49024000003064</t>
  </si>
  <si>
    <t>Shahrul nizam</t>
  </si>
  <si>
    <t>No 44 lorong skd 7 Perkampungan sg karang damai 26100 kuantan Pahang</t>
  </si>
  <si>
    <t>NVMY49024000003039</t>
  </si>
  <si>
    <t>Rosmaniza binti Ibrahim</t>
  </si>
  <si>
    <t>PT 8524 TAMAN WANGSA MEWANGI, JALAN PERSIARAN RAYA, 18300 GUA MUSANG, KELANTAN.</t>
  </si>
  <si>
    <t>NVMY49024000002969</t>
  </si>
  <si>
    <t>NAFIQAH BT ABDUL MAHAT</t>
  </si>
  <si>
    <t>BB4 JALAN VISTA BELIMBING UTAMA TAMAN VISTA BELIMBING 76100 DURIAN TUNGGAL, MELAKA</t>
  </si>
  <si>
    <t>NVMY49024000002927</t>
  </si>
  <si>
    <t>SARI MAULUD BIN OSMAN</t>
  </si>
  <si>
    <t>RM 1751 JALAN REMBIA PERKASA 15, TAMAN REMBIA PERKASA, 78000 ALOR GAJAH, MELAKA</t>
  </si>
  <si>
    <t>NVMY49024000002988</t>
  </si>
  <si>
    <t>NUR MURNI BINTI MUHAMMAD</t>
  </si>
  <si>
    <t>PONDOK PENGAWAL SM IMTIAZ YT KUALA NERUS TAMAN DESA YT, 21300 KUALA NERUS, TERENGGANU</t>
  </si>
  <si>
    <t>NVMY49024000003073</t>
  </si>
  <si>
    <t>MI FASHION</t>
  </si>
  <si>
    <t>NO 48 JALAN MUTIARA SUBANG 3, TAMAN MUTIARA SUBANG 47500 SUBANG JAYA, SELANGOR</t>
  </si>
  <si>
    <t>NVMY49024000003055</t>
  </si>
  <si>
    <t>NVMY49024000003035</t>
  </si>
  <si>
    <t>NVMY49024000003014</t>
  </si>
  <si>
    <t>NUYU</t>
  </si>
  <si>
    <t xml:space="preserve">BLOK H-62 TAMAN KATONG JAYA, SERADA, 20050 KUALA TERENGGANU. </t>
  </si>
  <si>
    <t>NVMY49024000002838</t>
  </si>
  <si>
    <t>OOI BUN PING</t>
  </si>
  <si>
    <t xml:space="preserve">SEMPORNA HARDWARE , LOT 2 , BLOK B , BANGUNAN SEDCO , 91308 SEMPORNA SABAH </t>
  </si>
  <si>
    <t>NVMY49024000003032</t>
  </si>
  <si>
    <t>ANIDAH</t>
  </si>
  <si>
    <t xml:space="preserve">NO 4395 TAMAN MOHD NOOR , GONG PAUH 24000 KEMAMAN TERENGGANU </t>
  </si>
  <si>
    <t>NVMY49024000003047</t>
  </si>
  <si>
    <t>Mohd hairisham helmy</t>
  </si>
  <si>
    <t>Lot 3584 lorong haji taib batu 7 jalan kebun 42450 shah alam Selangor.</t>
  </si>
  <si>
    <t>D4-KMU-12-147</t>
  </si>
  <si>
    <t>NVMY49024000002985</t>
  </si>
  <si>
    <t>EIKMAL</t>
  </si>
  <si>
    <t>NO. 10, JALAN PGBF SG. SIBOL 1/2, TAMAN SIBOL 1, FELDA SUNGAI SIBOL, BANDAR TENGGARA, ULU SUNGAI JOHOR, KOTA TINGGI, JOHOR</t>
  </si>
  <si>
    <t>NVMY49024000003057</t>
  </si>
  <si>
    <t>Mohd Hanif</t>
  </si>
  <si>
    <t>Lot 13281 Kg. Kesom Tok Tukang Manir, 21200 Kuala Terengganu, Terengganu.</t>
  </si>
  <si>
    <t>NVMY49024000003063</t>
  </si>
  <si>
    <t>Saufi bin hamat</t>
  </si>
  <si>
    <t xml:space="preserve">No 28 jalan 2 Taman indera sempurna  25150 Kuantan Pahang </t>
  </si>
  <si>
    <t>NVMY49024000002981</t>
  </si>
  <si>
    <t>NURUL</t>
  </si>
  <si>
    <t>NO 34 JALAN NIAGA BANDAR KOTA TINGGI  81900 KOTA TINGGI JOHOR</t>
  </si>
  <si>
    <t>NVMY49024000002910</t>
  </si>
  <si>
    <t>Mazlyana Arisha</t>
  </si>
  <si>
    <t>Lot 27780, Ulu Chepor, Mukim Ulu Kinta, 31200, Chemor, Perak</t>
  </si>
  <si>
    <t>NVMY49024000003041</t>
  </si>
  <si>
    <t>Muhamad Asri bin ibrahim</t>
  </si>
  <si>
    <t>No.121 Tkt bawah blok 16. Jln tupai 20/16, seksyen 20. 40300 shah alam selangor</t>
  </si>
  <si>
    <t>NVMY49024000003052</t>
  </si>
  <si>
    <t>NVMY49024000003067</t>
  </si>
  <si>
    <t>Alif Firdaus</t>
  </si>
  <si>
    <t>257 jalan mat kilau felda ciku2  18300 Gua Musang kelantan</t>
  </si>
  <si>
    <t>NVMY49024000002965</t>
  </si>
  <si>
    <t>NVMY49024000002971</t>
  </si>
  <si>
    <t>LIZA YUSOF</t>
  </si>
  <si>
    <t>145 JALAN SENTRAL SUNGKAI 8, SENTRAL SUNGKAI PERDANA,35600 SUNGKAI PERAK</t>
  </si>
  <si>
    <t>B3-SLM-6-51</t>
  </si>
  <si>
    <t>NVMY49024000003011</t>
  </si>
  <si>
    <t>Ilya</t>
  </si>
  <si>
    <t xml:space="preserve"> Lot 13630 jalan lembah sungai buaya 23000 dungun terengganu</t>
  </si>
  <si>
    <t>NVMY49024000002953</t>
  </si>
  <si>
    <t>SITI</t>
  </si>
  <si>
    <t>NO. 1, JLN TG AGAS 30/233, LORONG RABINGAN SEKSYEN 30 42450 SHAH ALAM, SELANGOR</t>
  </si>
  <si>
    <t>NVMY49024000003013</t>
  </si>
  <si>
    <t>Rodzaimi Bujang</t>
  </si>
  <si>
    <t>T1-09 BLOK MAWAR BATALION 8 PASUKAN GERAKAN AM PENGKALAN CHEPA,16100 KOTA BHARU KELANTAN</t>
  </si>
  <si>
    <t>NVMY49024000002999</t>
  </si>
  <si>
    <t>NIK NURAINI</t>
  </si>
  <si>
    <t xml:space="preserve">LOT 76 CABANG 3 KG SARING 16800 PASIR PUTEH KELANTAN </t>
  </si>
  <si>
    <t>NVMY49024000002926</t>
  </si>
  <si>
    <t>ADID ZACK</t>
  </si>
  <si>
    <t>NO. 107, JALAN TAWADUK, KAMPUNG SALAK BARU, 34800 TERONG, LARUT DAN MATANG, PERAK</t>
  </si>
  <si>
    <t>NVMY49024000003040</t>
  </si>
  <si>
    <t>JAA MOTORSPORT</t>
  </si>
  <si>
    <t>1561 J KAMPUNG RHU RENGGEH,21080 MARANG,TERENGGANU</t>
  </si>
  <si>
    <t>NVMY49024000003069</t>
  </si>
  <si>
    <t>NVMY49024000003018</t>
  </si>
  <si>
    <t>AINNA MAISARAH BINTI ABDULLAH</t>
  </si>
  <si>
    <t>NO 1A,BLOK A,KUARTERS BALAI BOMBA DAN PENYELAMAT 24300 KERTEH,KEMAMAN,TERENGGANU</t>
  </si>
  <si>
    <t>NVMY49024000002970</t>
  </si>
  <si>
    <t>NVMY49024000003066</t>
  </si>
  <si>
    <t>Haraz</t>
  </si>
  <si>
    <t>KPMC Puchong Specialist Centre ,no. 1 &amp; 3,Jalan Puteri 2/1,       Bandar Puteri,47100 puchong Selangor.</t>
  </si>
  <si>
    <t>NVMY49024000003033</t>
  </si>
  <si>
    <t>NVMY49024000003065</t>
  </si>
  <si>
    <t>Azman</t>
  </si>
  <si>
    <t>Jalan Hulu Masjid, Kg Alor Keladi, 22000 Jerteh Terengganu</t>
  </si>
  <si>
    <t>NVMY49024000003004</t>
  </si>
  <si>
    <t>Fenny Cheng</t>
  </si>
  <si>
    <t>Pt 4133, Taman, Jalan Sri Wali, 18000 Kuala Krai, Kuala Krai, 18000, Kelantan</t>
  </si>
  <si>
    <t>NVMY49024000003058</t>
  </si>
  <si>
    <t>Amy suhaimi</t>
  </si>
  <si>
    <t>Lot 2161 Kampung Kebakat  16250 Wakaf Bharu Kelantan</t>
  </si>
  <si>
    <t>NVMY49024000002908</t>
  </si>
  <si>
    <t>TINI MADU</t>
  </si>
  <si>
    <t>Kampung Baru Cina 96300 Dalat Sarawak</t>
  </si>
  <si>
    <t>NVMY49024000003044</t>
  </si>
  <si>
    <t>Mohd azizi awang</t>
  </si>
  <si>
    <t>PT18191 kg banggol paya resak Bukit payung 21400 Marang Terengganu</t>
  </si>
  <si>
    <t>NVMY49024000002994</t>
  </si>
  <si>
    <t>Siti nor suhaila</t>
  </si>
  <si>
    <t xml:space="preserve">no 32 kampung berlian palekbang 16040 tumpat kelantan </t>
  </si>
  <si>
    <t>NVMY49024000003002</t>
  </si>
  <si>
    <t>Amiza</t>
  </si>
  <si>
    <t>No 514 Felda Kumai, 28200 Bandar Bera, Pahang</t>
  </si>
  <si>
    <t>NVMY49024000002993</t>
  </si>
  <si>
    <t>Hidayah</t>
  </si>
  <si>
    <t>Lot 2344 taman berlian lundang 15150 kota bharu kelantan</t>
  </si>
  <si>
    <t>NVMY49024000003070</t>
  </si>
  <si>
    <t>Midiey Mohd enterprise</t>
  </si>
  <si>
    <t>117a,jalan masjid Dabong, 18200 Dabong Kelantan.</t>
  </si>
  <si>
    <t>NVMY49024000003015</t>
  </si>
  <si>
    <t>:SITI ARINA BINTI SAPUAN</t>
  </si>
  <si>
    <t>BLOK 2-11-2,  JALAN PAHLAWAN 2/2, KOMPLEKS PERUMAHAN TUNKU OSMAN JEWA, JALAN PADANG TEMBAK, 54200 KUALA LUMPUR</t>
  </si>
  <si>
    <t>NVMY49024000003028</t>
  </si>
  <si>
    <t>WAN MUHD ADAM</t>
  </si>
  <si>
    <t>M2 B, KAMPUNG RANGGOL TEMBELING TENGAH 27000 JERANTUT PAHANG</t>
  </si>
  <si>
    <t>NVMY49024000003071</t>
  </si>
  <si>
    <t>AZAM</t>
  </si>
  <si>
    <t xml:space="preserve">NO 42 LORONG GD 10 TAMAN GAMBANG DAMAI  26300 KUANTAN PAHANG </t>
  </si>
  <si>
    <t>NVMY49024000003062</t>
  </si>
  <si>
    <t>MAHERAN BINTI HASHIM (KAKNOR)</t>
  </si>
  <si>
    <t xml:space="preserve">LOT 2018,KEDAI RUNCIT, KG CHENDERONG BATU 16250 WAKAF BHARU, KELANTAN </t>
  </si>
  <si>
    <t>NVMY49024000003122</t>
  </si>
  <si>
    <t>Aku@8005</t>
  </si>
  <si>
    <t>No 66 jalan raya 5,taman serdang jaya.43300 seri kembang, selangor</t>
  </si>
  <si>
    <t>NVMY49024000003045</t>
  </si>
  <si>
    <t>AZIZAH BINTI MAT JOHARI</t>
  </si>
  <si>
    <t>NO 62A KAMPONG NARA 16800 PASIR PUTIH KELANTAN</t>
  </si>
  <si>
    <t>NVMY49024000003034</t>
  </si>
  <si>
    <t>NVMY49024000003027</t>
  </si>
  <si>
    <t>EMMA</t>
  </si>
  <si>
    <t>LOT 74, JLN KENANGA 2 PERUMAHAN DATO SHAH BANDAR 26600 PEKAN PAHANG</t>
  </si>
  <si>
    <t>NVMY49024000003031</t>
  </si>
  <si>
    <t>ASMA ZAIN ENTERPRISE KEDAI RUNCIT</t>
  </si>
  <si>
    <t xml:space="preserve">104 KG BUKIT MERAH , PADANG PULUT , 23000 DUNGUN TERENGGANU </t>
  </si>
  <si>
    <t>NVMY49024000003050</t>
  </si>
  <si>
    <t>Roslan Ibrahim</t>
  </si>
  <si>
    <t>A 333 Kampung Maras 21020 Kuala Nerus Terengganu</t>
  </si>
  <si>
    <t>NVMY49024000003016</t>
  </si>
  <si>
    <t>PUAN MARTINA</t>
  </si>
  <si>
    <t>NO 167 JALAN PUTERI RESIDENSI 5, PUTERI RESIDENCE BANDAR PUTERI JAYA 08000 SG PETANI KEDAH</t>
  </si>
  <si>
    <t>NVMY49024000003009</t>
  </si>
  <si>
    <t>Ainun Nasuha</t>
  </si>
  <si>
    <t xml:space="preserve">no 69, Jalan TU 43B, Taman Tasik Utama, Melaka Tengah, 75450, Melaka </t>
  </si>
  <si>
    <t>A2-PYG-2-17</t>
  </si>
  <si>
    <t>NVMY49024000003137</t>
  </si>
  <si>
    <t>NOOR AZIERA ALIAS</t>
  </si>
  <si>
    <t>PT 8093, TAMAN IDAMAN BAYU, JALAN LANGSAT 23100, PAKA TERENGGANU</t>
  </si>
  <si>
    <t>NVMY49024000003085</t>
  </si>
  <si>
    <t>Nur iffah faqihah binti shawal</t>
  </si>
  <si>
    <t>pt5819,lorong anggerik taman al-amin bukit payong 21400,marang terengganu</t>
  </si>
  <si>
    <t>NVMY49024000003005</t>
  </si>
  <si>
    <t>YUSRIANA BINTI KAMBAH</t>
  </si>
  <si>
    <t>NO.17 JALAN MAWAR 4/2 BANDAR AMANJAYA 08000 SUNGAI PETANI , KEDAH</t>
  </si>
  <si>
    <t>NVMY49024000003019</t>
  </si>
  <si>
    <t>Nurul syafina bt rosli</t>
  </si>
  <si>
    <t>N0 16 parit haji amin 34350 kuala kurau perak</t>
  </si>
  <si>
    <t>NVMY49024000003053</t>
  </si>
  <si>
    <t>NAJWA</t>
  </si>
  <si>
    <t>BLOCK C, 36-10 MH PLATINUM 2 RESIDENCES, LOT 21770 SETAPAK JAYA, 53200 KUALA LUMPUR</t>
  </si>
  <si>
    <t>NVMY49024000002989</t>
  </si>
  <si>
    <t>NANA</t>
  </si>
  <si>
    <t xml:space="preserve">Afamosa resort jalan kemus simpang Ampat alor gajah pintu kawalan utama 78000 alor gajah melaka </t>
  </si>
  <si>
    <t>NVMY49024000003138</t>
  </si>
  <si>
    <t>WAN FAIZAH BT WAN ZAKARIA</t>
  </si>
  <si>
    <t>NO 204, TAMAN DESA PITRA, KAMPUNG BANGGOL TUAN MUDA, MANIR 21200 KUALA TERENGGANU, TERENGGANU</t>
  </si>
  <si>
    <t>NVMY49024000003026</t>
  </si>
  <si>
    <t>RUZAINI</t>
  </si>
  <si>
    <t>JB, 4505 JALAN PEKAKA, TAMAN KOPERASI SERKAM DARAT 77300 MERLIMAU, MELAKA</t>
  </si>
  <si>
    <t>NVMY49024000003075</t>
  </si>
  <si>
    <t>SZPHOTO</t>
  </si>
  <si>
    <t xml:space="preserve">NO 29 JALAN PINANG , B , 18/B  SEKSYEN 18 , 40200 SHAH ALAM </t>
  </si>
  <si>
    <t>NVMY49024000002943</t>
  </si>
  <si>
    <t>NVMY49024000003068</t>
  </si>
  <si>
    <t>NVMY49024000003118</t>
  </si>
  <si>
    <t>MOHAMMAD AMIRUL UZAIR BIN NORANIZAM</t>
  </si>
  <si>
    <t>PRINTING &amp; STATIONERY UMK JELI NO 2, BANGUNAN J-MART, UNIVERSITI MALAYSIA KELANTAN KAMPUS JELI, 17600 JELI, KELANTAN</t>
  </si>
  <si>
    <t>A1-MAC-1-9</t>
  </si>
  <si>
    <t>NVMY49024000003038</t>
  </si>
  <si>
    <t>Muhammad iruan b jamal</t>
  </si>
  <si>
    <t>No120 Kampung hujung telok bagan 05400 Alor star kedah</t>
  </si>
  <si>
    <t>NVMY49024000003077</t>
  </si>
  <si>
    <t>THIVANES A/L RAMAN</t>
  </si>
  <si>
    <t xml:space="preserve">27 , JALAN MAKMUR 9 , TAMAN DAMAI JAYA , 81300 SKUDAI JOHOR </t>
  </si>
  <si>
    <t>NVMY49024000003127</t>
  </si>
  <si>
    <t>Nur amalina</t>
  </si>
  <si>
    <t xml:space="preserve"> Yuwang Trading co, No 18.Tingkat 1 Jalan Sudirman 1,28000 Temerloh Pahang</t>
  </si>
  <si>
    <t>NVMY49024000002991</t>
  </si>
  <si>
    <t>NURUL AINA BINTI MUHAMMAD NAZRI</t>
  </si>
  <si>
    <t xml:space="preserve"> N0. 692 TULIP, JALAN INSANIAH 4, TAMAN INSANIAH, 09300 KUALA KETIL, KEDAH</t>
  </si>
  <si>
    <t>NVMY49024000002792</t>
  </si>
  <si>
    <t>Kamariah binti Mohd Mustaffa</t>
  </si>
  <si>
    <t>Bank Rakyat cawangan Tapah,No 56 &amp; 57,Jln besar,35000 Tapah Perak.</t>
  </si>
  <si>
    <t>NVMY49024000003046</t>
  </si>
  <si>
    <t>Md Nazri bin Abu Bakar</t>
  </si>
  <si>
    <t>F140 Kampung Singkir Kedai Keling 08110 Bedong Kedah</t>
  </si>
  <si>
    <t>NVMY49024000003023</t>
  </si>
  <si>
    <t>INTAN ZAMRI</t>
  </si>
  <si>
    <t xml:space="preserve">NO 216 ( C ) , JALAN SAUJANA 3/1 , TAMAN SAUJANA , JOHOR BAHRU , 81750 JOHOR </t>
  </si>
  <si>
    <t>NVMY49024000003076</t>
  </si>
  <si>
    <t>NUR ILIYANA BINTI MOHD JOHARI</t>
  </si>
  <si>
    <t xml:space="preserve">LOT 145 B , JALAN MEK HALIMAH KG PAUH BUKIT GANTANG 34850 , CHANGKAT JERING PERAK </t>
  </si>
  <si>
    <t>NVMY49024000003021</t>
  </si>
  <si>
    <t>Nurul Syazwani Binti Kizzon</t>
  </si>
  <si>
    <t>No 8, Taman Muara, Jalan Muara 1,06600 Kuala Kedah, KDA.</t>
  </si>
  <si>
    <t>NVMY49024000003123</t>
  </si>
  <si>
    <t>HISHAMMUDIN BIN ABD GHANI</t>
  </si>
  <si>
    <t>UNIT KECEMASAN &amp; TRAUMA  HOSPITAL BESUT  22000 JERTEH BESUT  TERENGGANU</t>
  </si>
  <si>
    <t>NVMY49024000003020</t>
  </si>
  <si>
    <t>Nur Syafiqah binti Mohd Anuar</t>
  </si>
  <si>
    <t>No. 30 Jln Putera Indah 3/16, Taman Putera Indah, Tongkang Pechah, 83010 Batu Pahat, Johor</t>
  </si>
  <si>
    <t>NVMY49024000003072</t>
  </si>
  <si>
    <t>CHOW WAI TUCK</t>
  </si>
  <si>
    <t>344 JALAN SENG MENG LEE, 70200 SEREMBAN, NEGERI SEMBILAN</t>
  </si>
  <si>
    <t>NVMY49024000003048</t>
  </si>
  <si>
    <t>Izwan Roslan</t>
  </si>
  <si>
    <t>No 69, Blok C, Taman Seri Selinsing, 34400, Simpang Empat, Semanggol, Perak.</t>
  </si>
  <si>
    <t>NVMY49024000003113</t>
  </si>
  <si>
    <t>FUZAIL</t>
  </si>
  <si>
    <t xml:space="preserve">NO 3 LORONG 15 , TAMAN KEMPADANG PERDANA 25150 KUANTAN PAHANG </t>
  </si>
  <si>
    <t>NVMY49024000003042</t>
  </si>
  <si>
    <t>SAZRI MOHD ZAIN</t>
  </si>
  <si>
    <t>NASTAH INDUSTRIES 517, LORONG PERUSAHAAN 8, KAWASAN PERUSAHAAN PERAI, SEBERANG PERAI TENGAH, 13600 PULAU PINANG</t>
  </si>
  <si>
    <t>NVMY49024000003017</t>
  </si>
  <si>
    <t>MUSA MD TAP</t>
  </si>
  <si>
    <t>21 JALAN PULAI 57, TAMAN PULAI UTAMA, 81300 JOHOR</t>
  </si>
  <si>
    <t>NVMY49024000003089</t>
  </si>
  <si>
    <t>Nuralya Zainudin</t>
  </si>
  <si>
    <t>Kingsley International school, Persiaran kingsley hill, subang jaya 47650 Selangor</t>
  </si>
  <si>
    <t>NVMY49024000003024</t>
  </si>
  <si>
    <t>SABARIAH NIK WAN</t>
  </si>
  <si>
    <t>NO 79 FELDA SUNGAI PANCHING SELATAN 26010 KUANTAN PAHANG</t>
  </si>
  <si>
    <t>NVMY49024000002995</t>
  </si>
  <si>
    <t>NOOR AINA NAJIHAH AZAMAN</t>
  </si>
  <si>
    <t xml:space="preserve"> No.350 Felda Mayam 28200 Bandar Bera Pahang</t>
  </si>
  <si>
    <t>NVMY49024000003124</t>
  </si>
  <si>
    <t>Hasmalily Mohd Yusoff</t>
  </si>
  <si>
    <t>GF-6,Block 35 Taman Alam Megah Seksyen 28, 40400 Shah Alam Selangor</t>
  </si>
  <si>
    <t>NVMY49024000002987</t>
  </si>
  <si>
    <t>ABAB</t>
  </si>
  <si>
    <t>A1-10-02 NORDICA RESIDENCE GRAVIT8, KOTA BAYUEMAS 41200 KLANG SELANGOR</t>
  </si>
  <si>
    <t>NVMY49024000002937</t>
  </si>
  <si>
    <t>Irwan Shah</t>
  </si>
  <si>
    <t>Jabatan Patologi, Hospital Seri Iskandar, Bandar Seri Iskandar, 32610 Seri Iskandar, Perak Darul Ridzuan</t>
  </si>
  <si>
    <t>NVMY49024000003096</t>
  </si>
  <si>
    <t>NVMY49024000003108</t>
  </si>
  <si>
    <t>Nur Bazilah binti Ismail</t>
  </si>
  <si>
    <t>21, Lorong Berjaya Permai 20, Taman Berjaya Permai 25150 Kuantan Pahang</t>
  </si>
  <si>
    <t>NVMY49024000003037</t>
  </si>
  <si>
    <t>Muhammad khairul azwan</t>
  </si>
  <si>
    <t>No10 jln 10c tmn mawar fasa 2, bdr baru salak tinggi, 43900 sepang, selangor</t>
  </si>
  <si>
    <t>NVMY49024000003025</t>
  </si>
  <si>
    <t>FAIZOL BIN ABU BAKAR</t>
  </si>
  <si>
    <t>NO 295 JALAN TANJUNG 1, ZON TANJUNG BANDAR AMANJAYA 08000 SUNGAI PETANI, KEDAH</t>
  </si>
  <si>
    <t>NVMY49024000003084</t>
  </si>
  <si>
    <t>aida izzati</t>
  </si>
  <si>
    <t>kampung bau ulu cheka 27030 jerantut pahang</t>
  </si>
  <si>
    <t>NVMY49024000003054</t>
  </si>
  <si>
    <t>Hotel ibis styles klia jalan1/60klia 43900 sepang selangor.</t>
  </si>
  <si>
    <t>NVMY49024000003030</t>
  </si>
  <si>
    <t>ANGELINE</t>
  </si>
  <si>
    <t>6 LORONG TANDANG B, SEKSYEN 51, 46050 PETALING JAYA, SELANGOR</t>
  </si>
  <si>
    <t>NVMY49024000003060</t>
  </si>
  <si>
    <t>Wahizal Bin Abd Halim</t>
  </si>
  <si>
    <t>1008 Lorong Permata 3/3 Bandar Permata Lunas 09600 Lunas Kedah</t>
  </si>
  <si>
    <t>NVMY49024000003102</t>
  </si>
  <si>
    <t>wahidah</t>
  </si>
  <si>
    <t>lot 684 kampung bongek tengah 71300 rembau negeri sembilan</t>
  </si>
  <si>
    <t>NVMY49024000003130</t>
  </si>
  <si>
    <t>NOR ASIAH BINTI ZAKARIA</t>
  </si>
  <si>
    <t>KG GUAL JEDOK, SEBERANG BECHAH  JEDOK , TANAH MERAH 17500 KELANTAN.</t>
  </si>
  <si>
    <t>NVMY49024000003112</t>
  </si>
  <si>
    <t>AZURA BINTI ABDUL RAHIM</t>
  </si>
  <si>
    <t>NO 10, JALAN SEPAH PUTERI 5/22A, DAMANSARA EMAS, KOTA DAMANSARA 47810 PETALING JAYA, SELANGOR</t>
  </si>
  <si>
    <t>NVMY49024000003043</t>
  </si>
  <si>
    <t>Norasri</t>
  </si>
  <si>
    <t>No 150 Jalan Bukit Bayu 5 Taman Bukit Bayu 81400 Senai Johor</t>
  </si>
  <si>
    <t>NVMY49024000003115</t>
  </si>
  <si>
    <t>MUHAMMAD ZIKRI HARITH</t>
  </si>
  <si>
    <t xml:space="preserve">BA - P8-A2-B4 , KOLEJ KEDIAMAN UMK WISMA ATIRA TAMAN PINGGIRAN UNIVERSITI KG BARU HUJUNG REPEK , 16310 BACHOK KELANTAN </t>
  </si>
  <si>
    <t>NVMY49024000002998</t>
  </si>
  <si>
    <t>Norfarhana binti Yusaini</t>
  </si>
  <si>
    <t>Muar</t>
  </si>
  <si>
    <t>No 81, Jalan Bakri Batu 5 1/2, 84000 Muar Johor</t>
  </si>
  <si>
    <t>C2-MUA-8-81</t>
  </si>
  <si>
    <t>NVMY49024000003003</t>
  </si>
  <si>
    <t>PUTERI AINUL BINTI ABDUL AZIZ</t>
  </si>
  <si>
    <t>NO.2580 JALAN BSS 3/1F FASA 3B  BANDAR SEREMBAN SELATAN  71450 SENAWANG SEREMBAN</t>
  </si>
  <si>
    <t>B1-TRI-4-31</t>
  </si>
  <si>
    <t>NVMY49024000002980</t>
  </si>
  <si>
    <t>Adis</t>
  </si>
  <si>
    <t>B20-05-12 tangga 6 tingkat 5 jalan desa mutiara 12 taman desa mutiara 81100 Johor Bahru</t>
  </si>
  <si>
    <t>NVMY49024000003036</t>
  </si>
  <si>
    <t>RAMLI BIN OMAR</t>
  </si>
  <si>
    <t>BALAI BOMBA DAN PENYELAMAT GOMBAK SELATAN  JALAN 2/10 TAMAN KOPERASI POLIS FASA 1 GOMBAK 68100 KUALA LUMPUR</t>
  </si>
  <si>
    <t>NVMY49024000003012</t>
  </si>
  <si>
    <t>fatin nur arni najwa</t>
  </si>
  <si>
    <t xml:space="preserve">A43 jalan IM3/12 , bandar indera mahkota 25200 kuantan pahang </t>
  </si>
  <si>
    <t>NVMY49024000003109</t>
  </si>
  <si>
    <t>ZURAINA ZAHARIN</t>
  </si>
  <si>
    <t xml:space="preserve">A12-03 J . DUPION RESIDENCE JALAN SEMILANG 56000 KUALA LUMPUR </t>
  </si>
  <si>
    <t>NVMY49024000003134</t>
  </si>
  <si>
    <t>MIERA FAQIHAH</t>
  </si>
  <si>
    <t>2571, JALAN PERMATA 23, TAMAN PERMATA 53300 KUALA LUMPUR</t>
  </si>
  <si>
    <t>NVMY49024000003056</t>
  </si>
  <si>
    <t>Lucky</t>
  </si>
  <si>
    <t>No.2a lorong Samarinda 19f, Taman Mesra, Off jln Kg Jawa, 41200 Klang selangor</t>
  </si>
  <si>
    <t>NVMY49024000003010</t>
  </si>
  <si>
    <t>Muhammad Haziron</t>
  </si>
  <si>
    <t xml:space="preserve"> Heroes Cafe, OSC, IIUM, Jalan Sultan Ahmad Shah, Bandar Indera Mahkota, Kuantan, 25200, Pahang</t>
  </si>
  <si>
    <t>NVMY49024000003126</t>
  </si>
  <si>
    <t>Alya Asyikin</t>
  </si>
  <si>
    <t>No.61 jalan balau 4, taman meru jaya meru 41050 klang selangor</t>
  </si>
  <si>
    <t>NVMY49024000003090</t>
  </si>
  <si>
    <t>lisa</t>
  </si>
  <si>
    <t>27 jalan pasar  felda chalok barat 21450 chalok Terengganu</t>
  </si>
  <si>
    <t>NVMY49024000003080</t>
  </si>
  <si>
    <t>Tengku Salma Adila</t>
  </si>
  <si>
    <t xml:space="preserve">Lot 1830 Kampung Air Tawar Tanjung Demong 22200 Besut Terengganu (Rumah Tepi Kubur, Warna Putih) </t>
  </si>
  <si>
    <t>NVMY49024000003111</t>
  </si>
  <si>
    <t>NOOR AZREEN BINTI MOHD YUSOF</t>
  </si>
  <si>
    <t>NO 1, JALAN AROWANA 15, TAMAN DESA ULU YAM, 44300 BATANG KALI, SELANGOR</t>
  </si>
  <si>
    <t>NVMY49024000003001</t>
  </si>
  <si>
    <t>Nurmimi Najrah Amira Binti Zahib</t>
  </si>
  <si>
    <t xml:space="preserve"> No 214 jln miel 15/s1 Taman Pedas Perdana , 71400 Pedas , Negeri Sembilan</t>
  </si>
  <si>
    <t>NVMY49024000003008</t>
  </si>
  <si>
    <t>MUHAMMAD AIMAN BIN AZMI</t>
  </si>
  <si>
    <t>No. 773 Jalan Hijayu 3/34 Hijayu 3A, Sendayan Negeri Sembilan, 71950 Seremban.</t>
  </si>
  <si>
    <t>NVMY49024000003106</t>
  </si>
  <si>
    <t>haziqah nadia</t>
  </si>
  <si>
    <t>Lot 120C (38152 D) kampung Melayu batu 13 1 /2 47000 sungai buloh Selangor</t>
  </si>
  <si>
    <t>NVMY49024000003049</t>
  </si>
  <si>
    <t>Jan sharizal</t>
  </si>
  <si>
    <t>Kampung pematang kaka 06100  Kodiang kedah</t>
  </si>
  <si>
    <t>NVMY49024000003079</t>
  </si>
  <si>
    <t>Ummairah Zainal Abidin</t>
  </si>
  <si>
    <t xml:space="preserve">No 2 Kedai Depan Pam Minyak, Felda Anggerik Jengka 1, 26400 Bandar Jengka, Pahang </t>
  </si>
  <si>
    <t>NVMY49024000002990</t>
  </si>
  <si>
    <t>Nur Hazwani Kamal</t>
  </si>
  <si>
    <t xml:space="preserve"> TS11143 Pengkalan Batu ,13300 Tasek Gelugor Pulau Pinang</t>
  </si>
  <si>
    <t>NVMY49024000003059</t>
  </si>
  <si>
    <t>Mohamad jufri</t>
  </si>
  <si>
    <t>161, jalan berembang 2, kg rumah sepuluh, Johor Bahru, 81100, Johor</t>
  </si>
  <si>
    <t>NVMY49024000003125</t>
  </si>
  <si>
    <t>ADDA SHUHADA</t>
  </si>
  <si>
    <t>NO 16A, LOT 4287, JALAN MASJID KG TOK MUDA KAPAR 42200 KLANG SELANGOR</t>
  </si>
  <si>
    <t>NVMY49024000003128</t>
  </si>
  <si>
    <t>ataqrich</t>
  </si>
  <si>
    <t>no 26 jalan kesuma 8/4, bandar tasik kesuma, 43700 beranang,  selangor</t>
  </si>
  <si>
    <t>NVMY49024000002986</t>
  </si>
  <si>
    <t>LO LAM GONG</t>
  </si>
  <si>
    <t>88-10-01 PUNCAK ERSKINE, JALAN FETTES, TANJUNG TOKONG 10470, GEORGETOWN, PENANG</t>
  </si>
  <si>
    <t>NVMY49024000003081</t>
  </si>
  <si>
    <t>Siti Nur Izzati Husna Binti Sutan Norfaizal</t>
  </si>
  <si>
    <t xml:space="preserve">No 19, Lorong Tas Ria 16, Taman Tas Ria 25150 Kuantan Pahang  Taman Tas Ria 25150 Kuantan Pahang </t>
  </si>
  <si>
    <t>NVMY49024000003074</t>
  </si>
  <si>
    <t>AMIRAH SYAFIQAH</t>
  </si>
  <si>
    <t xml:space="preserve">NO 90 LORONG ANGGERIK 3 TAMAN ANGGERIK , 09000 KULIM KEDAH </t>
  </si>
  <si>
    <t>NVMY49024000002992</t>
  </si>
  <si>
    <t>sha</t>
  </si>
  <si>
    <t>lot 1908 kampung bukit datuk a tanjung minyak 75250 melaka</t>
  </si>
  <si>
    <t>NVMY49024000003110</t>
  </si>
  <si>
    <t>Izabella Tan</t>
  </si>
  <si>
    <t>A-9-3A, Kiaraville Condo, 2 Changkat Duta Kiara, Mont Kiara  Kuala Lumpur, KUL 50480 Country: Malaysia</t>
  </si>
  <si>
    <t>D1-SEG-15-107</t>
  </si>
  <si>
    <t>NVMY49024000002900</t>
  </si>
  <si>
    <t>SITI ZAHARA</t>
  </si>
  <si>
    <t>NO 145, LORONG 2B, TAMAN KEMENA RAYA, 97000, BINTULU SARAWAK</t>
  </si>
  <si>
    <t>NVMY49024000003139</t>
  </si>
  <si>
    <t>AZNIZANANI BT NGADIN</t>
  </si>
  <si>
    <t>NO 52, JALAN LURAH SAID 1, TAMAN DAHLIA, KG DELEK KANAN, 41250KLANG, SELANGOR</t>
  </si>
  <si>
    <t>NVMY49024000003088</t>
  </si>
  <si>
    <t>yuhanis bte wahab</t>
  </si>
  <si>
    <t xml:space="preserve">pke14 jln bakri batu 2 84000 muar johor </t>
  </si>
  <si>
    <t>NVMY49024000003177</t>
  </si>
  <si>
    <t>MAS BELLA</t>
  </si>
  <si>
    <t>LOT 2052 DEPAN MASJID KG ARIL PAUH LIMA 16090 KOTA BHARU KELANTAN</t>
  </si>
  <si>
    <t>A1-PTH-1-4</t>
  </si>
  <si>
    <t>NVMY49024000003145</t>
  </si>
  <si>
    <t>muhammad muhaimin</t>
  </si>
  <si>
    <t>No.39 Kampung Dato Shariff Ahmad, 28050, Kuala krau, pahang</t>
  </si>
  <si>
    <t>NVMY49024000003141</t>
  </si>
  <si>
    <t>Nur Asmiza bt Zakaria</t>
  </si>
  <si>
    <t>Blok B-9-13 PPR Perkasa, No 1 Jalan Nakhoda Yusof, 55100 KL</t>
  </si>
  <si>
    <t>NVMY49024000003107</t>
  </si>
  <si>
    <t>Aimi bazilah</t>
  </si>
  <si>
    <t>Lot 5356-A, Jalan Uda Habib, Kg Perigi Nenas, Pulau Indah, 42000 Pelabuhan Klang, Selangor</t>
  </si>
  <si>
    <t>NVMY49024000003133</t>
  </si>
  <si>
    <t>HANIZA BT CHE ANI</t>
  </si>
  <si>
    <t>NO 98 JALAN MEKAR 4 TAMAN DESA MEKAR 34200 PARIT BUNTAR PERAK</t>
  </si>
  <si>
    <t>NVMY49024000003185</t>
  </si>
  <si>
    <t>NVMY49024000003116</t>
  </si>
  <si>
    <t>WAN NUR SYAKIRAH BINTI WAN AZRRI</t>
  </si>
  <si>
    <t xml:space="preserve">6351 , JALAN MELATI 3 TAMAN INDHAPURA , 81000 ,KULAI JOHOR </t>
  </si>
  <si>
    <t>NVMY49024000003172</t>
  </si>
  <si>
    <t>NVMY49024000002997</t>
  </si>
  <si>
    <t>SITI SURAYA BINTI NAJOR</t>
  </si>
  <si>
    <t>Onestop Counter, Tingkat 1, Jabatan Tanah Dan Survei Sibu, Jalan Awang Ramli Amit, 96000 Sibu, Sarawak</t>
  </si>
  <si>
    <t>NVMY49024000003174</t>
  </si>
  <si>
    <t>EN MUHAMMAD HEDHER BIN AHMADINI</t>
  </si>
  <si>
    <t xml:space="preserve">OMMER HOLDING SDN BHD , 24 &amp; 2A4 , JALAN KELULI AK7 / AK PUSAT PERNIAGAAN BUKIT RAJA , SEKSYEN 7 , 40000 SHAH ALAM , SELANGOR DARUL EHSAN </t>
  </si>
  <si>
    <t>NVMY49024000003093</t>
  </si>
  <si>
    <t>Izzati Nabilah</t>
  </si>
  <si>
    <t>30b-10-12b, idaman lavender 3, lilitan sg ara, 11900 bayan lepas pulau pinang</t>
  </si>
  <si>
    <t>NVMY49024000003091</t>
  </si>
  <si>
    <t>NURUL AINA</t>
  </si>
  <si>
    <t>NO 4, Kampung Hujung Kubur, Sungai Tiang, 06750 Pendang, Kedah Darul Aman</t>
  </si>
  <si>
    <t>NVMY49024000003094</t>
  </si>
  <si>
    <t>Jamilah binti Ahmat Munir</t>
  </si>
  <si>
    <t>Kediaman Laskarnita, Blok Kenanga Unit 206, Pangkalan Tldm, 32100 Lumut, Perak</t>
  </si>
  <si>
    <t>NVMY49024000003186</t>
  </si>
  <si>
    <t>NOORMURNIE HARUN</t>
  </si>
  <si>
    <t xml:space="preserve">2548 JALAN KEMBOJA KG BARU KERTEH 24300 KERTEH KEMAMAN TERENGGANU </t>
  </si>
  <si>
    <t>NVMY49024000003086</t>
  </si>
  <si>
    <t>Farizatul hanis</t>
  </si>
  <si>
    <t>735 Lorong Lembah Impiana 11/3, Taman Lembah, 09000, Kulim, Kedah</t>
  </si>
  <si>
    <t>NVMY49024000003061</t>
  </si>
  <si>
    <t>Asyraff Danial Bin Abd Hamid</t>
  </si>
  <si>
    <t>Kolej Kediaman Seri Mulu, Blok 2B, Tingkat 3, Lot 2324, UiTM Sarawak Kampus Samarahan, Kota Samarahan, 94300, Sarawak</t>
  </si>
  <si>
    <t>NVMY49024000003161</t>
  </si>
  <si>
    <t>HARRINI BINTI MD ISA</t>
  </si>
  <si>
    <t>BATU 30 1/4 KAMPUNG TANJUNG DAHAN, KUALA LINGGI 78200 KUALA SUNGAI BARU MELAKA</t>
  </si>
  <si>
    <t>NVMY49024000003166</t>
  </si>
  <si>
    <t>SULRIANI MANSOR</t>
  </si>
  <si>
    <t>NO 350A, KG ALOR TEMBESU 23000 DUNGUN, TERENGGANU</t>
  </si>
  <si>
    <t>NVMY49024000003190</t>
  </si>
  <si>
    <t>NORLIZA AKMA MAT ALI</t>
  </si>
  <si>
    <t>BF 03 TAMAN PERUMAHAN PERWAJA , 24000 KEMAMAN , TERENGGANU DARUL IMAN</t>
  </si>
  <si>
    <t>NVMY49024000003136</t>
  </si>
  <si>
    <t>LIZAWATI BT ABDULLAH</t>
  </si>
  <si>
    <t>NO 12 TAMAN SRI FAJAR JALAN LENCONG BARAT 05400 ALOR SETAR, KEDAH</t>
  </si>
  <si>
    <t>NVMY49024000003170</t>
  </si>
  <si>
    <t>NVMY49024000003087</t>
  </si>
  <si>
    <t>Alia</t>
  </si>
  <si>
    <t>No 28, jalan selatan 2, taman selatan 05150 alor setar, kedah</t>
  </si>
  <si>
    <t>NVMY49024000003160</t>
  </si>
  <si>
    <t>NAZIRAH BINTI CHE MUSTAPA</t>
  </si>
  <si>
    <t>9-4-8 PANGSAPURI SERI TANJUNG JALAN 7/1 SEKSYEN 7 BANDAR BARU BANGI</t>
  </si>
  <si>
    <t>NVMY49024000002820</t>
  </si>
  <si>
    <t>RAFEDAH RATIB</t>
  </si>
  <si>
    <t xml:space="preserve">TAMAN AMAN JAYA  MDLD5166 lot 503 lorong 15 , 91100 lahad datu , sabah </t>
  </si>
  <si>
    <t>NVMY49024000003131</t>
  </si>
  <si>
    <t>NORIAH</t>
  </si>
  <si>
    <t>NO 18 LORONG TELUK JAMBU, 01000 BINTONG KANGAR, PERLIS</t>
  </si>
  <si>
    <t>A3-BSR-3-20</t>
  </si>
  <si>
    <t>NVMY49024000003143</t>
  </si>
  <si>
    <t>aisyah azifah</t>
  </si>
  <si>
    <t>no 83 , lorong 6 taman sri embun 27000 jerantut pahang</t>
  </si>
  <si>
    <t>NVMY49024000003179</t>
  </si>
  <si>
    <t>HASLINA BT ISMAIL</t>
  </si>
  <si>
    <t xml:space="preserve">LOT 13682 KG TELARI MANIR 21200 KUALA TERENGGANU , TERENGGANU </t>
  </si>
  <si>
    <t>NVMY49024000003103</t>
  </si>
  <si>
    <t>munirah majid</t>
  </si>
  <si>
    <t>D-10-07, Pangsapuri Kasturi Jalan Dato Onn 3, Bandar Dato Onn,81100 Johor bahru,Johor</t>
  </si>
  <si>
    <t>NVMY49024000003135</t>
  </si>
  <si>
    <t>NURYN AZIRA</t>
  </si>
  <si>
    <t>LOT 1095-A1, JLN BUDAYA LORONG KHAIRUNI KG RANTAU PANJANG 42100, KLANG SELANGOR</t>
  </si>
  <si>
    <t>NVMY49024000003171</t>
  </si>
  <si>
    <t>MUHD SHAFEQ</t>
  </si>
  <si>
    <t>NO 44 JALAN SURADA 3, TAMAN DESA SURADA B.B.BANGI 43650 SELANGOR</t>
  </si>
  <si>
    <t>NVMY49024000003129</t>
  </si>
  <si>
    <t xml:space="preserve">NO 11 JALAN MERAK , LARKIN JAYA , 80350 JB , JOHOR </t>
  </si>
  <si>
    <t>NVMY49024000003151</t>
  </si>
  <si>
    <t>LUA THING THING</t>
  </si>
  <si>
    <t xml:space="preserve">LOT 497, KG GAAL TENGAH, 16800 PASIR PUTEH, KELANTAN </t>
  </si>
  <si>
    <t>NVMY49024000003169</t>
  </si>
  <si>
    <t>NAJWA SALWA</t>
  </si>
  <si>
    <t>47500, PERSIARAN SUBANG MEWAH, TAMAN SUBANG PERMAI PETALING, SELANGOR C-01-06, USJ ONE AVENUE</t>
  </si>
  <si>
    <t>NVMY49024000003117</t>
  </si>
  <si>
    <t>OWEN PINGIRAN KENNEDY</t>
  </si>
  <si>
    <t xml:space="preserve">B-03-07 JALAN PULAI 84 , TAMAN PULAI UTAMA , 813000 JOHOR BAHRU JOHOR </t>
  </si>
  <si>
    <t>NVMY49024000003147</t>
  </si>
  <si>
    <t>Aqeel Danieal</t>
  </si>
  <si>
    <t>Kampung Padang Kijang,17500, Tanah Merah, Kelantan</t>
  </si>
  <si>
    <t>NVMY49024000003159</t>
  </si>
  <si>
    <t>Amni</t>
  </si>
  <si>
    <t>LOT 3024 BATU 7 1/2 KG SALOR, KOTA BHARU, 15100, KELANTAN</t>
  </si>
  <si>
    <t>NVMY49024000003132</t>
  </si>
  <si>
    <t>NUR FARHANA BT MOHAMED DIN</t>
  </si>
  <si>
    <t>LOT 6187 KG TERSUSUN BATU 11 LEKIR, 32020 SITIAWAN PERAK</t>
  </si>
  <si>
    <t>NVMY49024000003140</t>
  </si>
  <si>
    <t>Mohd yuszaile bin Yusoff</t>
  </si>
  <si>
    <t xml:space="preserve">Kampung talang kadok 16450 ketereh kota Bharu Kelantan </t>
  </si>
  <si>
    <t>NVMY49024000003176</t>
  </si>
  <si>
    <t>IQBAL</t>
  </si>
  <si>
    <t>NO. 5 JALAN MAKYONG 1J/KU5 BANDAR BUKIT RAJA, KLANG 41050 SELANGOR</t>
  </si>
  <si>
    <t>NVMY49024000003078</t>
  </si>
  <si>
    <t>FIRDOUS HANAFI</t>
  </si>
  <si>
    <t>F403 KG MATANG GEDONG 08000, SUNGAI PETANI, KEDAH</t>
  </si>
  <si>
    <t>NVMY49024000003119</t>
  </si>
  <si>
    <t>Mohd Ayyub bin Abdullah</t>
  </si>
  <si>
    <t>NO32 KAMPUNG PARIT HAJI DAHLAN MK7 83700 YONG PENG JOHOR</t>
  </si>
  <si>
    <t>NVMY49024000003114</t>
  </si>
  <si>
    <t>WAN NURUL AISYAH</t>
  </si>
  <si>
    <t xml:space="preserve">NO 1-26 BLOK RPS , JALAN BUKIT PERMAI 2 , TAMAN BUKIT PERMAI , 43000 KAJANG SELANGOR </t>
  </si>
  <si>
    <t>NVMY49024000003105</t>
  </si>
  <si>
    <t>Nurhidayatul asyikin binti mohd khairi</t>
  </si>
  <si>
    <t>No 110,kampung weng dalam mukim siong 09100 baling kedah darul aman</t>
  </si>
  <si>
    <t>NVMY49024000003083</t>
  </si>
  <si>
    <t>ZULIANA BINTI MUKID</t>
  </si>
  <si>
    <t>NO 15 JLN KOOP 7.  TAMAN KOPERASI BENA. 45600 BISTARI JAYA. SELANGOR.</t>
  </si>
  <si>
    <t>NVMY49024000002835</t>
  </si>
  <si>
    <t>FARIS DANIEL</t>
  </si>
  <si>
    <t xml:space="preserve">LOT A UPTOWN , UNIVERSITI SAINS MALSYIA , JALAN UNIVERSITI , 11800 TIMUR LAUT PENANG </t>
  </si>
  <si>
    <t>NVMY49024000003121</t>
  </si>
  <si>
    <t>zamri bin abdullah</t>
  </si>
  <si>
    <t>No 4145b jln datok Abu bakar kampong pasir 81200 Tampoi Johor baru</t>
  </si>
  <si>
    <t>NVMY49024000003142</t>
  </si>
  <si>
    <t>Liyannasyafiqa</t>
  </si>
  <si>
    <t>191,Taman wan adnan 24300 kerteh kemaman terengganu</t>
  </si>
  <si>
    <t>NVMY49024000003104</t>
  </si>
  <si>
    <t>Nor Aisyah Binti Md Seran</t>
  </si>
  <si>
    <t xml:space="preserve"> (JALIL AIRCOND)  Lot 2061, Kampung Gembut ,Tanjung Sedili, 81900 Kota Tinggi ,Johor</t>
  </si>
  <si>
    <t>NVMY49024000003148</t>
  </si>
  <si>
    <t>rahma</t>
  </si>
  <si>
    <t>no 67F psrn tengku ampuan rahimah taman sri andalas klang selangor 41200</t>
  </si>
  <si>
    <t>NVMY49024000003164</t>
  </si>
  <si>
    <t>SYAHRIZAL KHAMDANI</t>
  </si>
  <si>
    <t xml:space="preserve">LOT 60659 , JALAN SEROJA KG OLAK LEMPIT 42700 BANTING SELANGOR </t>
  </si>
  <si>
    <t>NVMY49024000003156</t>
  </si>
  <si>
    <t>Nur iedayu</t>
  </si>
  <si>
    <t>Y1-16-17  Apartment D kayangan Jalan Ecohill 1/2 43500 semenyih selangor</t>
  </si>
  <si>
    <t>NVMY49024000003082</t>
  </si>
  <si>
    <t>LIA KU SAFFIA BINTI ABD RAHIM</t>
  </si>
  <si>
    <t>3-27-1 MAHSURI SQUARE,HALAMAN MAYANG PASIR 3,11950 BAYAN BARU,PULAU PINANG</t>
  </si>
  <si>
    <t>NVMY49024000003101</t>
  </si>
  <si>
    <t>MUHAMMAD IKMAL HARIS BIN MOHD SANAWI</t>
  </si>
  <si>
    <t>96 HOSPITAL ANGKATAN TENTERA LUMUT, PENGKALAN TLDM, 32200 LUMUT PERAK</t>
  </si>
  <si>
    <t>NVMY49024000003092</t>
  </si>
  <si>
    <t>Ain shahera</t>
  </si>
  <si>
    <t>No.20 jalan ks 14/7, 25200 kuantan pahang</t>
  </si>
  <si>
    <t>NVMY49024000003181</t>
  </si>
  <si>
    <t>ERMAFIKRI</t>
  </si>
  <si>
    <t>LOT 1198 TMN MUNTTAQIN JLN DATO' LUNDANG 15200 KOTA BHARU KELANTAN</t>
  </si>
  <si>
    <t>NVMY49024000003173</t>
  </si>
  <si>
    <t>AGENSI PENGURUSAN BENCANA NEGARA (NADMA)</t>
  </si>
  <si>
    <t>JABATAN PERDANA MENTERI, ARAS B1, 6 DAN 7 SETIA PERKASA 5 KOMPLEKS SETIA PERKASA, PUSAT PENTADBIRAN KERAJAAN PERSEKUTUAN 62502 WP PUTRAJAYA</t>
  </si>
  <si>
    <t>NVMY49024000003120</t>
  </si>
  <si>
    <t>Abd razak</t>
  </si>
  <si>
    <t>1317 MK 16 MACHANG BUBOK 14020 BUKIT MERTAJAM PULAU PINANG</t>
  </si>
  <si>
    <t>NVMY49024000003022</t>
  </si>
  <si>
    <t>SAQEEF ARYAN</t>
  </si>
  <si>
    <t>FASA 1 5Q-02-04, PERUMAHAN POLIS FASA 1 5Q-02-04 LRAYA THEAN TEIK, BANDAR BARU AYER ITAM, 11500 TIMUR LAUT, PULAU PINANG</t>
  </si>
  <si>
    <t>B2-FLM-5-47</t>
  </si>
  <si>
    <t>NVMY49024000003100</t>
  </si>
  <si>
    <t>Ain Syuhada bt Haris</t>
  </si>
  <si>
    <t>No 19, Lorong Jujur 5, Bandar Tun Razak Cheras, 56000 WP Kuala Lumpur</t>
  </si>
  <si>
    <t>NVMY49024000003180</t>
  </si>
  <si>
    <t>SALEENA FAZAL</t>
  </si>
  <si>
    <t>NO 16 TAMAN DESA CEMPAKA PULAI, 09100 BALING KEDAH</t>
  </si>
  <si>
    <t>NVMY49024000003168</t>
  </si>
  <si>
    <t>NVMY49024000003149</t>
  </si>
  <si>
    <t>SITI NUR ATIQAH BT AZMAN</t>
  </si>
  <si>
    <t>LOT 379, BATU 1, KG PEDAS TENGAH, 71400, PEDAS, NEGERI SEMBILAN</t>
  </si>
  <si>
    <t>NVMY49024000003098</t>
  </si>
  <si>
    <t>NURUL AIN BINTI ZANUDIN</t>
  </si>
  <si>
    <t>NO 262 KAMPUNG PASIR HITAM MUKIM AYER HANGAT 07000 LANGKAWI KEDAH</t>
  </si>
  <si>
    <t>NVMY49024000003247</t>
  </si>
  <si>
    <t>NOOR HAZWANI BT MOHAMAD</t>
  </si>
  <si>
    <t>WAD MEDICAL 7A , INSTITUT UROLOGI &amp; NEFROLOGI , BLOCK B , JALAN PAHANG HOSPITAL KUALA LUMPUR , W.P KUALA LUMPUR 50586</t>
  </si>
  <si>
    <t>NVMY49024000003167</t>
  </si>
  <si>
    <t>MUHAMMAD HAKIM BIN AB JALAL</t>
  </si>
  <si>
    <t xml:space="preserve">SB 172/1 JALAN SERI BAHROM RENGIT 83100 BATU PAHAT </t>
  </si>
  <si>
    <t>NVMY49024000003194</t>
  </si>
  <si>
    <t>Nurul Fatihah</t>
  </si>
  <si>
    <t>364a 1/10 Jalan Taman Lembah Bujang Indah 08100 Bedong,Kedah</t>
  </si>
  <si>
    <t>NVMY49024000003235</t>
  </si>
  <si>
    <t>NORLIZAH BINTI MAUKOM</t>
  </si>
  <si>
    <t xml:space="preserve">NO 5 JALAN KESUMA 6/1E , BANADAR TASIK KESUMA 43700 BERANANG SELANGOR </t>
  </si>
  <si>
    <t>NVMY49024000003184</t>
  </si>
  <si>
    <t>AZLINA ABDUL RAHMAN</t>
  </si>
  <si>
    <t xml:space="preserve">NO 666 , JALAN SENTOSA 6/6 TAMAN SERI SENTOSA 09600 LUNAS , KEDAH </t>
  </si>
  <si>
    <t>NVMY49024000003165</t>
  </si>
  <si>
    <t>MOHD KHATIB</t>
  </si>
  <si>
    <t xml:space="preserve">NO 136 , PERSIARAN PERMAI 9 , TAMAN SLIM RIVER , 35800 SLIM RIVER PERAK </t>
  </si>
  <si>
    <t>NVMY49024000003153</t>
  </si>
  <si>
    <t>adelya marsya</t>
  </si>
  <si>
    <t>32 CHEPOR SENTOSA 15 TAMAN CHEPOR SENTOSA 31200 CHEMOR, PERAK</t>
  </si>
  <si>
    <t>NVMY49024000002653</t>
  </si>
  <si>
    <t>nur ain athiera</t>
  </si>
  <si>
    <t>Kg paris 3 91127 Lahad datu,sabah,91100</t>
  </si>
  <si>
    <t>NVMY49024000003183</t>
  </si>
  <si>
    <t>CGU HJH SAYATI MAT ALI</t>
  </si>
  <si>
    <t xml:space="preserve">SEK KEB KG RAYA 22200 BESUT TERENGGANU </t>
  </si>
  <si>
    <t>NVMY49024000003197</t>
  </si>
  <si>
    <t>Izzah Zakiah</t>
  </si>
  <si>
    <t>No 87, Lorong 4, Taman Mesra 09200 Kupang Kedah</t>
  </si>
  <si>
    <t>NVMY49024000003231</t>
  </si>
  <si>
    <t>ZAIWATI MOHAMAD</t>
  </si>
  <si>
    <t xml:space="preserve">LOT 940 , JALAN TENGKU  ABDUL HAMID 16300 BACHOK KELANTAN </t>
  </si>
  <si>
    <t>NVMY49024000003198</t>
  </si>
  <si>
    <t>Natashah</t>
  </si>
  <si>
    <t xml:space="preserve"> PT 5844, Jalan BBN 9/3k, Taman Desa Anggerik, Nilai 71800 Negeri sembilan</t>
  </si>
  <si>
    <t>NVMY49024000003213</t>
  </si>
  <si>
    <t>luqmanul hakim b md salleh</t>
  </si>
  <si>
    <t>no 47a jln negara tmn melawati 53100 ulu klang selangor</t>
  </si>
  <si>
    <t>NVMY49024000003228</t>
  </si>
  <si>
    <t>SALMI BINTI AMAT</t>
  </si>
  <si>
    <t xml:space="preserve">NO 891 JALAN BSS 2/5 BANDAR SEREMBAN SELATAN 71450 SEREMBAN , NEGERI SEMBILAN </t>
  </si>
  <si>
    <t>NVMY49024000003238</t>
  </si>
  <si>
    <t>MUHAMMAD HAFIZ ADLEE</t>
  </si>
  <si>
    <t>NO 24 TAMAN SERI BAYU MORIB BANTING SELANGOR DARUL EHSAN 42700</t>
  </si>
  <si>
    <t>NVMY49024000003206</t>
  </si>
  <si>
    <t>Sulaihin</t>
  </si>
  <si>
    <t>No 305 jalan kejora 3 taman kejora tebong 76460 alor gajah melaka</t>
  </si>
  <si>
    <t>NVMY49024000003154</t>
  </si>
  <si>
    <t>NOOR FAZIRUL BIN BAHROM</t>
  </si>
  <si>
    <t>LORONG HAJI BAHROM NO 138 KAMPUNG PARIT YOB, PARIT YAANI, 83710 YONG PENG, JOHOR</t>
  </si>
  <si>
    <t>NVMY49024000003241</t>
  </si>
  <si>
    <t>SHAZWAN</t>
  </si>
  <si>
    <t>NO 28-1 JALAN KAMP 2, KOMPLEKS NIAGA MELAKA PERDANA AYER KEROH, 75450, MELAKA</t>
  </si>
  <si>
    <t>NVMY49024000003196</t>
  </si>
  <si>
    <t>IZZAH ATIRAH</t>
  </si>
  <si>
    <t>rumah dalam pagar, NO16 KAMPUNG GUAR STESYEN,08800 GURUN KEDAH</t>
  </si>
  <si>
    <t>NVMY49024000003200</t>
  </si>
  <si>
    <t>Nurarisya salleh</t>
  </si>
  <si>
    <t>No 2, lorong mulia 4, bandar penawar 81900 kota tinggi johor</t>
  </si>
  <si>
    <t>NVMY49024000003224</t>
  </si>
  <si>
    <t>PUTERI NUR AISYAH BT MOHD ZAIRI</t>
  </si>
  <si>
    <t>B-7-3 , MUTIARA ANGGERIK , SEKSYEN 15 , SHAH ALAM , SELANGOR , 40200</t>
  </si>
  <si>
    <t>NVMY49024000003157</t>
  </si>
  <si>
    <t>awathif</t>
  </si>
  <si>
    <t>plot 10,11 kg alor gandak jalan datuk kumbar 05300 alor setar kedah</t>
  </si>
  <si>
    <t>NVMY49024000003029</t>
  </si>
  <si>
    <t>MUHAMAD NAIM SHAUQIE BIN SAMSUDIN</t>
  </si>
  <si>
    <t xml:space="preserve">BALAI POLIS LAHAD DATU , IPD LAHAD DATU , 91111 LAHAD DATU SABAH </t>
  </si>
  <si>
    <t>E2-LDU-11-168</t>
  </si>
  <si>
    <t>NVMY49024000003191</t>
  </si>
  <si>
    <t>YUSRUL NIZAM BIN ABDUL RAHMAN</t>
  </si>
  <si>
    <t>32, THE GARDEN SOUTH TOWER, LINGKARAN SYED PUTRA MID VALLEY CITY 59200 KUALA LUMPUR</t>
  </si>
  <si>
    <t>NVMY49024000003203</t>
  </si>
  <si>
    <t>syazwani</t>
  </si>
  <si>
    <t>27-12 NUESUITE Jalan Nipah, Ampang Tiga, Jln Ampang, Ampang, Kuala Lumpur, 55000 Kuala Lumpur, Federal Territory of Kuala Lumpur</t>
  </si>
  <si>
    <t>NVMY49024000003218</t>
  </si>
  <si>
    <t>MOHD NAZARUDDIN BIN SIMAIL</t>
  </si>
  <si>
    <t xml:space="preserve">NEUZA HOME , NO 245 , JALAN LAMAN AZALEA 4/1 , LAMAN AZALEA , 71800 NILAI IMPIAN SENEGRI SEMBILAN </t>
  </si>
  <si>
    <t>NVMY49024000003204</t>
  </si>
  <si>
    <t>nanajefri</t>
  </si>
  <si>
    <t>no.148, lorong sri inai 1/6, taman sri inai sikamat 70400 seremban, negeri sembilan</t>
  </si>
  <si>
    <t>NVMY49024000002996</t>
  </si>
  <si>
    <t>Nurul Fattni</t>
  </si>
  <si>
    <t>NO. 57 TAMAN HENG LOONG, JALAN BUGAYA, 91308, SEMPORNA, SABAH</t>
  </si>
  <si>
    <t>NVMY49024000003192</t>
  </si>
  <si>
    <t>AIMAN NUR HAKEEM BIN MOHD FAUZI</t>
  </si>
  <si>
    <t>8239 RUMAH AWAM SERI PENGKALAN 78000 ALOR GAJAH, MELAKA</t>
  </si>
  <si>
    <t>NVMY49024000003230</t>
  </si>
  <si>
    <t>RAHIMAH BT HAMZAH</t>
  </si>
  <si>
    <t xml:space="preserve">NO 33 JALAN BAHAWAN 2 , KG MEMPATIH 25800 LANCHANG PAHANG </t>
  </si>
  <si>
    <t>NVMY49024000003099</t>
  </si>
  <si>
    <t>ILIAMAISARA</t>
  </si>
  <si>
    <t>no 434, 2/13, jalan idaman, taman desa idaman, 81400, senai, johor</t>
  </si>
  <si>
    <t>NVMY49024000003245</t>
  </si>
  <si>
    <t>WYKIE YAP</t>
  </si>
  <si>
    <t>NO. 129 BLOK B 1ST FLOOR, APARTMENT PERMAI, NO. 13 JALAN PJU 10/1, DAMANSARA DAMAI 47830 PETALING JAYA, SELANGOR</t>
  </si>
  <si>
    <t>NVMY49024000003227</t>
  </si>
  <si>
    <t>NADIA HANIM BINTI MOHD ZIN</t>
  </si>
  <si>
    <t xml:space="preserve">LOT 923 KG KASAR , 17000 PASIR MAS KELANTAN </t>
  </si>
  <si>
    <t>NVMY49024000003195</t>
  </si>
  <si>
    <t>AFan</t>
  </si>
  <si>
    <t>20-17-02 Angkupuri Condominium, Jalan Kiara 1/70C Off Jalan Bukit Kiara,Mont Kiara, 50480 Kuala Lumpur</t>
  </si>
  <si>
    <t>NVMY49024000003146</t>
  </si>
  <si>
    <t>Nurul Murni bt Mohd bakri</t>
  </si>
  <si>
    <t>No 17 Batu 5 Kampung Pasir gajah Jalan azrai kulob wahab Parit perak 32800</t>
  </si>
  <si>
    <t>NVMY49024000003144</t>
  </si>
  <si>
    <t>Ayunie Rosdiey</t>
  </si>
  <si>
    <t>1-4-9 pangsapuri harmoni, jalan kennedy,11600georgetown, penang</t>
  </si>
  <si>
    <t>NVMY49024000003182</t>
  </si>
  <si>
    <t>HAZILA BT HALIM</t>
  </si>
  <si>
    <t xml:space="preserve">SK ULU GALI , 27500 SG RUAN RAUB , PAHANG </t>
  </si>
  <si>
    <t>NVMY49024000003246</t>
  </si>
  <si>
    <t>HASNIDA BT DAUD</t>
  </si>
  <si>
    <t xml:space="preserve">BELAKANG SK KOR BATU 8 , JALAN KUALA KRAI , 16010 KOTA BHARU KELANTAN </t>
  </si>
  <si>
    <t>NVMY49024000003226</t>
  </si>
  <si>
    <t>SHAMZULFAZLIN BINTI ZULKIFLIE</t>
  </si>
  <si>
    <t xml:space="preserve">TALAK MAJU JAYA HARDWARE LOT 2221 KG TALAK CHABANG EMPAT 16210 TUMPAT KELANTAN </t>
  </si>
  <si>
    <t>NVMY49024000003236</t>
  </si>
  <si>
    <t>SYIHA BINTI JALIL FAIZARUL</t>
  </si>
  <si>
    <t xml:space="preserve">PY 8023 KAMPUNG BUKIT KEMIDU 22100 BANDAR PERMAISURI SETIU TERENGGANU </t>
  </si>
  <si>
    <t>NVMY49024000003219</t>
  </si>
  <si>
    <t>ATTN TRADE OPERATIONS SECTION</t>
  </si>
  <si>
    <t>(0320201811) &amp; (0320201797), BANK PERTANIAN MALAYSIA BERHAD (AGROBANK) TRADE FINANCE DEPARTMENT SUITE 8.0, 8TH FLOOR WISMA MARAN NO 28 MEDAN PASAR 50050 KUALA LUMPUR</t>
  </si>
  <si>
    <t>NVMY49024000003209</t>
  </si>
  <si>
    <t>Fairuz Binti Abdul Rasid</t>
  </si>
  <si>
    <t>No 35, Jalan TA2, Taman Trong Aman, 34800, Trong, Taiping.</t>
  </si>
  <si>
    <t>NVMY49024000003150</t>
  </si>
  <si>
    <t>Nurelissa binti Elias</t>
  </si>
  <si>
    <t>No 154, Jalan Selar, Telok Sengat, 81940, Kota Tinggi, Johor</t>
  </si>
  <si>
    <t>NVMY49024000003163</t>
  </si>
  <si>
    <t>NIK IKAN BAKAR NO 1 MEDAN SELERA MASJID KAYANGAN BRINCHANG 39100 CAMERON HIGHLANDS PAHANG</t>
  </si>
  <si>
    <t>NVMY49024000003217</t>
  </si>
  <si>
    <t>AR &amp; PARTNERS</t>
  </si>
  <si>
    <t>(NF1233), 3A-16, FLOOR 3A SAVILLE KAJANG JALAN REKO 43000 KAJANG SELANGOR</t>
  </si>
  <si>
    <t>NVMY49024000003216</t>
  </si>
  <si>
    <t>RTECHNIK CONTINENTAL CAR WORKSHOP</t>
  </si>
  <si>
    <t xml:space="preserve">NO 38 , JALAN KOTA 2/3 KAWASAN PERINDUSTRIAN KOTA PUTERI , 81750 MASAI JOHOR DARUL TAZIM </t>
  </si>
  <si>
    <t>C1-PSG-7-69</t>
  </si>
  <si>
    <t>NVMY49024000003162</t>
  </si>
  <si>
    <t>NVMY49024000003222</t>
  </si>
  <si>
    <t>BAHA</t>
  </si>
  <si>
    <t>19197, JALAN CEMPAKA 13, TAMAN DESA CEMPAKA 71800 NILAI NEGERI SEMBILAN</t>
  </si>
  <si>
    <t>NVMY49024000003220</t>
  </si>
  <si>
    <t>HK</t>
  </si>
  <si>
    <t>A-16-7, JALAN 6/38A, SCENARIA @ NORTH KIARA 51200 KUALA LUMPUR</t>
  </si>
  <si>
    <t>NVMY49024000003212</t>
  </si>
  <si>
    <t>Razali wan Daud</t>
  </si>
  <si>
    <t>Blok F7-1-11.jalan permai 2/8. Taman Puchong Permai. 47100.Puchong Selangor</t>
  </si>
  <si>
    <t>NVMY49024000003208</t>
  </si>
  <si>
    <t>Effa nurdiana</t>
  </si>
  <si>
    <t>108 jalan delima 18 Taman delima 2 Kluang 86000</t>
  </si>
  <si>
    <t>NVMY49024000003201</t>
  </si>
  <si>
    <t>Anis Fatihah Asmat</t>
  </si>
  <si>
    <t>E-02, Quaters Ipd Marang, 21600 Marang, Terengganu.</t>
  </si>
  <si>
    <t>NVMY49024000003211</t>
  </si>
  <si>
    <t>mohd yuslan yusop</t>
  </si>
  <si>
    <t>kopi che nah sdn bhd, lot 1987, batu 11 1/4, 36600 chenderong balai, perak</t>
  </si>
  <si>
    <t>NVMY49024000003210</t>
  </si>
  <si>
    <t>hamira idayu</t>
  </si>
  <si>
    <t>Pt 406 Taman Wira Sara Kok Lanas, 16450 Ketereh , Kelantan.</t>
  </si>
  <si>
    <t>NVMY49024000003006</t>
  </si>
  <si>
    <t>NUR AFIQAH BINTI AZMI</t>
  </si>
  <si>
    <t xml:space="preserve">NO. 9 LOT 5291, PERSIARAN MASJID SULTAN, KAMPUNG PERIGI NENAS, 42920 PULAU INDAH, SELANGOR. </t>
  </si>
  <si>
    <t>A1-RAI-1-3</t>
  </si>
  <si>
    <t>NVMY49024000003175</t>
  </si>
  <si>
    <t>TEH AI YEEN</t>
  </si>
  <si>
    <t>2C-3-15, ONE FORESTA, LENGKOK KELICAP, BARAT DAYA, 11900, PULAU PINANG</t>
  </si>
  <si>
    <t>NVMY49024000003207</t>
  </si>
  <si>
    <t>faizatul</t>
  </si>
  <si>
    <t>no.118 jalan seri emas 1, taman desa seri emas 06300 kuala nerang, kedah</t>
  </si>
  <si>
    <t>NVMY49024000003152</t>
  </si>
  <si>
    <t>Afzan khan</t>
  </si>
  <si>
    <t>No 2, Tanjung Perdana 4, Taman Tanjung Perdana, 31150 Ulu Kinta, Perak</t>
  </si>
  <si>
    <t>NVMY49024000003205</t>
  </si>
  <si>
    <t>hazimah abdul latiff</t>
  </si>
  <si>
    <t>A-14-8 Prisma perdana, taman midah jalan midah 8 kuala Lumpur</t>
  </si>
  <si>
    <t>NVMY49024000003221</t>
  </si>
  <si>
    <t>NORDIANA BINTI YUSAK</t>
  </si>
  <si>
    <t xml:space="preserve">NO 12 KAMPUNG PARIT TENGAH 83710 YONG PENG JOHOR </t>
  </si>
  <si>
    <t>NVMY49024000003193</t>
  </si>
  <si>
    <t>Zamzana binti Wahab</t>
  </si>
  <si>
    <t>Lot 18000, Jalan Surau Haji Yaakob, Kg Tebauk Bukit Tunggal,21200, Kuala Nerus, Terengganu</t>
  </si>
  <si>
    <t>NVMY49024000003215</t>
  </si>
  <si>
    <t>ATIKA NAZRI</t>
  </si>
  <si>
    <t>LEVEL 3, MENARA PJH 2, JALAN TUN ABDUL RAZAK, PRECINT 2, 62100 PUTRAJAYA WILAYAH PERSEKUTUAN PUTRAJAYA</t>
  </si>
  <si>
    <t>NVMY49024000003240</t>
  </si>
  <si>
    <t>RAMLAH BT DAUD</t>
  </si>
  <si>
    <t>NO 52 KAMPUNG AWEK, 22000 JERTEH TERENGGANU</t>
  </si>
  <si>
    <t>NVMY49024000003155</t>
  </si>
  <si>
    <t>Shahaila</t>
  </si>
  <si>
    <t>258, Jalan semarak 4, Taman Panchor Jaya, 70400, Seremban, N. Sembilan</t>
  </si>
  <si>
    <t>NVMY49024000003248</t>
  </si>
  <si>
    <t>NVMY49024000003283</t>
  </si>
  <si>
    <t>Md Norkasmairani B Ab Halil</t>
  </si>
  <si>
    <t>Lot 10740-B   Jln Lapangan Terbang,Kg Tanjung Jaffar,21300 Kuala Terenganu</t>
  </si>
  <si>
    <t>NVMY49024000003295</t>
  </si>
  <si>
    <t>AFIFAH AHMAD</t>
  </si>
  <si>
    <t>13, JALAN PANDAN 5/4 PANDAN JAYA (NO 13 JALAN PANDAN 5/4 PANDAN JAYA) ULU LANGAT 55100 SELANGOR</t>
  </si>
  <si>
    <t>NVMY49024000003233</t>
  </si>
  <si>
    <t>ISMILIA BINTI ISMAIL</t>
  </si>
  <si>
    <t xml:space="preserve">NO 18 SUSUR HARMONI 113 TAMAN HARMONI 09100 BALING KEDAH </t>
  </si>
  <si>
    <t>NVMY49024000003249</t>
  </si>
  <si>
    <t>HYPER RIDER</t>
  </si>
  <si>
    <t xml:space="preserve">NO 5 LORONG SERUNAI 1 , KAWASAN PERINDUSTRIAN VALDOR , 14200 SUNGAI BAKAP PULAU PINANG </t>
  </si>
  <si>
    <t>NVMY49024000003297</t>
  </si>
  <si>
    <t>AYUNI</t>
  </si>
  <si>
    <t>UITM SHAH ALAM, MIKU POINT DATARAN CENDEKIA, UNIVERSITI TEKNOLOGI MARA 40450 SHAH ALAM, SELANGOR</t>
  </si>
  <si>
    <t>NVMY49024000003273</t>
  </si>
  <si>
    <t>MALAYSIA SELANGOR ALLSOME WAREHOUSE</t>
  </si>
  <si>
    <t>BLOCK 1C &amp; 1E, OMEGA 1 BUKIT RAJA 2, JALAN KELULI 2B/KU2, TAMAN PERINDUSTRIAN BUKIT RAJA SELATAN, 41050 KLANG, SELANGOR</t>
  </si>
  <si>
    <t>NVMY49024000003095</t>
  </si>
  <si>
    <t>Mimi Wardina</t>
  </si>
  <si>
    <t>Labuan</t>
  </si>
  <si>
    <t>Klinik Wong &amp; Ung, Bandar Labuan, 87000 W.P Labuan</t>
  </si>
  <si>
    <t>NVMY49024000003298</t>
  </si>
  <si>
    <t>MQCARS, LOT 135 JALAN RAJA MUDA ABDUL AZIZ, KAMPUNG BARU 50300 KUALA LIUMPUR</t>
  </si>
  <si>
    <t>NVMY49024000003239</t>
  </si>
  <si>
    <t>RUSILA ABU BAKAR</t>
  </si>
  <si>
    <t>2958 JALAN 6K, TAMAN MAHSURI, 09400 PADANG SERAI, KEDAH</t>
  </si>
  <si>
    <t>NVMY49024000003225</t>
  </si>
  <si>
    <t>SAADIAH BINTI KAMAR @ KHALID</t>
  </si>
  <si>
    <t xml:space="preserve">NO 1118 LRG SERAI SETIA 2/5 TAMAN SERAI SETIA 2 , 09400 PADANG SERAI KULIM ,KEDAH </t>
  </si>
  <si>
    <t>NVMY49024000003279</t>
  </si>
  <si>
    <t>NVMY49024000003286</t>
  </si>
  <si>
    <t>Mustaqin bin mat radin</t>
  </si>
  <si>
    <t>531 kg baruh kual jalan kubang depu 22000 jerteh terengganu</t>
  </si>
  <si>
    <t>NVMY49024000003242</t>
  </si>
  <si>
    <t>Jaguh Angler</t>
  </si>
  <si>
    <t xml:space="preserve"> No 15 jln duku 24 Tmn Kota Masai  81700 Pasir Gudang , Johor </t>
  </si>
  <si>
    <t>NVMY49024000003229</t>
  </si>
  <si>
    <t>AZLINA ABD FATAH</t>
  </si>
  <si>
    <t xml:space="preserve">F1 BALAI POLIS BIDOR 35500 BIDOR PERAK </t>
  </si>
  <si>
    <t>NVMY49024000003232</t>
  </si>
  <si>
    <t>NOORFARJILA KAMORUDDIN</t>
  </si>
  <si>
    <t xml:space="preserve">LOT 358845, JALAN TANJUNG DAMAI 22 , RPT TANJUNG DAMAI , ULU KINTA 31150 PERAK </t>
  </si>
  <si>
    <t>NVMY49024000003199</t>
  </si>
  <si>
    <t>Nur Alia</t>
  </si>
  <si>
    <t>No 3 , PTD 7846 ,jalan ikhlas , kg baru seluyut, 81920 kota tinggi , johor</t>
  </si>
  <si>
    <t>NVMY49024000003291</t>
  </si>
  <si>
    <t>HAIZATUL NURMARIAH BINTI ROSLAM</t>
  </si>
  <si>
    <t>1008 ,KAMPUNG FIKRI 22110 SETIU TERENGGANU</t>
  </si>
  <si>
    <t>NVMY49024000003187</t>
  </si>
  <si>
    <t>MAZNAH BT MAZLAN</t>
  </si>
  <si>
    <t>F-3-10 APARTMENT TAMAN SEREMBAN PUTRA , JALAN SIKAMAT LAMA , 70400 SEREMBAN</t>
  </si>
  <si>
    <t>NVMY49024000003250</t>
  </si>
  <si>
    <t>PAIH</t>
  </si>
  <si>
    <t xml:space="preserve">3 JALAN PERMAS 11/17 BANDAR BARU PERMAS JAYA 81750 MASAI </t>
  </si>
  <si>
    <t>NVMY49024000003234</t>
  </si>
  <si>
    <t>ANNA ( ROSTARAN HAZIRAH )</t>
  </si>
  <si>
    <t xml:space="preserve">NO 16 IDAMAN 2 TAMAN LARKIN IDAMAN , 80350 JOHOR BAHRU </t>
  </si>
  <si>
    <t>NVMY49024000003223</t>
  </si>
  <si>
    <t>NUR SYAMIMI SYUHADA</t>
  </si>
  <si>
    <t>G-G-11 Taman Bunga Raya, Bukit Beruntung, Hulu Selangor</t>
  </si>
  <si>
    <t>NVMY49024000003243</t>
  </si>
  <si>
    <t>HAKIM ALLY</t>
  </si>
  <si>
    <t>25 JLN PADI MAHSURI 6/2, BANDAR BARU UDA 81200 JOHOR BAHRU, JOHOR</t>
  </si>
  <si>
    <t>NVMY49024000003289</t>
  </si>
  <si>
    <t>salahudin sidik</t>
  </si>
  <si>
    <t>institut alam sekitar malaysia (eimas), belakang kolej kris mas, kampus ukm  43600 Ukm bangi</t>
  </si>
  <si>
    <t>NVMY49024000003300</t>
  </si>
  <si>
    <t>ZAFAR</t>
  </si>
  <si>
    <t>JALAN LAKSAMA 2 308, BATU CAVES, GOMBAK SELANGOR</t>
  </si>
  <si>
    <t>NVMY49024000003254</t>
  </si>
  <si>
    <t>FITHRI SARIF</t>
  </si>
  <si>
    <t xml:space="preserve">NO 3734 JALAN 18/55a TAMAN SRI SERDANG 43300 SERI KEMBANGAN SELANGOR </t>
  </si>
  <si>
    <t>NVMY49024000003266</t>
  </si>
  <si>
    <t>MAZHOLITA HAMDAN</t>
  </si>
  <si>
    <t xml:space="preserve">NO 23 LORONG GUGUSAN ALAM 7/41 SEKSYEN 7 BANDAR PUNCAK ALAM 42300 SELANGOR </t>
  </si>
  <si>
    <t>NVMY49024000003275</t>
  </si>
  <si>
    <t>DINIE ARISYA BINTI AYUB</t>
  </si>
  <si>
    <t>DROP POINT, KOLEJ TAN SRI AISHAH GHANI, UNIVERSITI PUTRA MALAYSIA, 43400, SERDANG, SELANGOR</t>
  </si>
  <si>
    <t>NVMY49024000003256</t>
  </si>
  <si>
    <t>Shahrizan Bin Sulaiman</t>
  </si>
  <si>
    <t xml:space="preserve">No. 109 GF Block 17, Jalan Petola 24/8, Seksyen 24, 40300 Shah Alam, Selangor </t>
  </si>
  <si>
    <t>NVMY49024000003214</t>
  </si>
  <si>
    <t>SHAKIRIN BINTI MUSTAFA KAMARUDIN</t>
  </si>
  <si>
    <t>LOT 1488, JALAN DATO ABD SAMAD KAMPUNG KUNDUR HULU 71400 PEDAS NEGERI SEMBILAN</t>
  </si>
  <si>
    <t>NVMY49024000003282</t>
  </si>
  <si>
    <t>Helmi</t>
  </si>
  <si>
    <t>B-2-16 flat sri indah balakong 43200 cheras selangor</t>
  </si>
  <si>
    <t>NVMY49024000003189</t>
  </si>
  <si>
    <t>NOOR AZLEENA BT MOHD NOR</t>
  </si>
  <si>
    <t xml:space="preserve">NO 31 , JALAN 3/2 TAMAN SERI JAROMAS 42600 SELANGOR </t>
  </si>
  <si>
    <t>NVMY49024000003252</t>
  </si>
  <si>
    <t>ARINA</t>
  </si>
  <si>
    <t>B-28-07, J DUPION RESIDENCE NO 1 JALAN SEMBILANG TAMAN TENAGA 56000 KUALA LUMPUR</t>
  </si>
  <si>
    <t>NVMY49024000003280</t>
  </si>
  <si>
    <t>SHAMSUL BIN IDRIS</t>
  </si>
  <si>
    <t>THE KELULI WAREHOUSE ,  PLO530 JALAN KELULI 3, KAWASAN PERINDUSTRIAN PASIR GUDANG , 81700 PASIR GUDANG , JOHOR.</t>
  </si>
  <si>
    <t>NVMY49024000003327</t>
  </si>
  <si>
    <t>Sharifa Nurul Fatini binti Shariful Hadi</t>
  </si>
  <si>
    <t xml:space="preserve">830-B Kampung Sungai Rengas, 20050 Kuala Terengganu </t>
  </si>
  <si>
    <t>NVMY49024000003338</t>
  </si>
  <si>
    <t>Nursyahirah binti Amir</t>
  </si>
  <si>
    <t>KLINIK MASJID TANAH SU 872, Jalan Bandar Baru 2, Pusat Perniagaan Bandar Baru, 78300 Masjid Tanah, Melaka.</t>
  </si>
  <si>
    <t>NVMY49024000003307</t>
  </si>
  <si>
    <t>AQIL</t>
  </si>
  <si>
    <t>No. 38, Jalan Springhill 6/2 Residence 6, Bandar Springhill, 71010, Port Dickson</t>
  </si>
  <si>
    <t>NVMY49024000003272</t>
  </si>
  <si>
    <t>SYAZA SAHIRA ZAHARI</t>
  </si>
  <si>
    <t>LOT 3143, TAMAN SRI KUIN, 18500 MACHANG, KELANTAN</t>
  </si>
  <si>
    <t>NVMY49024000003345</t>
  </si>
  <si>
    <t>Azizah</t>
  </si>
  <si>
    <t>NO 6-1-9 JALAN MANTAP  25/126, TAMAN SERI LEMBAYUNG SEKSYEN 25,40400 SHAH ALAM,SELANGOR</t>
  </si>
  <si>
    <t>NVMY49024000003336</t>
  </si>
  <si>
    <t>Nabila Abas</t>
  </si>
  <si>
    <t>1498, Jalan Garuda 1 Taman Garuda Gangsa 76100 Durian Tunggal Melaka</t>
  </si>
  <si>
    <t>NVMY49024000003265</t>
  </si>
  <si>
    <t>NOORHAFIZAH BINTI ADNAN</t>
  </si>
  <si>
    <t xml:space="preserve">LOT 661 KG GONG TENGAH , MERANG 21010 SETIU TERENGGANU </t>
  </si>
  <si>
    <t>NVMY49024000003305</t>
  </si>
  <si>
    <t>NVMY49024000003255</t>
  </si>
  <si>
    <t>SUZANA BT ISMAIL</t>
  </si>
  <si>
    <t xml:space="preserve">NO 68 JALAN 2/5 TAMAN INTAN PERDANA , 71050 PORT DICKSON </t>
  </si>
  <si>
    <t>NVMY49024000003253</t>
  </si>
  <si>
    <t>STYLICLOTH.CO</t>
  </si>
  <si>
    <t>NO.BB34-1, JALAN VISTA BELIMBING 1, TAMAN VISTA BELIMBING, 76100 DURIAN TUNGGAL, MELAKA</t>
  </si>
  <si>
    <t>NVMY49024000003308</t>
  </si>
  <si>
    <t>Abdullah bin Yaacob</t>
  </si>
  <si>
    <t>No  05  blok 04 felda ciku 06.18300,gua musang kelantan</t>
  </si>
  <si>
    <t>NVMY49024000003276</t>
  </si>
  <si>
    <t>HANIZAL BIN HAMZAH (MAN KLATE)</t>
  </si>
  <si>
    <t xml:space="preserve">LOT 5231 JALAN CEMPEDAK KAMPUNG BUKIT KERAYONG 2 42200 KAPAR SELANGOR </t>
  </si>
  <si>
    <t>NVMY49024000003262</t>
  </si>
  <si>
    <t>AINAA MARDHIAH MOHD RIFAIE</t>
  </si>
  <si>
    <t xml:space="preserve">NO 6 JALAN SW 9A TAMAN SUTERA WANGI BATU BERENDAN 75350 MELAKA </t>
  </si>
  <si>
    <t>NVMY49024000003304</t>
  </si>
  <si>
    <t>Nazia Atiqah</t>
  </si>
  <si>
    <t xml:space="preserve">Lot 120 kg kelaboran  16200 tumpat kelantan </t>
  </si>
  <si>
    <t>A1-WKB-1-6</t>
  </si>
  <si>
    <t>NVMY49024000003320</t>
  </si>
  <si>
    <t>Nur nabilah raudhah bt roslan</t>
  </si>
  <si>
    <t xml:space="preserve"> N0.16 Jalan seri sementa 6, taman seri sementa,42100 klang,selangor </t>
  </si>
  <si>
    <t>NVMY49024000003258</t>
  </si>
  <si>
    <t>HANA BT HASSAN</t>
  </si>
  <si>
    <t xml:space="preserve">NO 49 JALAN MELATI INDAH SATU , TAMAN MELATI INDAH 02400 RESERI PERLIS </t>
  </si>
  <si>
    <t>NVMY49024000003267</t>
  </si>
  <si>
    <t>AIDA BINTI MOHAMAD SUIB</t>
  </si>
  <si>
    <t xml:space="preserve">NO 57 PERSIARAN PUNCAK ISKANDAR 2C / 3 PUNCAK ISKANDAR 32610 SERI ISKANDAR PERAK </t>
  </si>
  <si>
    <t>NVMY49024000003290</t>
  </si>
  <si>
    <t>NURUL HAFIZATI RAZALI</t>
  </si>
  <si>
    <t>SEKOLAH KEBANGSAAN GELUGOR 20050 KUALA TERENGGANU, TERENGGANU</t>
  </si>
  <si>
    <t>NVMY49024000003281</t>
  </si>
  <si>
    <t>MOHD AZARUDDIN BIN MOHD AZAN</t>
  </si>
  <si>
    <t>NO. 8, LORONG PANDAN DAMAI 1/34,PERKAMPUNGAN PANDAN DAMAI 1, 25150 KUANTAN, PAHANG.</t>
  </si>
  <si>
    <t>NVMY49024000003285</t>
  </si>
  <si>
    <t>NVMY49024000003310</t>
  </si>
  <si>
    <t>Norazira binti mohd zan</t>
  </si>
  <si>
    <t>SPX services point farmasi ultra medic seksyen 20-6, jalan singa D 20/D, seksyen 20, 40300 shah alam, Selangor, Petaling, Selangor.</t>
  </si>
  <si>
    <t>NVMY49024000003284</t>
  </si>
  <si>
    <t>Mohamad fahmi</t>
  </si>
  <si>
    <t>No 6 felda chiku 01, 18300 gua musang Kelantan.</t>
  </si>
  <si>
    <t>NVMY49024000003271</t>
  </si>
  <si>
    <t>ROSLINDA NALI</t>
  </si>
  <si>
    <t>NO.41 JALAN AU5C/14 TAMAN LEMBAH KERAMAT  54200  KUALA LUMPUR</t>
  </si>
  <si>
    <t>NVMY49024000003244</t>
  </si>
  <si>
    <t>SITI NURUL AIN BINTI SHAFII</t>
  </si>
  <si>
    <t>ADS CORNER'S, NO 44 JALAN KEBUN TEH 1, PUSAT PERDAGANGAN KEBUN TEH, 80250 JOHOR BAHRU, JOHOR (SEBELAH 7ELEVEN)</t>
  </si>
  <si>
    <t>NVMY49024000003323</t>
  </si>
  <si>
    <t>nurul aishah bt daud</t>
  </si>
  <si>
    <t>412 jalan penarik kampung buluh hilir 22100 setiu terengganu</t>
  </si>
  <si>
    <t>NVMY49024000003331</t>
  </si>
  <si>
    <t>NVMY49024000003259</t>
  </si>
  <si>
    <t>RAMLAH BINTI ENDUT</t>
  </si>
  <si>
    <t xml:space="preserve">LOT 3123 , KAMPUNG KEBOR BESAR , MANIR KUALA TERENGGANU , TERENGGANU </t>
  </si>
  <si>
    <t>NVMY49024000003270</t>
  </si>
  <si>
    <t>HAFIDZA MOHD YUSOF</t>
  </si>
  <si>
    <t xml:space="preserve">2289 JALAN KEMBOJA 36/3 BANDAR INDAHPURA , 81000 KULAI JOHOR </t>
  </si>
  <si>
    <t>NVMY49024000003341</t>
  </si>
  <si>
    <t>saiyyidah annurdini binti muhammad jasri</t>
  </si>
  <si>
    <t>B6 FLAT BULUH KUBU, 15300 KOTA BHARU, KELANTAN</t>
  </si>
  <si>
    <t>NVMY49024000003328</t>
  </si>
  <si>
    <t>FARRAH FARIHIM</t>
  </si>
  <si>
    <t>LOT 1834, JALAN HAJI JUSOH, KG PUSU TINGGI, 22000 JERTEH, TERENGGANU</t>
  </si>
  <si>
    <t>NVMY49024000003278</t>
  </si>
  <si>
    <t>Mohd Hafiszul</t>
  </si>
  <si>
    <t>F-03-07 Blok F, Flat Barli, Jalan Barli, Bandar Baru Uda, 81200 Johor Bahru, Johor</t>
  </si>
  <si>
    <t>NVMY49024000003269</t>
  </si>
  <si>
    <t>HIDAYAH SAMSUL</t>
  </si>
  <si>
    <t xml:space="preserve">NO 34 RU 3 TAMAN REMBAU UTAMA 71300 REMBAU NEGERI SEMBILAN </t>
  </si>
  <si>
    <t>NVMY49024000003277</t>
  </si>
  <si>
    <t>No70 Felda pasak 81900 kota tinggi Johor.</t>
  </si>
  <si>
    <t>NVMY49024000003332</t>
  </si>
  <si>
    <t>shafiyah shuhaimi</t>
  </si>
  <si>
    <t>16-B2(SOUTH TOWER), VISTANA RESIDENCES, 32, JALAN TAIPING OFF, JALAN PAHANG, W.P. Kuala Lumpur, 50400, W.P. Kuala Lumpur</t>
  </si>
  <si>
    <t>NVMY49024000003261</t>
  </si>
  <si>
    <t>IKIN</t>
  </si>
  <si>
    <t>NO 22 JALAN SUBANG 5 TAMAN KOBENA 81200 JOHOR BAHRU, JOHOR</t>
  </si>
  <si>
    <t>NVMY49024000003324</t>
  </si>
  <si>
    <t>Asmida Zakaria</t>
  </si>
  <si>
    <t>Blok 25 No 6 Tingkat 2 Seksyen 28 Off Jalan Salak Tinggi 28/24 Taman Alam Megah Shah Alam 40400 Selangor</t>
  </si>
  <si>
    <t>NVMY49024000003344</t>
  </si>
  <si>
    <t>Fatin AA22127</t>
  </si>
  <si>
    <t>Kolej Kediaman 1, Universiti Malaysia Pahang, Lebuhraya Tun Razak, 26300, Kuantan, Pahang</t>
  </si>
  <si>
    <t>NVMY49024000003202</t>
  </si>
  <si>
    <t>AINA MARDHIYAH BINTI KHAMIS</t>
  </si>
  <si>
    <t>D 03-04 FLAT SRI LANANG, JALAN HARMONIUM, TAMAN DESA TEBRAU, 81100 JOHOR BAHRU</t>
  </si>
  <si>
    <t>NVMY49024000003268</t>
  </si>
  <si>
    <t>NOORHAFIZAH BINTI HASHIM</t>
  </si>
  <si>
    <t xml:space="preserve">NO 774 LORONG SK K21/2 VISION HOMES SEREMBAN 2 , 70300 SEREMBAN NEGERI SEMBILAN </t>
  </si>
  <si>
    <t>NVMY49024000003346</t>
  </si>
  <si>
    <t>Nurain Binti Arisman Susanto</t>
  </si>
  <si>
    <t>No 17, Jalan Aruna 5 , Taman M Aruna 48020 Rawang Selangor</t>
  </si>
  <si>
    <t>NVMY49024000003288</t>
  </si>
  <si>
    <t>ROZIAH BT ZULKIPLIEE</t>
  </si>
  <si>
    <t>PANGSAPURI MERANTI M3-05-181 JALAN PERDAGANGAN TAMAN UNIVERSITI JOHOR BAHRU 81300 JOHOR</t>
  </si>
  <si>
    <t>NVMY49024000003318</t>
  </si>
  <si>
    <t>NVMY49024000003264</t>
  </si>
  <si>
    <t>NORHAYATI BT ZAKARIA</t>
  </si>
  <si>
    <t xml:space="preserve">SEKOLAH KEBANGSAAN RELAU 14200 SG JAWI SEBERANG PERAI SELATAN </t>
  </si>
  <si>
    <t>NVMY49024000003251</t>
  </si>
  <si>
    <t>KAK RUSLINA BINTI YAACOB</t>
  </si>
  <si>
    <t>PT 270 DB/4 DESA BARU MULONG 16010 KOTA BHARU KELANTAN</t>
  </si>
  <si>
    <t>A1-KET-1-7</t>
  </si>
  <si>
    <t>NVMY49024000003287</t>
  </si>
  <si>
    <t>NVMY49024000003097</t>
  </si>
  <si>
    <t>Asma</t>
  </si>
  <si>
    <t>KWSP Sg Petani Tkt. Bawah, Wisma Keladi Jln Bank 08000 Sungai Petani Kedah</t>
  </si>
  <si>
    <t>RECOVERY - KV</t>
  </si>
  <si>
    <t>NVMY49024000003178</t>
  </si>
  <si>
    <t>RUHANI JUSOF</t>
  </si>
  <si>
    <t xml:space="preserve">NO 67 , JALAN IBRAHIM 08000 SG PETANI KEDAH </t>
  </si>
  <si>
    <t>NVMY49024000003378</t>
  </si>
  <si>
    <t>NURUL IFFAH</t>
  </si>
  <si>
    <t>NO. 5 SS12/3A SUBANG JAYA, DAMANSARA 47500 PETALING SELANGOR</t>
  </si>
  <si>
    <t>D3-SUN-13-135</t>
  </si>
  <si>
    <t>NVMY49024000003342</t>
  </si>
  <si>
    <t>NUR NAZATUL NABILA BINTI MOHD GAZALI</t>
  </si>
  <si>
    <t>NO.1-17,JALAN MURNI 1,TAMAN TEMIANG MURNI 84000 MUAR , JOHOR</t>
  </si>
  <si>
    <t>NVMY49024000003263</t>
  </si>
  <si>
    <t>NOR AZIMAH BINTI AZIZ</t>
  </si>
  <si>
    <t xml:space="preserve">BLOK A3-GF-11 PANGSAPURI SAMUDERA 1 32040 SERI MANJUNG PERAK </t>
  </si>
  <si>
    <t>NVMY49024000003296</t>
  </si>
  <si>
    <t>NVMY49024000003401</t>
  </si>
  <si>
    <t>ANIDARIAH BINTI ISMAIL</t>
  </si>
  <si>
    <t>NO 12 TAMAN DESA DAMAI KAMPUNG PAK KATAK 21200 KUALA NERUS TERENGGANU</t>
  </si>
  <si>
    <t>NVMY49024000003354</t>
  </si>
  <si>
    <t>NORZILAWATI BT MAT JUSOH</t>
  </si>
  <si>
    <t>LOT 1155 JALAN SEK RENDAH BALAI BESAR, 23000 DUNGUN TERENGGANU</t>
  </si>
  <si>
    <t>NVMY49024000003301</t>
  </si>
  <si>
    <t>FIZA</t>
  </si>
  <si>
    <t>NO 30, JALAN SERI AUSTIN 3/27, TAMAN SERI AUSTIN 81100 JOHOR BAHRU, JOHOR</t>
  </si>
  <si>
    <t>NVMY49024000003406</t>
  </si>
  <si>
    <t>ZALINA BINTI MOHAMMAD</t>
  </si>
  <si>
    <t>UNIT HAEMODIALISIS HOSPITAL TANAH MERAH 17500 TANAH MERAH KELANTAN</t>
  </si>
  <si>
    <t>NVMY49024000003410</t>
  </si>
  <si>
    <t>MAIZATUL IZWANI BT SAMAT</t>
  </si>
  <si>
    <t>LOT 3035 KG BARU, BECHAH LAUT 17500 TANAH MERAH, KELANTAN</t>
  </si>
  <si>
    <t>NVMY49024000003362</t>
  </si>
  <si>
    <t>Haranee A/P Raghaven</t>
  </si>
  <si>
    <t>The Wharf Residence, Unit 18-24-06, Jalan Taman Tasik Prima, Taman Tasik Prima, 47150 Puchong, Selangor</t>
  </si>
  <si>
    <t>NVMY49024000003274</t>
  </si>
  <si>
    <t>LAILATUL ZAFIRAH</t>
  </si>
  <si>
    <t>NO 310 KUATERS GURU SMKA 35800 SLIM RIVER PERAK</t>
  </si>
  <si>
    <t>NVMY49024000003303</t>
  </si>
  <si>
    <t>NVMY49024000003302</t>
  </si>
  <si>
    <t>NVMY49024000003306</t>
  </si>
  <si>
    <t>UST HAMDAN</t>
  </si>
  <si>
    <t>Markas Staf Stesen Pulau Pinang (MSSPP), Kem Batu Ferringghi, 11100 Batu Ferringghi, Pulau Pinang</t>
  </si>
  <si>
    <t>NVMY49024000003325</t>
  </si>
  <si>
    <t>ummi hani binti abd rahman</t>
  </si>
  <si>
    <t>kampung bukit iboi 09200 kupang kedah</t>
  </si>
  <si>
    <t>NVMY49024000003353</t>
  </si>
  <si>
    <t>NORAINI MUSTAFFAR</t>
  </si>
  <si>
    <t>SK PAUH SEMBILAN 16350BACHOK KELANTAN</t>
  </si>
  <si>
    <t>NVMY49024000003313</t>
  </si>
  <si>
    <t>Mohd Sohaimi Bin</t>
  </si>
  <si>
    <t>No.546, Jalan Pelangi 24, Taman Pelangi, 84900 Tangkak, JohoR</t>
  </si>
  <si>
    <t>NVMY49024000003299</t>
  </si>
  <si>
    <t>NIRHIDAWATI ALBAKRI</t>
  </si>
  <si>
    <t>1-2 TINGKAT 1 BLOCK B PANGSAPURI SERI MEWAH 3, TAMAN SERI MEWAH 43000 KAJANG, SELANGOR</t>
  </si>
  <si>
    <t>NVMY49024000003309</t>
  </si>
  <si>
    <t>Mohd Ariffin bin Abdul Rahim (Bengkel kereta)</t>
  </si>
  <si>
    <t>Lot 6143, Jalan Bangi, Kampung Teras Jernang, 43650 Bandar Baru Bangi, Selangor</t>
  </si>
  <si>
    <t>NVMY49024000003158</t>
  </si>
  <si>
    <t>HAJAR ZAWANI</t>
  </si>
  <si>
    <t>(kedai tudung) SN AD54,274-1 jalan utama ,econsave senai ,Taman Bintang utama 81400 senai Johor</t>
  </si>
  <si>
    <t>NVMY49024000003380</t>
  </si>
  <si>
    <t>Nor Ashikin bt Mohd Yassin</t>
  </si>
  <si>
    <t>No 1 kg masjid 28050 kuala krau temerloh phg</t>
  </si>
  <si>
    <t>NVMY49024000003334</t>
  </si>
  <si>
    <t>NURHANIS SYAFIKA BT HASHIM</t>
  </si>
  <si>
    <t>NO 22-12 PLAZA RAH,111 JALAN RAJA ABDULLAH KAMPUNG BARU,50300 KUALA LUMPUR</t>
  </si>
  <si>
    <t>NVMY49024000003369</t>
  </si>
  <si>
    <t>nur izzati liyana</t>
  </si>
  <si>
    <t>no 194 lorong kenanga kampung bukit diman 21800 ajil terengganu</t>
  </si>
  <si>
    <t>NVMY49024000003319</t>
  </si>
  <si>
    <t>Fatin Farisa Binti Nursyahri Faizal</t>
  </si>
  <si>
    <t>Lot 13873,persiaran bayu 21,desar seri bayu, 32600 , bota, perak</t>
  </si>
  <si>
    <t>NVMY49024000003376</t>
  </si>
  <si>
    <t>Shariah Mohamed Nawi</t>
  </si>
  <si>
    <t>Lot 773 Kg Padang Terang, Bunut Susu, 17020 Pasir Mas kelantan</t>
  </si>
  <si>
    <t>NVMY49024000003418</t>
  </si>
  <si>
    <t>Wan Fazyatul Akmar</t>
  </si>
  <si>
    <t>11165,Kg Bechah Perahu, Manal 1,17500 Tanah Merah Kelantan</t>
  </si>
  <si>
    <t>NVMY49024000003357</t>
  </si>
  <si>
    <t>Fadzlie Salleh</t>
  </si>
  <si>
    <t>Lot 132-S3 Jalan Hj. Abd. Razak, Kg. Sg. Pinang Dalam, 41400, Klang, Selangor</t>
  </si>
  <si>
    <t>NVMY49024000003188</t>
  </si>
  <si>
    <t>aryati mci</t>
  </si>
  <si>
    <t>:westlite tampoi ,12 jalan bayu taman perindustian tampoi jaya johor bahru 81200 johor bahru ,johor malaysia</t>
  </si>
  <si>
    <t>NVMY49024000003375</t>
  </si>
  <si>
    <t>nurul husna nabila bt mohamad fauzi</t>
  </si>
  <si>
    <t>unit 1-3 alpha villa apartment, No.12, Jln 2/27A, Wangsa maju 53300, kuala lumpur.</t>
  </si>
  <si>
    <t>NVMY49024000003339</t>
  </si>
  <si>
    <t>Nur liyana</t>
  </si>
  <si>
    <t>BLOK B-08-23A, MASRECA 19, PERSIARAN RIMBA PERMAI, CYBER 10, 63200 CYBERJAYA, SELANGOR.</t>
  </si>
  <si>
    <t>NVMY49024000003322</t>
  </si>
  <si>
    <t>Mimi syakirah</t>
  </si>
  <si>
    <t>PETRONAS SUNGAI RANGGAM  LOT 810 kg sg ranggam , mukim kota setia , 36800 kampung gajah , perak</t>
  </si>
  <si>
    <t>B3-HML-6-53</t>
  </si>
  <si>
    <t>NVMY49024000003337</t>
  </si>
  <si>
    <t>Norashikin Binti Hamidon</t>
  </si>
  <si>
    <t>No. B112 Jalan Cempaka Felda Ulu Tebrau, 81810 Ulu Tiram, Johor</t>
  </si>
  <si>
    <t>NVMY49024000003405</t>
  </si>
  <si>
    <t>Nor Fadlina Bt Mohd Salim</t>
  </si>
  <si>
    <t>Lot 10591 KG Bukit Rang Pulau Tawar 27050 Jerantut  Pahang</t>
  </si>
  <si>
    <t>B1-JER-4-33</t>
  </si>
  <si>
    <t>NVMY49024000003408</t>
  </si>
  <si>
    <t>HALIMATUS SAADIAH BINTI ZAINAL</t>
  </si>
  <si>
    <t>NO 2 BELAKANG MEDAN SELERA ADIKKU KAMPUNG SUNGAI RAMAL DALAM 43600 KAJANG SELANGOR</t>
  </si>
  <si>
    <t>NVMY49024000003403</t>
  </si>
  <si>
    <t>SURYA INTAN BINTI IBRAHIM</t>
  </si>
  <si>
    <t>LOT 996-D KAMPUNG LEMAL 17000 PASIR MAS KELANTAN</t>
  </si>
  <si>
    <t>NVMY49024000003343</t>
  </si>
  <si>
    <t>Akmar</t>
  </si>
  <si>
    <t>Hostel 1.5 Hartalega NGC No.1 Persiaran Tanjung Labu 43900 Sepang Selangor</t>
  </si>
  <si>
    <t>NVMY49024000001633</t>
  </si>
  <si>
    <t>MASNIRA BINTI SALLEH</t>
  </si>
  <si>
    <t>LOT 118,KG TOK DOKANG BANGGOL, 15350 KOTA BHARU, KELANTAN</t>
  </si>
  <si>
    <t>NVMY49024000001629</t>
  </si>
  <si>
    <t>zamzulfadli</t>
  </si>
  <si>
    <t>kampung Paloh 17500 tanah merah kelantan</t>
  </si>
  <si>
    <t>NVMY49024000001694</t>
  </si>
  <si>
    <t xml:space="preserve">NO 11 BT23 1/4 KG PARIT 72000 KUALA PILAH NEGERI SEMBILAN </t>
  </si>
  <si>
    <t>NVMY49024000001688</t>
  </si>
  <si>
    <t>ERIC</t>
  </si>
  <si>
    <t>PORTABLE POWER TECHNOLOGY SDN BHD, MENARA AMCORP, LEVEL 11.05, N0.18, JLN PERSIARAN BARAT, 46050 PETALING JAYA, SELANGOR</t>
  </si>
  <si>
    <t>NVMY49024000001670</t>
  </si>
  <si>
    <t>NVMY49024000001671</t>
  </si>
  <si>
    <t>ARSLAN FAREL</t>
  </si>
  <si>
    <t>10 JALAN 2, TAMAN KOPERASI LLN, SG CHUA KAJANG, 43000 SEALNGOR</t>
  </si>
  <si>
    <t>NVMY49024000001752</t>
  </si>
  <si>
    <t>NURUL AZREEN BINTI GHUAIR</t>
  </si>
  <si>
    <t>MCBRIDE MALAYSIA SDN. BHD. NO.2, JALAN BESTARI 1/KU7, TAMAN PERINDUSTRIAN KAPAR BESTARI, 42200 KLANG, SELANGOR</t>
  </si>
  <si>
    <t>NVMY49024000001666</t>
  </si>
  <si>
    <t>WATI</t>
  </si>
  <si>
    <t>Lot 2770 -12A kampung Padang balang sentul 51100 kuala lumpur</t>
  </si>
  <si>
    <t>NVMY49024000001654</t>
  </si>
  <si>
    <t>Siti junaidah</t>
  </si>
  <si>
    <t>:petronas jalan segambut lot 9524 jalan segambut 51200 kuala lumpur</t>
  </si>
  <si>
    <t>NVMY49024000001723</t>
  </si>
  <si>
    <t>siti mariam bt Abdul halim</t>
  </si>
  <si>
    <t>No93, Jalan Sultan Abdul samad 45, Bandar Sultan Sulaiman, Klang, Selangor, 42000</t>
  </si>
  <si>
    <t>NVMY49024000001652</t>
  </si>
  <si>
    <t>Idayu Hazimi</t>
  </si>
  <si>
    <t>Restoran Tasik Raban Sdn. Bhd. Lot 3935 Jalan Ipoh Gopeng, 31300 Kampung Kepayang Batu Gajah Perak.</t>
  </si>
  <si>
    <t>B3-HLD-6-49</t>
  </si>
  <si>
    <t>NVMY49024000001746</t>
  </si>
  <si>
    <t>NVMY49024000001672</t>
  </si>
  <si>
    <t>HOSPITAL ANGKATAN TENTERA TUANKU MIZAN (JABATAN ORTHOPEDIK)</t>
  </si>
  <si>
    <t>HOSPITAL ANGKATAN TENTERA TUANKU MIZAN, SEKSYEN 2 WANGSA MAJU, 53300 KUALA LUMPUR (JABATAN ORTHOPEDIK)</t>
  </si>
  <si>
    <t>NVMY49024000001782</t>
  </si>
  <si>
    <t>Kamarudin bin Omar Khan</t>
  </si>
  <si>
    <t>No.4 Kg Sungai Mas (blkng kropok lekor cenderawasih) 18500 Machang, Kelantan.</t>
  </si>
  <si>
    <t>NVMY49024000001734</t>
  </si>
  <si>
    <t>Habibah</t>
  </si>
  <si>
    <t>No 25 Jalan Sentosa 41,Taman Bunga melor 41050 Klang Selangor</t>
  </si>
  <si>
    <t>NVMY49024000001708</t>
  </si>
  <si>
    <t>MUHAMMAD IZZUL FITRI</t>
  </si>
  <si>
    <t>KTA TENAGA SDN. BHD., D1-21, JLN PJU 1/41, DATARAN PRIMA, KELANA JAYA, 47301 PETALING JAYA, SELANGOR DARUL EHSAN</t>
  </si>
  <si>
    <t>NVMY49024000001757</t>
  </si>
  <si>
    <t>SALISIAH BT HAJI SALIH</t>
  </si>
  <si>
    <t>Kedai Agrobazaar bukit gantang lot 76 b jalan kampung kubu bukit gantang 34850 Changkat jering Taiping Perak darul Ridzuan</t>
  </si>
  <si>
    <t>NVMY49024000001660</t>
  </si>
  <si>
    <t>NOR ARINA BINTI HASSAN</t>
  </si>
  <si>
    <t>NO 17 LOT 4029A, JLN BAKRI SEKSYEN 30, 40460 SHAH ALAM SELANGOR</t>
  </si>
  <si>
    <t>NVMY49024000001779</t>
  </si>
  <si>
    <t>Lot 1831-A Baloh raja, kubang kerian 16150 kota bharu kelantan.</t>
  </si>
  <si>
    <t>NVMY49024000001695</t>
  </si>
  <si>
    <t>HAFIAH BAZILAH BT MOHAMMAD</t>
  </si>
  <si>
    <t xml:space="preserve">NO 8 JALAN MELUR 1/3 TAMAN SRI RAMAL , 43000 KAJANG SELANGOR </t>
  </si>
  <si>
    <t>NVMY49024000001749</t>
  </si>
  <si>
    <t>Zuraidah bt Soho</t>
  </si>
  <si>
    <t>No 52 jln 1/1 Taman Mawar Putih  Kg . Sg. Lang 42700 Banting Selangor</t>
  </si>
  <si>
    <t>NVMY49024000001656</t>
  </si>
  <si>
    <t>MAMA NOOR</t>
  </si>
  <si>
    <t>D47,LORONG 2,JALAN KLINIK 17500 TANAH MERAH,KELANTAN</t>
  </si>
  <si>
    <t>NVMY49024000001765</t>
  </si>
  <si>
    <t>Mohd rozi bin ismail</t>
  </si>
  <si>
    <t>Lot 8136 kg bukit peraksi 16700 semerak pasir puteh kelantan</t>
  </si>
  <si>
    <t>NVMY49024000001681</t>
  </si>
  <si>
    <t>HAFFIZI BIN KAMARUDDIN.</t>
  </si>
  <si>
    <t>BATALION KE 2 REJIMEN SEMPADAN KEM BATU MELINTANG, 17600 JELI, KELANTAN.</t>
  </si>
  <si>
    <t>NVMY49024000001639</t>
  </si>
  <si>
    <t>Nur azlina wan suhari</t>
  </si>
  <si>
    <t>Pt 7066 , taman mrsm kg paya rawa 22200 Besut tganu</t>
  </si>
  <si>
    <t>NVMY49024000001659</t>
  </si>
  <si>
    <t>ROHANA BINTI ISMAIL</t>
  </si>
  <si>
    <t>PT 265 BELAKANG SK BUNOT PAYONG 15150 KOTA BHARU KELANTAN</t>
  </si>
  <si>
    <t>NVMY49024000001819</t>
  </si>
  <si>
    <t>MOHD HAMIMI HAFIZ BIN HUSSIN</t>
  </si>
  <si>
    <t>PT 5087 PEJABAT NINJAVAN JALAN KEMPAS BANDAR UTAMA 18300 GUA MUSANG, KELANTAN.</t>
  </si>
  <si>
    <t>NVMY49024000001653</t>
  </si>
  <si>
    <t>Nor shela aida</t>
  </si>
  <si>
    <t>No 11, laluan medan pusing saujana 1,medan pusing saujana, 31550 perak.</t>
  </si>
  <si>
    <t>NVMY49024000001667</t>
  </si>
  <si>
    <t>NORAIZAH ABDUL SAMAH</t>
  </si>
  <si>
    <t>32-04-07 FLAT SRI MELAKA CHERAS 56000 KUALA LUMPUR</t>
  </si>
  <si>
    <t>NVMY49024000001755</t>
  </si>
  <si>
    <t>NVMY49024000001846</t>
  </si>
  <si>
    <t>NVMY49024000001743</t>
  </si>
  <si>
    <t>NURUL FATIHAH</t>
  </si>
  <si>
    <t>NO 23 LORONG IM 14/6 TAMAN MAHKOTA IDAMAN BANDAR INDERA MAHKOTA 25200 KUANTAN PAHANG</t>
  </si>
  <si>
    <t>NVMY49024000001753</t>
  </si>
  <si>
    <t>AHMAD BAITHI BIN MD ARIS</t>
  </si>
  <si>
    <t>AG 7382, RUMAH AWAM GADEK ALOR GAJAH 78000 MELAKA</t>
  </si>
  <si>
    <t>NVMY49024000001828</t>
  </si>
  <si>
    <t>HAMIZA BT HAMZAH</t>
  </si>
  <si>
    <t>1544 KG PENGKALAN NYIREH, 22200 BESUT, TERENGGANU</t>
  </si>
  <si>
    <t>NVMY49024000001691</t>
  </si>
  <si>
    <t>Syarafina binti Mazlan</t>
  </si>
  <si>
    <t xml:space="preserve"> No 51 Kampung Masjid Sera Mukim Pulai 09100 Baling,Kedah</t>
  </si>
  <si>
    <t>NVMY49024000001703</t>
  </si>
  <si>
    <t>Emma Damia</t>
  </si>
  <si>
    <t xml:space="preserve">No 28, Lorong Padang Permai 41, Perumahan Padang Permai, jln kuantan Sg.Lembing,25200 KuantanPahang </t>
  </si>
  <si>
    <t>NVMY49024000001763</t>
  </si>
  <si>
    <t>AZHAR BIN AHMAD SADRI</t>
  </si>
  <si>
    <t>AWIE STAINLESS STEEL, PT4159 JLN KERANJI 2, BANDAR UTAMA GUA MUSANG.  GALAS 18300, GUA MUSANG  KELANTAN</t>
  </si>
  <si>
    <t>NVMY49024000001772</t>
  </si>
  <si>
    <t>R.rassyed</t>
  </si>
  <si>
    <t>F6/909, kg. Sepakat 26800 kuala rompin, pahang</t>
  </si>
  <si>
    <t>NVMY49024000001820</t>
  </si>
  <si>
    <t>Asmawi Bin Harun</t>
  </si>
  <si>
    <t xml:space="preserve">No.21 RAKR Alor Jambu,Batu Rakit 21030 Kuala nerus terengganu </t>
  </si>
  <si>
    <t>NVMY49024000001721</t>
  </si>
  <si>
    <t>JPTRUCK</t>
  </si>
  <si>
    <t>NINJA VAN, PITAS 89100 PITAS SABAH</t>
  </si>
  <si>
    <t>NVMY49024000001818</t>
  </si>
  <si>
    <t>SUKI</t>
  </si>
  <si>
    <t xml:space="preserve">768 JALAN BATU PAHAT , 86100 AYER HITAM JOHOR </t>
  </si>
  <si>
    <t>NVMY49024000001725</t>
  </si>
  <si>
    <t>NOOR ASMALHUSNA ZAHARI</t>
  </si>
  <si>
    <t>863 KAMPUNG LOSONG HAJI MAT SHAFIE 21000 KUALA TERENGGANU</t>
  </si>
  <si>
    <t>NVMY49024000001684</t>
  </si>
  <si>
    <t>WAN MOHD ANUAR BIN WAN HUSIN.</t>
  </si>
  <si>
    <t xml:space="preserve"> : BLOK G 564 TINGKAT 3, PINTU N, RKAT KEM BATU 10, 25990 KUANTAN, PAHANG.</t>
  </si>
  <si>
    <t>NVMY49024000001742</t>
  </si>
  <si>
    <t>Nurshuhada</t>
  </si>
  <si>
    <t>1227 jalan 2/18 taman tuanku jaafar 71450 Seremban Negeri Sembilan</t>
  </si>
  <si>
    <t>NVMY49024000001847</t>
  </si>
  <si>
    <t>NVMY49024000001676</t>
  </si>
  <si>
    <t>Basyir..</t>
  </si>
  <si>
    <t>JKR 57P TINGKAT 1 PINTU A PANGKALAN UDARA, KUANTAN 25990, PAHANG.</t>
  </si>
  <si>
    <t>NVMY49024000001680</t>
  </si>
  <si>
    <t>WAN NUR ASHIKIN</t>
  </si>
  <si>
    <t>NO 2641 LORONG MERPATI DURIAN BURUNG 20050 KUALA TERENGGANU, TERENGGANU</t>
  </si>
  <si>
    <t>NVMY49024000001710</t>
  </si>
  <si>
    <t>NVMY49024000001754</t>
  </si>
  <si>
    <t>NVMY49024000001637</t>
  </si>
  <si>
    <t>NVMY49024000001718</t>
  </si>
  <si>
    <t>ROSINWATI YAACOB</t>
  </si>
  <si>
    <t>NVMY49024000001726</t>
  </si>
  <si>
    <t>HAZIQAH IZZATI</t>
  </si>
  <si>
    <t>JALAN GARONG, KAMPUNG SARANG TIONG 26820 KUALA ROMPIN PAHANG</t>
  </si>
  <si>
    <t>NVMY49024000001756</t>
  </si>
  <si>
    <t>KU ZAKIAH BT KU HAMID @ KU ISMAIL</t>
  </si>
  <si>
    <t>No 6, Jalan Behor Indah 3, Taman Behor Indah, 01000 Kangar, Perlis.</t>
  </si>
  <si>
    <t>NVMY49024000001731</t>
  </si>
  <si>
    <t>SITI NUR HIDAYAH BINTI MD ABU BAKAR</t>
  </si>
  <si>
    <t>KEDAI RUNCIT NORAIDA KG BUKIT ANAK DARA 24100 KIJAL KEMAMAN TERENGGANU</t>
  </si>
  <si>
    <t>NVMY49024000001781</t>
  </si>
  <si>
    <t>Helmi Bin Mohd Junid</t>
  </si>
  <si>
    <t>Tiang TNB No 90,  Bt 22 Kg. Kemuning Alor Gajah, 78000 Melaka</t>
  </si>
  <si>
    <t>NVMY49024000001704</t>
  </si>
  <si>
    <t>Norizah Omar</t>
  </si>
  <si>
    <t>JA 6970,Taman Muhibbah fasa 3, jln Muhibbah 16, Merlimau. 77300.Melaka.</t>
  </si>
  <si>
    <t>NVMY49024000001822</t>
  </si>
  <si>
    <t>MUHAMMAD ZHARIF BIN ZAKARIYA</t>
  </si>
  <si>
    <t>NO. 10, LORONG SRI PAUH 5, TAMAN SRI PAUH,  02600,ARAU,  PERLIS</t>
  </si>
  <si>
    <t>NVMY49024000001741</t>
  </si>
  <si>
    <t>Nurkhalida Najwa</t>
  </si>
  <si>
    <t>no. 92, persiaran Iskandar perdana 59, seksyen 7, Bandar seri Iskandar, 32610, perak</t>
  </si>
  <si>
    <t>NVMY49024000001784</t>
  </si>
  <si>
    <t>Mazlin B. Mohd Zain</t>
  </si>
  <si>
    <t>No 388 Jln Gemilang 3/3 Tmn Gemilang 32610 Bandar Seri Iskandar Perak.</t>
  </si>
  <si>
    <t>NVMY49024000001793</t>
  </si>
  <si>
    <t>NAZATUL SYAFIKA</t>
  </si>
  <si>
    <t xml:space="preserve">LOT 3672 BATU 2 1/2 PERSIARAN HAMZAH ALANG MERU 42200 KLANG </t>
  </si>
  <si>
    <t>NVMY49024000001732</t>
  </si>
  <si>
    <t>AINUL NAJIHA BINTI SAIPOL APRAZ</t>
  </si>
  <si>
    <t>228 jalan permai 1/2 taman desa permai,09600 lunas kedah</t>
  </si>
  <si>
    <t>NVMY49024000001789</t>
  </si>
  <si>
    <t>Zais Madi bin Osman</t>
  </si>
  <si>
    <t>No.55, Lorong Rendang Ixora 4 Taman Rendang Ixora 26600 PEKAN Pahang</t>
  </si>
  <si>
    <t>NVMY49024000001775</t>
  </si>
  <si>
    <t>NVMY49024000001724</t>
  </si>
  <si>
    <t>Nazatul Haziqah Bt Mohd Ridzuan</t>
  </si>
  <si>
    <t>Pt 432,block x Taman Serai Jaya, 34300 Bagan Serai, Perak.</t>
  </si>
  <si>
    <t>NVMY49024000001821</t>
  </si>
  <si>
    <t>Jamil Ahmad</t>
  </si>
  <si>
    <t>Sekolah Sukan Tunku Mahkota Ismail, Bandar Penawar,81930, Kota Tinggi, Johor.</t>
  </si>
  <si>
    <t>NVMY49024000001715</t>
  </si>
  <si>
    <t>NURLIYANA AZIZ</t>
  </si>
  <si>
    <t>SK KOMPLEKS SULTAN ABU BAKAR, JALAN BUKIT KUCING 81560 GELANG PATAH</t>
  </si>
  <si>
    <t>NVMY49024000001650</t>
  </si>
  <si>
    <t>IZHAR BIN ISMAIL</t>
  </si>
  <si>
    <t>NO 25 LALUAN PUSPA INDAH 40 TAMAN PUSPA INDAH, 31550 PUSING PERAK</t>
  </si>
  <si>
    <t>NVMY49024000001690</t>
  </si>
  <si>
    <t>AMIRAH BINTI ABDUL WAHAB</t>
  </si>
  <si>
    <t>:NO 51 D, KAMPUNG PANCHOR, 06700 PENDANG, KEDAH DARUL AMAN.</t>
  </si>
  <si>
    <t>NVMY49024000001768</t>
  </si>
  <si>
    <t>Shariman musa</t>
  </si>
  <si>
    <t>1150b 6/8 Saujana Height Jln bayan lepas Teluk Kumbar 11920.penang</t>
  </si>
  <si>
    <t>NVMY49024000001663</t>
  </si>
  <si>
    <t>ZULZANA BT ZULKARNAIN</t>
  </si>
  <si>
    <t>NO 470 JLN BUKIT SEANAWANG PERDANA 20, TMN BUKIT SENAWANG PERDANA FASA 1B, 71450 SEREMBAN NEGERI SEMBILAN</t>
  </si>
  <si>
    <t>NVMY49024000001683</t>
  </si>
  <si>
    <t>MUHAMAD HAFIZIE BIN ARIFIN</t>
  </si>
  <si>
    <t>:NO 59-B KAMPUNG PINANG MERAH 23100 PAKA TERENGGANU</t>
  </si>
  <si>
    <t>NVMY49024000001758</t>
  </si>
  <si>
    <t>NORAZLINDA SHAMSUDIN</t>
  </si>
  <si>
    <t xml:space="preserve">E-T.09-U.06 , BLOK E , SUB PRESINT 14-7 PRESINT 14 , 62050 PUTRAJAYA W.P.PUTRAJAYA </t>
  </si>
  <si>
    <t>NVMY49024000001714</t>
  </si>
  <si>
    <t>NO.BB34-1, JLN VISTA BELIMBING 1, TAMAN VISTA BELIMBING, 76100 DURIAN TUNGGAL, MELAKA</t>
  </si>
  <si>
    <t>NVMY49024000001790</t>
  </si>
  <si>
    <t>Nadiah Mohd Safian</t>
  </si>
  <si>
    <t>No 203 Jalan Mati Perumahan Felda Ciku 2,  18300 Gua Musang, Kelantan</t>
  </si>
  <si>
    <t>NVMY49024000001766</t>
  </si>
  <si>
    <t>Fendy</t>
  </si>
  <si>
    <t>No 546b blok L4 jalan tenggiri 13700 seberang jaya pulau pinang</t>
  </si>
  <si>
    <t>NVMY49024000001751</t>
  </si>
  <si>
    <t>NO BB34-1 JALAN VISTA BELIMBING 1, TAMAN VISTA BELIMBING 76100 DURIAN TUNGGAL, MELAKA</t>
  </si>
  <si>
    <t>NVMY49024000001778</t>
  </si>
  <si>
    <t>NVMY49024000001668</t>
  </si>
  <si>
    <t>NATASHA</t>
  </si>
  <si>
    <t xml:space="preserve">NO 21 BATU 27 KAMPUNG JENDERAM HULU 43800 DENGKIL SEPANG SELANGOR </t>
  </si>
  <si>
    <t>NVMY49024000001792</t>
  </si>
  <si>
    <t>NUR AMIRAH</t>
  </si>
  <si>
    <t xml:space="preserve"> LK5-2-13 STARZ VALLEY SOHO JALAN BBN 12/1 . 71800 BANDAR BARU NILAI</t>
  </si>
  <si>
    <t>NVMY49024000001697</t>
  </si>
  <si>
    <t>Nurkhairun Nisa Binti Mohammad Nazri</t>
  </si>
  <si>
    <t>No.496, Jalan Seri Impian 3/11, Taman Seri Impian, 86000 Kluang, Johor.</t>
  </si>
  <si>
    <t>NVMY49024000001837</t>
  </si>
  <si>
    <t>Mohd Saharuddin bin Idris  PT 10633 ,Jalan Kenanga Sura Jetty, 23000 Dungun , Terengganu.</t>
  </si>
  <si>
    <t>NVMY49024000001750</t>
  </si>
  <si>
    <t>AIMAN</t>
  </si>
  <si>
    <t>Kg Tepi Sungai Tendong Belakang Bengkel kereta, 17030 pasir mas Kelantan</t>
  </si>
  <si>
    <t>NVMY49024000001831</t>
  </si>
  <si>
    <t>MOHAMAD BIN SULAIMAN</t>
  </si>
  <si>
    <t>PEJABAT KESIHATAN DAERAH BERA NO 15 JALAN SENTRAL TRIANG 6, 28200 BANDAR BERA PAHANG</t>
  </si>
  <si>
    <t>NVMY49024000001735</t>
  </si>
  <si>
    <t xml:space="preserve">No 13 jalan sri kluang 19/4 taman sri kluang </t>
  </si>
  <si>
    <t>NVMY49024000001785</t>
  </si>
  <si>
    <t>Md akhir bin Mansor</t>
  </si>
  <si>
    <t>F99 kg baru sg Pasir  08000 sg petani kedah</t>
  </si>
  <si>
    <t>NVMY49024000001788</t>
  </si>
  <si>
    <t>Hazrul Hamzah</t>
  </si>
  <si>
    <t>:No 6 Jln 4A/12 Desa Pinggiran Putra Sungai Merab, 43000 Kajang, Selangor</t>
  </si>
  <si>
    <t>NVMY49024000001733</t>
  </si>
  <si>
    <t>Marziah Ramli</t>
  </si>
  <si>
    <t>Maybank Gemas, No 4&amp;5 jalan Tampin, 73400 Gemas Negeri Sembilan</t>
  </si>
  <si>
    <t>NVMY49024000001776</t>
  </si>
  <si>
    <t>Abdul Aljendral</t>
  </si>
  <si>
    <t>A2-3-31 JALAN PERMAI 1/4, TAMAN PUCHONG PERMAI,47150 PUCHONG, SELANGOR DARUL EHSAN.</t>
  </si>
  <si>
    <t>NVMY49024000001712</t>
  </si>
  <si>
    <t>BYGADISGADIS</t>
  </si>
  <si>
    <t>NO. 1-08, PLAZA BANGI PERDANA, JLN GERBANG WAWASAN 1, SEKSYEN 15, 43650 BANDAR BARU BANGI, SELANGOR</t>
  </si>
  <si>
    <t>NVMY49024000001700</t>
  </si>
  <si>
    <t>Suziana Binti Mohd Diah</t>
  </si>
  <si>
    <t>54,JALAN BESTARI 42/2, TAMAN BESTARI INDAH 1, 81800 ULU TIRAM JOHOR.</t>
  </si>
  <si>
    <t>NVMY49024000001767</t>
  </si>
  <si>
    <t>ahmaddi othman</t>
  </si>
  <si>
    <t>kolam pancing ulu dong, kg peruas ulu dong, 27600 raub pahang</t>
  </si>
  <si>
    <t>NVMY49024000001740</t>
  </si>
  <si>
    <t>NOR AINI BINTI HASHIM</t>
  </si>
  <si>
    <t>No. 23 Jalan Di 20 Taman Desa Idaman 3, 76100 Durian Tunggal, Melaka.</t>
  </si>
  <si>
    <t>NVMY49024000001771</t>
  </si>
  <si>
    <t>Sahlan bin Idris</t>
  </si>
  <si>
    <t>66 Jalan J Felda Sungai Behrang  35820 Slim River, Perak.</t>
  </si>
  <si>
    <t>NVMY49024000001686</t>
  </si>
  <si>
    <t>MUHAMMAD SYAFIQ BIN ISHAK</t>
  </si>
  <si>
    <t xml:space="preserve">NO 59 JALAN SUMAZAU 4A/KU5 , 41050 BANDAR BUKIT RAJA KLANG SELANGOR </t>
  </si>
  <si>
    <t>NVMY49024000001747</t>
  </si>
  <si>
    <t>Nurul Aimi Nabila bt azman</t>
  </si>
  <si>
    <t>no 4 kg paya gunung jalan paya gunung 2 , 27000 jerantut pahang</t>
  </si>
  <si>
    <t>NVMY49024000001764</t>
  </si>
  <si>
    <t>Roslan bin Nordin</t>
  </si>
  <si>
    <t>80 Jalan Desa Aman 9,Taman Desa Aman 56100 Cheras Kuala Lumpur</t>
  </si>
  <si>
    <t>NVMY49024000001678</t>
  </si>
  <si>
    <t>FAREEZ DANIEL</t>
  </si>
  <si>
    <t>44 LORONG HAJI TAIB KAMPUNG SAKAN JALAN DATUK KUMBAR 05300 ALOR SETAR</t>
  </si>
  <si>
    <t>NVMY49024000001655</t>
  </si>
  <si>
    <t>Yanie rosdi</t>
  </si>
  <si>
    <t xml:space="preserve">Yanie rosdi No 773 lorong seri bayu 17  Taman Seri Bayu, Sg Lalang  08000 Sg Petani Kedah </t>
  </si>
  <si>
    <t>NVMY49024000001729</t>
  </si>
  <si>
    <t>MOHAMAD KHUZAIRI BIN MOHAMAD</t>
  </si>
  <si>
    <t>KAMPUNG PERMATANG TEPUNG MERCHONG 26680 PEKAN PAHANG</t>
  </si>
  <si>
    <t>NVMY49024000001826</t>
  </si>
  <si>
    <t>WAN</t>
  </si>
  <si>
    <t>NO 1113 JALAN MAWAR 6, TAMAN PERMINT JAYA CHENDERING 21080, CENERING KUALA TERENGGANU</t>
  </si>
  <si>
    <t>NVMY49024000001698</t>
  </si>
  <si>
    <t>SITI FARAZILA DRAHMAN</t>
  </si>
  <si>
    <t>BLOK AA2,PERUMAHAN JPN,KG KUBANG PANJANG,17000 PASIR MAS</t>
  </si>
  <si>
    <t>NVMY49024000001682</t>
  </si>
  <si>
    <t>MOKHTAR</t>
  </si>
  <si>
    <t xml:space="preserve">NO 10 RKT KESEDAR CHALIL 18300  GUA MUSANG KELANTAN </t>
  </si>
  <si>
    <t>NVMY49024000001701</t>
  </si>
  <si>
    <t>NOR IZWANI BINTI MAHMUD</t>
  </si>
  <si>
    <t>NO. 198, JALAN BESTARI 4,  TAMAN BESTARI, 09000 KULIM, KEDAH.</t>
  </si>
  <si>
    <t>NVMY49024000001783</t>
  </si>
  <si>
    <t>Rizal bin Sidek</t>
  </si>
  <si>
    <t xml:space="preserve">LGC resources sdn bhd, lot 1639, persiaran raja Lumu , 42000 perlabuhan Klang, Selangor </t>
  </si>
  <si>
    <t>NVMY49024000001825</t>
  </si>
  <si>
    <t>Azmi</t>
  </si>
  <si>
    <t xml:space="preserve">Pejabat veterinar sipang 3 jln pulai 18300 gua musang Kelantan </t>
  </si>
  <si>
    <t>NVMY49024000001736</t>
  </si>
  <si>
    <t>NUR AINA KAMILIA BINTI MOHD SHAHRIL</t>
  </si>
  <si>
    <t>Koperasi UiTM Melaka Kampus Alor Gajah Km 26 Jalan Lendu, 78000 Alor Gajah, Melaka</t>
  </si>
  <si>
    <t>NVMY49024000001823</t>
  </si>
  <si>
    <t>WAN IQMAL HAKIMI</t>
  </si>
  <si>
    <t>( NOR SUTERA ) pt lot 108 , Tingkat bawah , Jalan parit dalam , Seksyen 8 , 15000 Kota bharu kelantan</t>
  </si>
  <si>
    <t>NVMY49024000001796</t>
  </si>
  <si>
    <t>Siti Noor Aisyah Binti Othman</t>
  </si>
  <si>
    <t>2600 Jalan Mahsuri 9/G Taman Mahsuri 09400 Padang Serai, Kedah</t>
  </si>
  <si>
    <t>NVMY49024000001769</t>
  </si>
  <si>
    <t>Hamizam Bin Md Isa</t>
  </si>
  <si>
    <t>Lot 6251 Bt35.5  Kg Boundry Bukit Changgang 42700 Banting Selangor</t>
  </si>
  <si>
    <t>NVMY49024000001795</t>
  </si>
  <si>
    <t>Noor Aznabila Binti Mohd Rasul</t>
  </si>
  <si>
    <t>NO25/85 LADANG PELAM MALAU 09020 KULIM KEDAH DARUL AMAN</t>
  </si>
  <si>
    <t>NVMY49024000001780</t>
  </si>
  <si>
    <t>Abdul Halim bin Hamid</t>
  </si>
  <si>
    <t>No5 lorong 21 taman puteri gunung 14120 simpang ampat seberang perai selatan</t>
  </si>
  <si>
    <t>NVMY49024000001770</t>
  </si>
  <si>
    <t>Muhammad irwan</t>
  </si>
  <si>
    <t>No 8,jalan selasih u12/26a taman cahaya alam,seksyen u12,40170 shah alam,selangor</t>
  </si>
  <si>
    <t>NVMY49024000001849</t>
  </si>
  <si>
    <t>FARHANA FYREN</t>
  </si>
  <si>
    <t xml:space="preserve">PELANGI UTAMA CINDOMINIUM BLOK D-9-8 , BLOK DEF , JALAN MASJID , PETALING JAYA 47800 SELANGOR </t>
  </si>
  <si>
    <t>D2-ARA-14-112</t>
  </si>
  <si>
    <t>NVMY49024000001745</t>
  </si>
  <si>
    <t>Nurul Nabisyah binti Zainol</t>
  </si>
  <si>
    <t>No 12 Perumahan Awam Guar Chempedak ,08800 Gurun Kedah</t>
  </si>
  <si>
    <t>NVMY49024000001707</t>
  </si>
  <si>
    <t>Aidil bin AbasSs</t>
  </si>
  <si>
    <t>No.2 Rumah Koperasi, Lorong D-Mart,  Kampung Sungai Buaya,  48010 Rawang, Selangor, Malaysia</t>
  </si>
  <si>
    <t>NVMY49024000001730</t>
  </si>
  <si>
    <t>iesha</t>
  </si>
  <si>
    <t>98 A-1 BATU 8 1/2, JALAN BUKIT PINANG, 06200, ALOR SETAR, KEDAH</t>
  </si>
  <si>
    <t>NVMY49024000001713</t>
  </si>
  <si>
    <t>NOR AZILA MOHD SALLEH</t>
  </si>
  <si>
    <t>SUN SYSTEM ENGINEERING S/B, LOT 526, JLN RANTAU PANJANG 42500 TELOK PANGLIMA GARANG, SELANGOR</t>
  </si>
  <si>
    <t>NVMY49024000001810</t>
  </si>
  <si>
    <t>NALZAR HAKIM BIN MOHD RAZLAN (1227523)</t>
  </si>
  <si>
    <t>SJN AZLIZAN, PM : NALZAR HAKIM BIN MOHD RAZLAN (1227523), NO PLATUN 15, KOMPENI DELTA, PUSAT LATIHAN ASAS TENTERA DARAT 71050 PORT DICKSON NEGERI SEMBILAN</t>
  </si>
  <si>
    <t>NVMY49024000001664</t>
  </si>
  <si>
    <t>ZULKAMA'AZURA BT ZULKARNAIN</t>
  </si>
  <si>
    <t>RUMAH PENGASUH AMANJAYA, LORONG GOP CHANGKAT GOLF, JLN BESAR GOPENG 31600 GOPENG PERAK</t>
  </si>
  <si>
    <t>NVMY49024000001760</t>
  </si>
  <si>
    <t>Sunisah</t>
  </si>
  <si>
    <t>lot 23f jalan kelang lama kampung pasir baru poskod 58200 petaling kuala lumpur</t>
  </si>
  <si>
    <t>D4-DSA-12-142</t>
  </si>
  <si>
    <t>NVMY49024000001662</t>
  </si>
  <si>
    <t>EEMYLIA BT AZIZ</t>
  </si>
  <si>
    <t>NO 7 ARAS 2, FLAT  B SRI KENANGA 81930 BANDAR PENAWAR JOHOR</t>
  </si>
  <si>
    <t>NVMY49024000001798</t>
  </si>
  <si>
    <t>nurul syafiqah binti zakaria</t>
  </si>
  <si>
    <t>13-33A, Tangerine Suite, Persiaran Sansuria, Bandar Sunsuria, 43900 Sepang Selangor</t>
  </si>
  <si>
    <t>NVMY49024000001706</t>
  </si>
  <si>
    <t>ASMIZAN</t>
  </si>
  <si>
    <t xml:space="preserve">NO 3103 , JALAN LAGENDA 5/6 TAMAN LAGENDA 09400 PADANG SERAI KEDAH </t>
  </si>
  <si>
    <t>NVMY49024000001705</t>
  </si>
  <si>
    <t>NVMY49024000001830</t>
  </si>
  <si>
    <t>Siti Zainu Bt Yahya</t>
  </si>
  <si>
    <t>Kampung Pulau Setulu, 18300 Gua Musang, Kelantan</t>
  </si>
  <si>
    <t>NVMY49024000001737</t>
  </si>
  <si>
    <t>NURUL IZZAH MUHAMMAD JAIS</t>
  </si>
  <si>
    <t>21, JALAN BUNGA MATAHARI 3, TAMAN MAJU JAYA FASA 3,  56100 KUALA LUMPUR</t>
  </si>
  <si>
    <t>NVMY49024000001673</t>
  </si>
  <si>
    <t>ROSNAH BT ABDUL RAZAK</t>
  </si>
  <si>
    <t>NO 221 FELDA TERSANG 03 27600 RAUB PAHANG</t>
  </si>
  <si>
    <t>NVMY49024000001719</t>
  </si>
  <si>
    <t>NOORAIMI MD ARIF</t>
  </si>
  <si>
    <t>33, JALAN INDAH 17, TAMAN CHERAS INDAH, 56100 KUALA LUMPUR</t>
  </si>
  <si>
    <t>NVMY49024000001773</t>
  </si>
  <si>
    <t>Shahizan Zainal Abidin</t>
  </si>
  <si>
    <t xml:space="preserve"> No. 104 Jalan Tok Sulaiman, Batu 20 Jeram, 45800 Kuala Selangor, Selangor</t>
  </si>
  <si>
    <t>NVMY49024000001759</t>
  </si>
  <si>
    <t>Hasmawati Hasan</t>
  </si>
  <si>
    <t>No 27 Jln TM 9 Tmn Temerloh Makmur 28000 Temerloh Phg.</t>
  </si>
  <si>
    <t>NVMY49024000001744</t>
  </si>
  <si>
    <t>NVMY49024000001774</t>
  </si>
  <si>
    <t>NVMY49024000001794</t>
  </si>
  <si>
    <t>nabilah</t>
  </si>
  <si>
    <t>667 Jalan harmoni 2, Kg temenin Baru 81900 Kota tinggi  Johor</t>
  </si>
  <si>
    <t>NVMY49024000001657</t>
  </si>
  <si>
    <t>HASNORHUDA BINTI HASSAN</t>
  </si>
  <si>
    <t>NO 20, JALAN TPS 4 /6, TAMAN PELANGI SEMENYIH, 43500 SEMENYIH, SELANGOR</t>
  </si>
  <si>
    <t>NVMY49024000001829</t>
  </si>
  <si>
    <t>Marsita</t>
  </si>
  <si>
    <t>Mc4 1006 block teratai Taman Tun Teja 48000 Rawang selangor</t>
  </si>
  <si>
    <t>NVMY49024000001717</t>
  </si>
  <si>
    <t>NAADIRA JAMALUDDIN</t>
  </si>
  <si>
    <t>E 107, BLOCK E, KELANA D PUTERA CONDOMINIUM, JALAN SS 7/26, KELANA JAYA, SELANGOR</t>
  </si>
  <si>
    <t>NVMY49024000001791</t>
  </si>
  <si>
    <t>NURUL HUSNA BINTI MOHD RASIMAN</t>
  </si>
  <si>
    <t xml:space="preserve">LOT 2795 , JALAN EMAS KANAN , KG BUKIT CHANGGANG , 42700 BANTING SELANGOR </t>
  </si>
  <si>
    <t>NVMY49024000001835</t>
  </si>
  <si>
    <t>NVMY49024000001817</t>
  </si>
  <si>
    <t>AIN AHMAD</t>
  </si>
  <si>
    <t>APARTMENT ZAMRUD, TOWER 1, FLOOR 8, UNIT 1-4-1, JALAN KLANG LAMA, TAMAN PASIR PERMATA, 58200 KUALA LUMPUR</t>
  </si>
  <si>
    <t>NVMY49024000001658</t>
  </si>
  <si>
    <t>AZURA BINTI ZENON</t>
  </si>
  <si>
    <t xml:space="preserve">NASI AYAM MALAYA  NO 53 JLN PRIMA 5/6 TAMAN PUCHONG PRIMA 47100 PUCHONG SELANGOR </t>
  </si>
  <si>
    <t>NVMY49024000001711</t>
  </si>
  <si>
    <t>FARIZ HIDAYAT</t>
  </si>
  <si>
    <t>NO. 43, JLN KAJANG MEWAH 16, TAMAN KAJANG MEWAH, KAJANG ULU LANGAT, 43000 SELANGOR</t>
  </si>
  <si>
    <t>NVMY49024000001777</t>
  </si>
  <si>
    <t>JOIMAE BIN JAHARI</t>
  </si>
  <si>
    <t>13-23 Pangsapuri Sri Malaysia Jln 3/141 Kg Sri Malaysia Sungai Besi 57100 Kuala Lumpur.</t>
  </si>
  <si>
    <t>NVMY49024000001651</t>
  </si>
  <si>
    <t>VIRMALA A/P CHANDRAN</t>
  </si>
  <si>
    <t>58, LEBUH DELIMA, TAMAN ARKED 08000 SUNGAI PETANI, KEDAH</t>
  </si>
  <si>
    <t>NVMY49024000001848</t>
  </si>
  <si>
    <t>Farah</t>
  </si>
  <si>
    <t>8, jalan 15/2, taman TAR, ampang, 68000, selangor.</t>
  </si>
  <si>
    <t>NVMY49024000001679</t>
  </si>
  <si>
    <t>NORHIDAYU RIZUEM</t>
  </si>
  <si>
    <t>F1-13 PANGSAPURI SRI RIA, JLN WAWASAN 3, TAMAN WAWASAN 43100, HULU LANGAT SELANGOR</t>
  </si>
  <si>
    <t>NVMY49024000001838</t>
  </si>
  <si>
    <t>Wor syahir Kowen</t>
  </si>
  <si>
    <t>Depan Masjid Lama Blok B Kampung Banggol Judah 18500 Machang Kelantan</t>
  </si>
  <si>
    <t>NVMY49024000001786</t>
  </si>
  <si>
    <t>Mohd Sabri bin yaacob</t>
  </si>
  <si>
    <t>Lot 547 kg kedondong jln kota teras 16150 kota jembal kota bharu kelantan</t>
  </si>
  <si>
    <t>NVMY49024000001836</t>
  </si>
  <si>
    <t>NVMY49024000001699</t>
  </si>
  <si>
    <t>Muhamad Anuar Bin Ibrahim</t>
  </si>
  <si>
    <t>No 85-1, Solok Kampung Baru, Klebang Kecil, 75200 Melaka.</t>
  </si>
  <si>
    <t>NVMY49024000001882</t>
  </si>
  <si>
    <t>SAPIAH BT JUSOH</t>
  </si>
  <si>
    <t>NO. 25, LORONG SG. KARANG DAMAI 35, TAMAN PSJ, 26100 KUANTAN, PAHANG</t>
  </si>
  <si>
    <t>NVMY49024000001900</t>
  </si>
  <si>
    <t>SURIZA BT AZIZ</t>
  </si>
  <si>
    <t xml:space="preserve">KAMPUNG STAR BARU , 18300 GUA MUSANG KELANTAN </t>
  </si>
  <si>
    <t>NVMY49024000001886</t>
  </si>
  <si>
    <t>NVMY49024000001728</t>
  </si>
  <si>
    <t>NOUR NAZIERAH BINTI YUSRAN</t>
  </si>
  <si>
    <t>BLOK C UNIT 306 PANGKALAN TLDM TELUK SEPANGGAR 88846 KOTA KINABALU SABAH</t>
  </si>
  <si>
    <t>NVMY49024000001802</t>
  </si>
  <si>
    <t>DAMIA LUTFIAH BINTI MOHD YUSLI</t>
  </si>
  <si>
    <t>F1/773 KAMPUNG KOLAM ,26800 ,KUALA ROMPIN, PAHANG</t>
  </si>
  <si>
    <t>NVMY49024000001801</t>
  </si>
  <si>
    <t>Nurul Syafawani</t>
  </si>
  <si>
    <t>Lot 1803 Kg Banggol Manir 21200 K.Trg</t>
  </si>
  <si>
    <t>NVMY49024000001800</t>
  </si>
  <si>
    <t>Nur shahira bt Abu kasim</t>
  </si>
  <si>
    <t>39 00 14,rumah pangsa dbkl flat sri langkawi 2, 53100,kl</t>
  </si>
  <si>
    <t>NVMY49024000001813</t>
  </si>
  <si>
    <t>IDAYU</t>
  </si>
  <si>
    <t>Lot 3153 batu 4 surau 3 lorong yu 7/3 kg sg yu 45500 tanjong karang, selangor</t>
  </si>
  <si>
    <t>NVMY49024000001827</t>
  </si>
  <si>
    <t>Mhmd Farhan</t>
  </si>
  <si>
    <t xml:space="preserve"> No 364, Jalan Bukit Citra 4/3, Taman Bukit Citra, 71700 Mantin, Negeri Sembilan. </t>
  </si>
  <si>
    <t>NVMY49024000001692</t>
  </si>
  <si>
    <t>ROSNASUHA</t>
  </si>
  <si>
    <t xml:space="preserve">NO 14 JALAN PIPIT 6/13 TAMAN BENTARA 42500 TELOK PANGLIMA GARANG </t>
  </si>
  <si>
    <t>NVMY49024000001892</t>
  </si>
  <si>
    <t>ROSDI BIN MAT DAUD</t>
  </si>
  <si>
    <t>SK SRI CHIKU 2, FELDA CHIKU 2, 18300 GUA MUSANG KELANTAN.</t>
  </si>
  <si>
    <t>NVMY49024000001895</t>
  </si>
  <si>
    <t>FAKHRUL ILMY B.HASHIM</t>
  </si>
  <si>
    <t>Bangunan KWSP K.Bharu,Jln Padang Garong,Bandar Kota Bharu,15000 Kota Bharu,Kelantan</t>
  </si>
  <si>
    <t>NVMY49024000001884</t>
  </si>
  <si>
    <t>Siti Nasihah binti mukhtar</t>
  </si>
  <si>
    <t>Lot 3430 Persiaran Mak Ikar Off Jalan Selasih Kg Baru Kerteh 24300 Kemaman Terengganu.</t>
  </si>
  <si>
    <t>NVMY49024000001661</t>
  </si>
  <si>
    <t>SUMARNI MANSYUR</t>
  </si>
  <si>
    <t>UNIT NO 2-36, 2ND FLOOR, SURIA SABAH SHOPPING MALL KOTA KINABALU 88000 SABAH</t>
  </si>
  <si>
    <t>NVMY49024000001722</t>
  </si>
  <si>
    <t>Matyie</t>
  </si>
  <si>
    <t>Sek rendah keb padang matsirat 07000 Langkawi Kedah</t>
  </si>
  <si>
    <t>NVMY49024000001858</t>
  </si>
  <si>
    <t xml:space="preserve">SK WANGSA MAJU SEKSYEN 1 BANDAR BARU WANGSA MAJU , 5300 KUALA LUMPUR </t>
  </si>
  <si>
    <t>NVMY49024000001716</t>
  </si>
  <si>
    <t>AINAH JULHEE JULHER</t>
  </si>
  <si>
    <t>4400 STRAWBERRY PARK, JLN ARU 8, 98000 MIRI SARAWAK.</t>
  </si>
  <si>
    <t>NVMY49024000001897</t>
  </si>
  <si>
    <t>HAFIZAH BINTI MOHAMED</t>
  </si>
  <si>
    <t xml:space="preserve">PT 3950 , KWENG HITAM , MACHANG 18500 KELANTAN </t>
  </si>
  <si>
    <t>NVMY49024000001841</t>
  </si>
  <si>
    <t>ZURIANI ISHAK</t>
  </si>
  <si>
    <t xml:space="preserve">610 JALAN LAGENDA 18/1 TAMAN LAGENDA 09400 PADANG SERAI KEDAH </t>
  </si>
  <si>
    <t>NVMY49024000001834</t>
  </si>
  <si>
    <t>RUSWADI BIN MOHAMAD SANUSI</t>
  </si>
  <si>
    <t>F 676, BATU 3,JALAN JENIANG, 08300 GURUN KEDAH</t>
  </si>
  <si>
    <t>NVMY49024000001852</t>
  </si>
  <si>
    <t>AYU MAHYUNI AIZA</t>
  </si>
  <si>
    <t xml:space="preserve">9708 , JALAN BBN 1/3C PUTRA POINT , 71800 NILAI NEGERI SEMBILAN </t>
  </si>
  <si>
    <t>NVMY49024000001888</t>
  </si>
  <si>
    <t>AZMAN BIN HASAN</t>
  </si>
  <si>
    <t>LOT 60300 JLN PERPINDAHAN,SEBELAH MENGKUANG 7 KG PENGKALAN CICAR  24000 KEMAMAN TERENGGANU</t>
  </si>
  <si>
    <t>NVMY49024000001840</t>
  </si>
  <si>
    <t>ZAFIRAH</t>
  </si>
  <si>
    <t xml:space="preserve">BIG IMAGE MEDIA NO 63 , JALAN PBS 14/9 , TAMAN PERINDUSTRIAN BUKIT SERDANG 43300 SERI KEMBANGAN , SELANGOR </t>
  </si>
  <si>
    <t>NVMY49024000001865</t>
  </si>
  <si>
    <t>NOR AINA CHE HARUN</t>
  </si>
  <si>
    <t>NO 2811 TAMAN SENTOSA PULAI CHONDONG 16600 MACHANG KELANTAN</t>
  </si>
  <si>
    <t>NVMY49024000001815</t>
  </si>
  <si>
    <t>kyra roslam</t>
  </si>
  <si>
    <t>Pt 600 Taman tengku din jalan pengkalan demit kubang kerian 16100 kota bharu</t>
  </si>
  <si>
    <t>NVMY49024000001864</t>
  </si>
  <si>
    <t>SITI ZURA AZWANI</t>
  </si>
  <si>
    <t>NO 143, RKT KESEDAR LEBIR 18300 CHIKU, GUA MUSANG, KELANTAN</t>
  </si>
  <si>
    <t>NVMY49024000001812</t>
  </si>
  <si>
    <t>NURUL ELYANI</t>
  </si>
  <si>
    <t>No95 Felda Lembah Klau Raub Pahang</t>
  </si>
  <si>
    <t>NVMY49024000001860</t>
  </si>
  <si>
    <t>NUR RANIA BT MOHD ROSDI</t>
  </si>
  <si>
    <t>PT 3041 TAMAN ANGGERIK PUTIH, LORONG 2, 18500 MACHANG KELANTAN</t>
  </si>
  <si>
    <t>NVMY49024000001845</t>
  </si>
  <si>
    <t>SARSI</t>
  </si>
  <si>
    <t>NASI LEMAK BURUNG HANTU HARTAMAS JALAN 22A/70A NO 1-G WISMA CKL, 50480 KUALA LUMPUR WP KUALA LUMPUR</t>
  </si>
  <si>
    <t>NVMY49024000001677</t>
  </si>
  <si>
    <t>FIRDAUS BIN SARIFUDIN</t>
  </si>
  <si>
    <t>SKN LOG REJIMEN 22 KOMANDO, KEM ISKANDAR 86800 MERSING JOHOR</t>
  </si>
  <si>
    <t>NVMY49024000001856</t>
  </si>
  <si>
    <t>ZABEDAH BT KHALID</t>
  </si>
  <si>
    <t xml:space="preserve">476 , JALAN PALAS 8 TAMAN DESA PERMAI SIKAMAT 70400 SEREMBAN NEGERI SEMBILAN </t>
  </si>
  <si>
    <t>NVMY49024000001824</t>
  </si>
  <si>
    <t>Mohamad bin Jaffar</t>
  </si>
  <si>
    <t>No 17 lorong 13 taman pengkalan aor utama 34000, Taiping Perak</t>
  </si>
  <si>
    <t>NVMY49024000001675</t>
  </si>
  <si>
    <t>Muhamad Amir Ikmal bin Zakaria</t>
  </si>
  <si>
    <t>Blok G-3A, AMQ- Taman Sri Angkasa, Jalan Ganang, Kepayan 88200, Kota Kinabalu, Sabah.</t>
  </si>
  <si>
    <t>NVMY49024000001842</t>
  </si>
  <si>
    <t>SITI SYAHIRAH</t>
  </si>
  <si>
    <t>10-4-6, KELUMPUK MELATI BLK 10, JALAN 29/56 SETIAWANGSA 54200, W.P KUALA LUMPUR</t>
  </si>
  <si>
    <t>NVMY49024000001855</t>
  </si>
  <si>
    <t>EN AZMAN</t>
  </si>
  <si>
    <t>Apartment Intana Ria, Block 7-4-15, Jalan 7/4, Bandar Baru Bangi, Bangi, 43650, Kajang, Ulu Langat, Selangor</t>
  </si>
  <si>
    <t>NVMY49024000001861</t>
  </si>
  <si>
    <t>BB4 JALAN VISTA BELIMBANG UTAMA TAMAN VISTA BELIMBING 76100 DURIAN TUNGGAL, MELAKA</t>
  </si>
  <si>
    <t>NVMY49024000001899</t>
  </si>
  <si>
    <t>MAS DIANTY BT ABDUL WAHID</t>
  </si>
  <si>
    <t xml:space="preserve">KLINIK PERGIGIAN MELAKA TENGAH JALAN TUN SRI LANANG PENGKALAN , RAMA 75150  BANDAR MELAKA , MELAKA TENGAH </t>
  </si>
  <si>
    <t>NVMY49024000001665</t>
  </si>
  <si>
    <t>ROSITA MOHD AMIN</t>
  </si>
  <si>
    <t>LOT 1009 JLN PINANG 1, TMN DATO ABD SAMAD, 71050 SI RUSA, PORT DICKSON, NEGERI SEMBILAN</t>
  </si>
  <si>
    <t>NVMY49024000001891</t>
  </si>
  <si>
    <t>Saidi Bin Abd Wahab</t>
  </si>
  <si>
    <t>No.30 Lorong Seberang Balok 102, Taman Balok Putra, 26100 Kuantan</t>
  </si>
  <si>
    <t>NVMY49024000001878</t>
  </si>
  <si>
    <t>NVMY49024000001850</t>
  </si>
  <si>
    <t>AGROBANK TRADE FINANCE DEPARTMENT</t>
  </si>
  <si>
    <t xml:space="preserve">NO 20 , MEDAN PASAR 50050 WILAYAH PERSEKUTUAN KUALA LUMPUR </t>
  </si>
  <si>
    <t>NVMY49024000001693</t>
  </si>
  <si>
    <t>KAY UMIENORDEEINA BT AMBUT</t>
  </si>
  <si>
    <t xml:space="preserve">KLINIK KESIHATAN IBU DAN ANAK ORCHARD PLAZA 89900 TENOM SABAH </t>
  </si>
  <si>
    <t>NVMY49024000001863</t>
  </si>
  <si>
    <t>NUR SABARIAH</t>
  </si>
  <si>
    <t>22B BLOCK 1 TINGKAT 2 FLAT, IKAN SERI SERDANG 43400 SERI KEMBANGAN SELANGOR</t>
  </si>
  <si>
    <t>NVMY49024000001816</t>
  </si>
  <si>
    <t>Nurshuhada kamal</t>
  </si>
  <si>
    <t>33A kampung haji ali batu 1 1/2 jalan mentakab 28000 temerloh pahang</t>
  </si>
  <si>
    <t>NVMY49024000001881</t>
  </si>
  <si>
    <t>JON Jamil</t>
  </si>
  <si>
    <t>A1-01, Puncak ATHENAEUM Condominium,  Jalan Wangsa 5A,  Bukit Antrabangsa, 68000 Ampang,  Slangor.</t>
  </si>
  <si>
    <t>NVMY49024000001887</t>
  </si>
  <si>
    <t>Noor Azli abdullah</t>
  </si>
  <si>
    <t>No.111 kg belahat 17600 jeli Kelantan</t>
  </si>
  <si>
    <t>NVMY49024000001833</t>
  </si>
  <si>
    <t>ZAWATI MUHAMMAD</t>
  </si>
  <si>
    <t xml:space="preserve">SKY AWANI RESIDENT , BLOCK B-11-03 JALAN SENTUL PERDANA 51100 KUALA LUMPUR </t>
  </si>
  <si>
    <t>NVMY49024000001808</t>
  </si>
  <si>
    <t>SITI ZULAIKHA</t>
  </si>
  <si>
    <t>LOT 1082 KG TOK JAWA JLN TAWANG, 16020 BACHOK, KEL</t>
  </si>
  <si>
    <t>NVMY49024000001748</t>
  </si>
  <si>
    <t>REBIKA NATASA ANAK PETER</t>
  </si>
  <si>
    <t>1081,KAMPUNG SINAAN KROKONG, 94000 Bau, Sarawak</t>
  </si>
  <si>
    <t>NVMY49024000001896</t>
  </si>
  <si>
    <t>NORJUNAINAH MD ARIFFIN</t>
  </si>
  <si>
    <t xml:space="preserve">AMQ F3B 3-1 , JALAN BENDAHARA , 40150 PANGKALAN UDANG SUBANG , SHAH ALAM SELANGOR </t>
  </si>
  <si>
    <t>NVMY49024000001761</t>
  </si>
  <si>
    <t>NVMY49024000001762</t>
  </si>
  <si>
    <t>NVMY49024000001696</t>
  </si>
  <si>
    <t>SALBIAH BT MAT KARIM</t>
  </si>
  <si>
    <t xml:space="preserve">LOT 389B JALAN JPS KAMPUNG SUNGAI BEDARAH SUNGAI BAYOR , RANTAU PANJANG 34140 SELAMA PERAK </t>
  </si>
  <si>
    <t>NVMY49024000001898</t>
  </si>
  <si>
    <t>RAJA NUREEN NATASHA SOFEA</t>
  </si>
  <si>
    <t xml:space="preserve">KOLEJ PROFESSIONAL MARA BERANANG 2 333 MUKIM BERANANG 43700 BERANANG SELANGOR </t>
  </si>
  <si>
    <t>NVMY49024000001859</t>
  </si>
  <si>
    <t>SAFINAH SALLEH</t>
  </si>
  <si>
    <t xml:space="preserve">LOT 6364 , LORONG NANGKA 6 , KG GONG NANGKA , 21600 MARANG TERENGGANU </t>
  </si>
  <si>
    <t>NVMY49024000001867</t>
  </si>
  <si>
    <t>SABARIAH BT AB AZIZ</t>
  </si>
  <si>
    <t>KLINIK KESIHATAN PAYA BESAR, JLN KUANTAN BYPASS 25150 KUANTAN PAHANG</t>
  </si>
  <si>
    <t>NVMY49024000001866</t>
  </si>
  <si>
    <t>DAWIRAH BT ENDUT</t>
  </si>
  <si>
    <t>LOT 4992 KAMPUNG TITIAN BERAYUNG KIJAL 24100 KIJAL TERENGGANU</t>
  </si>
  <si>
    <t>NVMY49024000001844</t>
  </si>
  <si>
    <t>ROHAIDA ABDUL MANAF</t>
  </si>
  <si>
    <t>207 FASA 2D, 32040 SERI MANJUNG PERAK</t>
  </si>
  <si>
    <t>NVMY49024000001872</t>
  </si>
  <si>
    <t>WAN MASTURA BINTI WAN ABDULLAH</t>
  </si>
  <si>
    <t xml:space="preserve">NO 66 TAMAN SRI PEKULA 2 TIKAM BATU 8600 SUNGAI PETANI KEDAH </t>
  </si>
  <si>
    <t>NVMY49024000001902</t>
  </si>
  <si>
    <t>Nur Nadiah Binti Abdul Razak</t>
  </si>
  <si>
    <t>No.55,Jalan nirwana 1,taman nirwana Batang tiga 76400 tanjong keling,melaka</t>
  </si>
  <si>
    <t>NVMY49024000001967</t>
  </si>
  <si>
    <t>AZIMA KARLIDA</t>
  </si>
  <si>
    <t xml:space="preserve">51A KAMPUNG KEMAT, 21700 KUALA BERANG, TERENGGANU </t>
  </si>
  <si>
    <t>NVMY49024000001805</t>
  </si>
  <si>
    <t>wawa</t>
  </si>
  <si>
    <t>no 37 kg alor pudak mukim tobiar 06700 pendang kedah</t>
  </si>
  <si>
    <t>NVMY49024000001727</t>
  </si>
  <si>
    <t>JOBINA DIA ANAK LENGGU</t>
  </si>
  <si>
    <t>Klinik kesihatan ibu &amp; anak jenis 2 (MCH), batu 3 jalan chong thien vun, 91013 Tawau, sabah.</t>
  </si>
  <si>
    <t>NVMY49024000001991</t>
  </si>
  <si>
    <t>ATTN NASH</t>
  </si>
  <si>
    <t>EDDIE LUBRICANTS SDN BHD. LOT PT 29680, JLN GONG BADAK, KAWASAN PERINDUSTRIAN GONG BADAK, 21300 KUALA TERENGGANU, TERENGGANU</t>
  </si>
  <si>
    <t>NVMY49024000001862</t>
  </si>
  <si>
    <t>ARNIDA BT IBRAHIM</t>
  </si>
  <si>
    <t>173 LORONG CAMAR, 5/2 TAMAN CAMAR 09000 KULIM KEDAH</t>
  </si>
  <si>
    <t>NVMY49024000001877</t>
  </si>
  <si>
    <t>Azmi Abu</t>
  </si>
  <si>
    <t>Batu 15 kampung air merbau 77200 Bemban melaka</t>
  </si>
  <si>
    <t>C3-JAS-9-87</t>
  </si>
  <si>
    <t>NVMY49024000001928</t>
  </si>
  <si>
    <t>MOHAMAD ASRI BIN AHMAD KAMIL</t>
  </si>
  <si>
    <t>LOT 895 JALAN BESAR KG NYIOR, 23100 PAKA TERENGGANU.</t>
  </si>
  <si>
    <t>NVMY49024000001893</t>
  </si>
  <si>
    <t>iskandar bin saifullah</t>
  </si>
  <si>
    <t>NO.JC2221, JALAN LKP7,TAMAN LIPAT KAJANG PERDANA JASIN 77000 MELAKA</t>
  </si>
  <si>
    <t>NVMY49024000001799</t>
  </si>
  <si>
    <t>NVMY49024000001946</t>
  </si>
  <si>
    <t>SITI SYAFIQAH BINTI HARUN</t>
  </si>
  <si>
    <t>NO. 81, LORONG TBK 10, TAMAN BUKIT KOMAN, 27600 RAUB PAHANG</t>
  </si>
  <si>
    <t>NVMY49024000001944</t>
  </si>
  <si>
    <t>NUR FATINIE NAZIERA</t>
  </si>
  <si>
    <t xml:space="preserve">14-1 PAKR BANGGOL PERADONG MANIR 21200 KUALA TERENGGANU </t>
  </si>
  <si>
    <t>NVMY49024000001889</t>
  </si>
  <si>
    <t>Abdul Fadillah Bin Abd Rahman</t>
  </si>
  <si>
    <t>BD 03-04 Jalan Angsana 8, Taman Bukit Angsana, 56000 Kuala Lumpur</t>
  </si>
  <si>
    <t>NVMY49024000001998</t>
  </si>
  <si>
    <t>ADELIN HAFIZA</t>
  </si>
  <si>
    <t xml:space="preserve">C-3- 1 PANGSAPURI SRI MUTIARA JALAN PUTRA INDAH 9/1C PUTRA HEIGHT SELANGOR </t>
  </si>
  <si>
    <t>NVMY49024000001952</t>
  </si>
  <si>
    <t>Alieya natasya</t>
  </si>
  <si>
    <t>No 36 lorong ps 2 13 taman pematang shah bandar 2 , 26400 Pahang</t>
  </si>
  <si>
    <t>NVMY49024000001880</t>
  </si>
  <si>
    <t>NVMY49024000001739</t>
  </si>
  <si>
    <t>Liyana</t>
  </si>
  <si>
    <t>Kedai kopi mee tauhu tawau 2, Bandar Sri Perdana Phase 3 jalan silam, 91110 lahad datu sabah</t>
  </si>
  <si>
    <t>NVMY49024000001969</t>
  </si>
  <si>
    <t>Nur Rafiqah binti shariffudin</t>
  </si>
  <si>
    <t xml:space="preserve">SUKIYA SETAPAK CENTRAL, LOT NO. G02A, GROUND FLOOR , SETAPAK CENTRAL NO.67, JALAN TAMAN IBU KOTA, TAMAN DANAU KOTA , SETAPAK  53300 KUALA LUMPUR </t>
  </si>
  <si>
    <t>NVMY49024000001974</t>
  </si>
  <si>
    <t>Fathin nur nadia</t>
  </si>
  <si>
    <t xml:space="preserve">Dta-8 Le jardine deluxe condominium jalan pandan indah 4/10, 55100 pandan indah ampang kuala lumpur. </t>
  </si>
  <si>
    <t>NVMY49024000001811</t>
  </si>
  <si>
    <t>Noor Lela</t>
  </si>
  <si>
    <t>NO 195 C lorong halba kg bakar kapor,  08000 sungai petani kedah</t>
  </si>
  <si>
    <t>NVMY49024000001985</t>
  </si>
  <si>
    <t>CHOIZES CONCEPT STORE SDN BHD</t>
  </si>
  <si>
    <t>UNIT NO D6-3A-17 BANGUNAN PERDAGANGAN D6, SENTUL RAYA, 801 JLN SENTUL 51100 KUALA LUMPUR, Kuala Lumpur, Kuala Lumpur, 5110</t>
  </si>
  <si>
    <t>NVMY49024000001973</t>
  </si>
  <si>
    <t>NUR SAHIDA</t>
  </si>
  <si>
    <t xml:space="preserve">NO 20 LORONG 11   PERUMAHAN BALOK BARU . KUANTAN PAHANG 26100 </t>
  </si>
  <si>
    <t>NVMY49024000001807</t>
  </si>
  <si>
    <t>NVMY49024000001953</t>
  </si>
  <si>
    <t>Amyrah nasuha bt badrin</t>
  </si>
  <si>
    <t xml:space="preserve">(rumah tepi jln warna hijau) Batu 7 jalan keretapi lama kg gangsa durian tunggal 76100 melaka </t>
  </si>
  <si>
    <t>NVMY49024000001814</t>
  </si>
  <si>
    <t>nurul hidayah</t>
  </si>
  <si>
    <t>NVMY49024000001980</t>
  </si>
  <si>
    <t>Fatin Nordiana Johari</t>
  </si>
  <si>
    <t>Residensi Idaman Abadi A-13-2, Block A,  Persiaran Tropicana Heights 43500 Semenyih Selangor</t>
  </si>
  <si>
    <t>NVMY49024000001912</t>
  </si>
  <si>
    <t>NORHAMIZAH ABIAH</t>
  </si>
  <si>
    <t>No.568 (F) Bukit goh , 26050 Kuantan Pahang</t>
  </si>
  <si>
    <t>NVMY49024000001971</t>
  </si>
  <si>
    <t>Fatin Alissa</t>
  </si>
  <si>
    <t> Kolej Kediaman 3 , Universiti Malaysia Pahang Al Sultan Abdullah , Lebuh Persiaran Tun Khalil Yaakob , Kuantan , 26300, Gambang , Pahang</t>
  </si>
  <si>
    <t>NVMY49024000001843</t>
  </si>
  <si>
    <t>NANA HAMIDUN</t>
  </si>
  <si>
    <t>8, JALAN HANG JEBAT 10, EAST LEDANG, 79250, NUSAJAYA, JOHOR</t>
  </si>
  <si>
    <t>NVMY49024000001809</t>
  </si>
  <si>
    <t>NUR SHUHADA BINTI ABDULLAH</t>
  </si>
  <si>
    <t>NO.10 LALUAN RAIA SENTOSA 4, TAMAN RAIA SENTOSA, 31300 KG. KEPAYANG, PERAK.</t>
  </si>
  <si>
    <t>NVMY49024000001940</t>
  </si>
  <si>
    <t>SITI FATIMAH BINTI WAN JUSOH</t>
  </si>
  <si>
    <t>Klinik ORL, Tingkat 3 Pusat Rawatan Harian, Hospital Raja Perempuan Zainab ii, 15586 Kota Bharu Kelantan.</t>
  </si>
  <si>
    <t>NVMY49024000001907</t>
  </si>
  <si>
    <t>Nur hafizah rabiah</t>
  </si>
  <si>
    <t>Lot 71009, Jalan Lapangan Terbang 17, Kg Sura Hujung</t>
  </si>
  <si>
    <t>NVMY49024000001989</t>
  </si>
  <si>
    <t>SAZIAH BINTI MOHD ZAIN</t>
  </si>
  <si>
    <t>PANGSAPURI PUTRA HARMONI BLOK A2-T03-U03 JLN P9B/1, PRESINT 9, 62250 PUTRAJAYA</t>
  </si>
  <si>
    <t>NVMY49024000001894</t>
  </si>
  <si>
    <t>Nubli Bin Alwi</t>
  </si>
  <si>
    <t>15-3-15, Blok 15, Bustan Apartment, Jln 2/91A, Taman Shamelin Perkasa, 56100 Cheras, Kuala Lumpur</t>
  </si>
  <si>
    <t>NVMY49024000001919</t>
  </si>
  <si>
    <t>nuraisyah john</t>
  </si>
  <si>
    <t>Lot No .LG - 071, Mid valley the megamall, Mid valley city ,wilayah persekutuan kuala lumpur 59200</t>
  </si>
  <si>
    <t>D3-SPH-13-138</t>
  </si>
  <si>
    <t>NVMY49024000001904</t>
  </si>
  <si>
    <t>Noradira Suhaime</t>
  </si>
  <si>
    <t>No. 06, Jalan JD 3/2, Taman Jenderam Damai, 43800 Dengkil Selangor</t>
  </si>
  <si>
    <t>NVMY49024000001874</t>
  </si>
  <si>
    <t>(TRADE OPERATIONS SECTION) BANK PERTANIAN MALAYSIA BERHAD (AGROBANK)</t>
  </si>
  <si>
    <t>TRADE FINANCE DEPARTMENT SUITE 8.0 , 8TH FLOOR WISMA MARAN NO 28 MEDAN PASAR 50050 KUALA LUMPUR (ATTN : TRADE OPERATIONS SECTION)</t>
  </si>
  <si>
    <t>NVMY49024000001913</t>
  </si>
  <si>
    <t>Zulfah Sahirah</t>
  </si>
  <si>
    <t>Lot 1760 kg chekok tengah 16100 kota bharu kelantan</t>
  </si>
  <si>
    <t>NVMY49024000001988</t>
  </si>
  <si>
    <t>NABILAH</t>
  </si>
  <si>
    <t>LOT 6448 JLN PUSARA SG BONG , KUALA BERANG 21700 HULU TERENGGANU</t>
  </si>
  <si>
    <t>NVMY49024000001939</t>
  </si>
  <si>
    <t>nana</t>
  </si>
  <si>
    <t>15a ,Jalan Batu Laut 28/5, Taman Alam Megah, 40400 Shah Alam, Selangor</t>
  </si>
  <si>
    <t>NVMY49024000001927</t>
  </si>
  <si>
    <t>che wan nur fazlina</t>
  </si>
  <si>
    <t>Lot 5828 , No 4 , Jalan sempadan , kg sg serdang , kapar 42200 , klang  , selangor</t>
  </si>
  <si>
    <t>NVMY49024000001873</t>
  </si>
  <si>
    <t>NUR WIRDANI</t>
  </si>
  <si>
    <t xml:space="preserve">TANGGA 2 , UNIT GR-07 , APARTMENT KASIH , JALAN ASTANA 13/2 , ASTANA ALAM 3 SEK 13 45010 BANDAR PUNCAK ALAM SELANGOR </t>
  </si>
  <si>
    <t>NVMY49024000001947</t>
  </si>
  <si>
    <t>Syasya syazwana</t>
  </si>
  <si>
    <t>E 20 Ppms Kampung Peruang 27310 Benta , Kuala lipis , Pahang Darul Makmur</t>
  </si>
  <si>
    <t>NVMY49024000001876</t>
  </si>
  <si>
    <t>NVMY49024000001915</t>
  </si>
  <si>
    <t>NASHA IZZLYN BINTI ABD MOHD NASIR</t>
  </si>
  <si>
    <t xml:space="preserve">NO 11 JALAN MELOR 1/4  SUNGAI BULOH COUNTRY RESORT  SAUJANA UTAMA 47000 SUNGAI BULOH  SELANGOR </t>
  </si>
  <si>
    <t>NVMY49024000001935</t>
  </si>
  <si>
    <t>Noor Atirah Syafiqah Binti Azmi</t>
  </si>
  <si>
    <t>151 kampung bukit payong 22010 jerteh besut terengganu</t>
  </si>
  <si>
    <t>NVMY49024000001738</t>
  </si>
  <si>
    <t>Rosmalah Abdullah</t>
  </si>
  <si>
    <t>Taman Khazanah Indah , Lorong 18 No Rumah C50-8  91109, Lahad Datu, Sabah, Malaysia</t>
  </si>
  <si>
    <t>NVMY49024000001960</t>
  </si>
  <si>
    <t>SITI ZUBAIDAH BINTI MD TAHIR</t>
  </si>
  <si>
    <t>LORONG 17,JALAN PENGKALAN JAJAR DARAT PULAU ALAI 75460 MELAKA</t>
  </si>
  <si>
    <t>NVMY49024000001923</t>
  </si>
  <si>
    <t>Nor Azlinawati</t>
  </si>
  <si>
    <t>KAMAL POKDIE KEROPOK LEKOR No.5 kg baru cherating,26080 kuantan pahang.</t>
  </si>
  <si>
    <t>NVMY49024000001924</t>
  </si>
  <si>
    <t>NIK SHUHAINA FARHAH</t>
  </si>
  <si>
    <t>NO 22,JALAN SETADA P11A1/12,PRESINT 11,62300,PUTRAJAYA</t>
  </si>
  <si>
    <t>NVMY49024000001931</t>
  </si>
  <si>
    <t>NVMY49024000001979</t>
  </si>
  <si>
    <t>Suzieana A Ghany,</t>
  </si>
  <si>
    <t>lot 990, Jalan Kolam, kg. Atas Tol, 21070 Kuala Terengganu.</t>
  </si>
  <si>
    <t>NVMY49024000001804</t>
  </si>
  <si>
    <t>hannan</t>
  </si>
  <si>
    <t>no 7 Jalan Patin 1 Taman desa Patin 44300 batang kali selangor</t>
  </si>
  <si>
    <t>NVMY49024000001986</t>
  </si>
  <si>
    <t>NORSHILA</t>
  </si>
  <si>
    <t>LOT 12792 KG BINJAI BONGKOK, BUKIT PAYUNG 21400 MARANG, TERENGGANU</t>
  </si>
  <si>
    <t>NVMY49024000001890</t>
  </si>
  <si>
    <t>Azzairin bin Azman</t>
  </si>
  <si>
    <t>J-2-12 APARTMENT MEGAH VILLA KOTA WARISAN 43900 SEPANG SELANGOR DARUL EHSAN</t>
  </si>
  <si>
    <t>NVMY49024000001972</t>
  </si>
  <si>
    <t>NUR LAILY SOFEA BINTI MOHD KHALIL</t>
  </si>
  <si>
    <t>ASRAMA SMK MULONG 16010 KOTA BHARU KELANTAN</t>
  </si>
  <si>
    <t>NVMY49024000001870</t>
  </si>
  <si>
    <t>ATHIRAH AZMAN</t>
  </si>
  <si>
    <t xml:space="preserve">KAMPUNG MAKPAP JALAN BINJAL MUKIM BINJAL 06000 JITRA KEDAH DARUL AMAN </t>
  </si>
  <si>
    <t>NVMY49024000001916</t>
  </si>
  <si>
    <t>Noryasmin binti Hasan Shah Dali</t>
  </si>
  <si>
    <t>B-33-3a PPAM, Jalan Lingkaran Tengah 2(MRR2), 52100 Kepong KL</t>
  </si>
  <si>
    <t>NVMY49024000001879</t>
  </si>
  <si>
    <t>MUHAMAD RAHIMI BIN ISMAIL</t>
  </si>
  <si>
    <t>BLOK 3B-08-08, N-PARK CONDOMINIUM, JALAN BATU UBAN, MUKIM 13 11700 GLUGOR, PULAU PINANG.</t>
  </si>
  <si>
    <t>NVMY49024000001869</t>
  </si>
  <si>
    <t>WAN NUR IDAYU BINTI WAN KALIM</t>
  </si>
  <si>
    <t xml:space="preserve">NO 2 DEPAN MASJID KAMPUNG PERING ( RUMAH SEWA WARNA HIJAU ) MUKIM PERING 06100 KODIANG KEDAH </t>
  </si>
  <si>
    <t>NVMY49024000002001</t>
  </si>
  <si>
    <t>Junaidah binti Kamaruddin</t>
  </si>
  <si>
    <t>Lot 6451, jalan teratai 4, Kampung paya jaras hilir, 47000 sungai buloh, Selangor darul ehsan</t>
  </si>
  <si>
    <t>NVMY49024000001853</t>
  </si>
  <si>
    <t>WAN EMELDA DELIA</t>
  </si>
  <si>
    <t>CELLARIUM CENTRE DAHLIA, KEDAI, NO 2, PUSAT KEGIATAN PELAJAR, KOLEJ DAHLIA UITM PUNCAK ALAM 42300 BANDAR PUNCAK ALAM, SELANGOR</t>
  </si>
  <si>
    <t>NVMY49024000001922</t>
  </si>
  <si>
    <t>Nur Amalin</t>
  </si>
  <si>
    <t xml:space="preserve">Lot 1576, kampung berdang, 17600 jeli, Kelantan </t>
  </si>
  <si>
    <t>NVMY49024000001839</t>
  </si>
  <si>
    <t>Sharunizam Bin Mohd Towel</t>
  </si>
  <si>
    <t>15-0-6,blok 15,jalan 5/11 2A off jalan pantai Dalam Taman Bukit angkasa 59200  Kuala Lumpur</t>
  </si>
  <si>
    <t>NVMY49024000001857</t>
  </si>
  <si>
    <t>NAEMAH BINTI ISMAIL</t>
  </si>
  <si>
    <t xml:space="preserve">KAMPUNG HUJUNG BANDAR MUKIM TELOI , 08200 SIK KEDAH </t>
  </si>
  <si>
    <t>NVMY49024000001803</t>
  </si>
  <si>
    <t>NURUL NAEMAH BALQIS</t>
  </si>
  <si>
    <t>JALAN MAWAR,KG TEBUKYAN 2  34900 PANTAI REMIS PERAK</t>
  </si>
  <si>
    <t>NVMY49024000001806</t>
  </si>
  <si>
    <t>Siti Atikah Che Soh</t>
  </si>
  <si>
    <t>38-6-7 Jln Pantai Jerjak 1, Tmn Batu Uban, 11700 Gelugor, Pulau Pinang.</t>
  </si>
  <si>
    <t>NVMY49024000001911</t>
  </si>
  <si>
    <t>Fakhirah Fatin</t>
  </si>
  <si>
    <t>No.4, Jalan Jati 7, Taman Jati, 28200 Bandar Bera, Pahang</t>
  </si>
  <si>
    <t>NVMY49024000001871</t>
  </si>
  <si>
    <t>FARAHANIS</t>
  </si>
  <si>
    <t xml:space="preserve">NO 122 , JALAN SS 5C/1 , SS 5 , PETALING  JAYA 47301 SELANGOR </t>
  </si>
  <si>
    <t>NVMY49024000002033</t>
  </si>
  <si>
    <t>LINDA LAZIM</t>
  </si>
  <si>
    <t>PT 5524 TAMAN BANGGOL INDAH BERENJUT 24000 KEMAMAN TERENGGANU</t>
  </si>
  <si>
    <t>NVMY49024000001868</t>
  </si>
  <si>
    <t>KAMARUL</t>
  </si>
  <si>
    <t xml:space="preserve">J&amp;T EXPRESS CAWANGAN TUARAN ( SBH473 ) 4 JALAN BOLONG TUARAN , 89200 TUARAN SABAH </t>
  </si>
  <si>
    <t>NVMY49024000002095</t>
  </si>
  <si>
    <t>MANN VX GARAGE</t>
  </si>
  <si>
    <t>SDS TOP BAKER GUA MUSANG PT 12579 JALAN GUA MUSANG KE KUALA LUMPUR DEPAN CALTEX TANAH PUTIH 18300 GUA MUSANG KELANTAN</t>
  </si>
  <si>
    <t>NVMY49024000002013</t>
  </si>
  <si>
    <t>ROSSLINA MOHD NOOR</t>
  </si>
  <si>
    <t>PT 17481 KG WAKAF  CHAGAK 21020 BATU RAKIT KUALA NERUS, TERENGGANU</t>
  </si>
  <si>
    <t>NVMY49024000001959</t>
  </si>
  <si>
    <t>NURUL ANISSA BT WAHAB</t>
  </si>
  <si>
    <t xml:space="preserve"> LOT 751, PERSIARAN KUALA SELANGOR, SEKSYEN 26, 40400 SHAH ALAM, SELANGOR</t>
  </si>
  <si>
    <t>NVMY49024000001854</t>
  </si>
  <si>
    <t>JENNY LANPOM</t>
  </si>
  <si>
    <t>SMK KENINGAU PETI SURAT 89008 KENINGAU SABAH</t>
  </si>
  <si>
    <t>NVMY49024000001943</t>
  </si>
  <si>
    <t>NVMY49024000001950</t>
  </si>
  <si>
    <t>Husna Izzati D2R</t>
  </si>
  <si>
    <t>70, Laluan Meru Permai 2, Halaman Meru Permai, Bandar Meru Raya, 30020, Ipoh Perak</t>
  </si>
  <si>
    <t>NVMY49024000002074</t>
  </si>
  <si>
    <t>NOREEN</t>
  </si>
  <si>
    <t xml:space="preserve">NO 111 BLOK 57 JALAN BAYAM MERAH 24/2 40300 SHAH ALAM SELANGOR </t>
  </si>
  <si>
    <t>NVMY49024000001994</t>
  </si>
  <si>
    <t>NUR FATINI BINTI ISMAIL</t>
  </si>
  <si>
    <t>NO 29 PEKAN TOKAI 06660 ALOR SETAR KEDAH</t>
  </si>
  <si>
    <t>NVMY49024000002005</t>
  </si>
  <si>
    <t>MARENA BINTI MOHAMED</t>
  </si>
  <si>
    <t>A 311 JALAN WATANIAH 18500 MACHANG KELANTAN</t>
  </si>
  <si>
    <t>NVMY49024000001999</t>
  </si>
  <si>
    <t>NVMY49024000001908</t>
  </si>
  <si>
    <t>NOR ANAPIZAH BT MOHD JIDIN</t>
  </si>
  <si>
    <t>21, JALAN KLEBANG SENTOSA 8, KLEBANG SENTOSA, 31200,CHEMOR, PERAK</t>
  </si>
  <si>
    <t>NVMY49024000001934</t>
  </si>
  <si>
    <t>Natasya</t>
  </si>
  <si>
    <t>No20 jalan kj 1b/2 kundang jaya 48020 rawang selangor</t>
  </si>
  <si>
    <t>NVMY49024000001674</t>
  </si>
  <si>
    <t>NORASIAH ABU BAKAR</t>
  </si>
  <si>
    <t>LOT 105 TAMAN SINAR JAYA 2 DUNGANG, 89208 TUARAN SABAH</t>
  </si>
  <si>
    <t>E1-TUA-11-159</t>
  </si>
  <si>
    <t>NVMY49024000001936</t>
  </si>
  <si>
    <t>Nur Ain Shayfiqah Binti Ibrahim</t>
  </si>
  <si>
    <t>Seri Pulai Homestay, Hotel , No. 11, Jalan Seri Pulai 4, Taman Seri Pulai, Perlis, Kampung Padang Behor, 01000, Kuala Perlis</t>
  </si>
  <si>
    <t>NVMY49024000001685</t>
  </si>
  <si>
    <t>PETER TIED ANAK TUPAI.</t>
  </si>
  <si>
    <t>BLOK G5-1-01 RKAT KEM SEGAMAT JALAN SYAHBANDAR, 85100 BATU ANAM, SEGAMAT, JOHOR.</t>
  </si>
  <si>
    <t>NVMY49024000001961</t>
  </si>
  <si>
    <t>NURHAFAWATI BINTI SATIDI</t>
  </si>
  <si>
    <t>NO 10, LORONG DATO HORMAT 35J/KS13, TAMAN SG. KEMBONG, KG. SUNGAI KEMBONG, 42920 PULAU INDAH, SELANGOR DARUL EHSAN</t>
  </si>
  <si>
    <t>NVMY49024000001914</t>
  </si>
  <si>
    <t>NUR AINA NASUHA BINTI JAMALUDIN</t>
  </si>
  <si>
    <t>no 12 lorong 1 jalan SB 16 taman seri bertam 76450 melaka</t>
  </si>
  <si>
    <t>NVMY49024000001976</t>
  </si>
  <si>
    <t>NUR NABILAH ZULKIFLI</t>
  </si>
  <si>
    <t xml:space="preserve"> KOLEJ KEDIAMAN IPGKDA, JALAN ILMU, KAMPUNG PANTAI HALBAN, 06000, JITRA, KEDAH</t>
  </si>
  <si>
    <t>NVMY49024000002062</t>
  </si>
  <si>
    <t>che nur shabariah ashuhada’a</t>
  </si>
  <si>
    <t>no 5 lorong 21 taman balok makmur 26100 kuantan pahang</t>
  </si>
  <si>
    <t>NVMY49024000001933</t>
  </si>
  <si>
    <t>NUR ALIA BINTI ABDUL RASHID</t>
  </si>
  <si>
    <t xml:space="preserve">BLOK A24 UNIT 607 RKTLDM PANGKALAN TLDM 32100 LUMUT PERAK </t>
  </si>
  <si>
    <t>NVMY49024000002036</t>
  </si>
  <si>
    <t>MOHD FARISHAM SAFRAN</t>
  </si>
  <si>
    <t>11-09-41 DESA MENTARI 3 BLOK 11,JALAN PJS2D/1 TAMAN MEDAN,46000 PETALING JAYA SELANGOR</t>
  </si>
  <si>
    <t>NVMY49024000001983</t>
  </si>
  <si>
    <t>Adaliah Amlain</t>
  </si>
  <si>
    <t>NO 129 JALAN KEMUNING 3, TAMAN KEMUNING SENAWANG, 70450 SEREMBAN, N. SEMBILAN</t>
  </si>
  <si>
    <t>NVMY49024000002085</t>
  </si>
  <si>
    <t>HILMI</t>
  </si>
  <si>
    <t>PMA AUTO GARAGE, NO.21, JALAN 1 BANDAR BARU SALAK TINGGI BUSINESS PARK 43900 SEPANG, SELANGOR</t>
  </si>
  <si>
    <t>NVMY49024000001938</t>
  </si>
  <si>
    <t>Aklima zainab ibrahim</t>
  </si>
  <si>
    <t>no.511 blok 38,jalan titiwangsa satu 24/1A ,seksyen 24,40300 shah alam selangor</t>
  </si>
  <si>
    <t>NVMY49024000001964</t>
  </si>
  <si>
    <t>NUR FATEHAH HANA BT MOHD NAPIAH</t>
  </si>
  <si>
    <t xml:space="preserve">2022454416, University Teknologi Mara Cawangan perak, Seri Iskandar,32610,Bandar Seri Iskandar,Perak,Malaysia </t>
  </si>
  <si>
    <t>NVMY49024000001883</t>
  </si>
  <si>
    <t>Nur Diyana Mohamad</t>
  </si>
  <si>
    <t>No 21, Taman Seri Murni, Jalan Tanjung Agas 30/189, Jalan Kebun, Seksyen 30, 40460 Shah Alam, Selangor.</t>
  </si>
  <si>
    <t>NVMY49024000001948</t>
  </si>
  <si>
    <t>NURUL EIZIATIEY</t>
  </si>
  <si>
    <t>NO 49, JALAN BUKIT MEWAH 47, TAMAN BUKIT MEWAH, 43000 KAJANG</t>
  </si>
  <si>
    <t>NVMY49024000002026</t>
  </si>
  <si>
    <t>ATTN : HAKIM</t>
  </si>
  <si>
    <t>QUDWAH DESIGN &amp; PRINT, 3311, SEBERANG JERTEH, 22000 JERTEH, TERENGGANU</t>
  </si>
  <si>
    <t>NVMY49024000001909</t>
  </si>
  <si>
    <t>Noor Ainsyah Binti Mohamad Zahir</t>
  </si>
  <si>
    <t>No 30 Batu 1 ¾ Jalan Gula Simpang Empat 34400 Semanggol Perak</t>
  </si>
  <si>
    <t>NVMY49024000002028</t>
  </si>
  <si>
    <t>DC CLOUD SDN BHD</t>
  </si>
  <si>
    <t>DC CLOUD SDN BHD, LOT 3, JALAN 6/9 KAWASAN PERUSAHAAN SERI KEMBANGAN 43300 SERI KEMBANGAN SELANGOR, MALAYSIA</t>
  </si>
  <si>
    <t>NVMY49024000002007</t>
  </si>
  <si>
    <t>ZUHAYA BINTI YAZID</t>
  </si>
  <si>
    <t>NO 13 JLN KESUMA 7/19 FASA 3B BANDAR TASIK KESUMA 43700 BERANANG, SELANGOR</t>
  </si>
  <si>
    <t>NVMY49024000002027</t>
  </si>
  <si>
    <t>GMC DESIGNS</t>
  </si>
  <si>
    <t>953 KG TOK SABOH, 22300 KUALA BESUT, TERENGGANU</t>
  </si>
  <si>
    <t>NVMY49024000001966</t>
  </si>
  <si>
    <t>annisa nur maryam</t>
  </si>
  <si>
    <t>no 1 kg changkat chermin 32400 ayer tawar perak</t>
  </si>
  <si>
    <t>NVMY49024000001977</t>
  </si>
  <si>
    <t>Husna qamar</t>
  </si>
  <si>
    <t xml:space="preserve">No 74 km13.3 (lorong nasi ganja)kg batas 06010 changloon kedah </t>
  </si>
  <si>
    <t>NVMY49024000002070</t>
  </si>
  <si>
    <t>nur dayana batrisya</t>
  </si>
  <si>
    <t>hadapan balai polis chabang empat 16210 tumpat,kelantan</t>
  </si>
  <si>
    <t>NVMY49024000001903</t>
  </si>
  <si>
    <t>FATIN NABILAH BINTI OZLAN</t>
  </si>
  <si>
    <t>NO 12 LORONG 10, TAMAN GUAR PERAHU, 14400 BUKIT MERTAJAM, PULAU PINANG.</t>
  </si>
  <si>
    <t>B2-BKM-5-48</t>
  </si>
  <si>
    <t>NVMY49024000001962</t>
  </si>
  <si>
    <t>NUR ATIKAH BT HUSIN</t>
  </si>
  <si>
    <t xml:space="preserve">NO 89 PARIT HAJI ALI , ALOR PONGSU 34300 BAGAN SERAI , PERAK </t>
  </si>
  <si>
    <t>NVMY49024000001965</t>
  </si>
  <si>
    <t>NURUL NADZIRAH BT ISMAIL</t>
  </si>
  <si>
    <t xml:space="preserve">NO 225 JALAN KENANGA 8/5 PERSIARAN AMANJAYA 7 08000 SG PETANI KEDAH </t>
  </si>
  <si>
    <t>NVMY49024000002012</t>
  </si>
  <si>
    <t>LOT 8907, LORONG HAJAH HABSAH KG PONDOK BARU PADANG SIAM 17500 TANAH MERAH, KELANTAN</t>
  </si>
  <si>
    <t>NVMY49024000001702</t>
  </si>
  <si>
    <t>Ieyah Che Hamat</t>
  </si>
  <si>
    <t>No236,Jalan Intan Duyung 6,Taman Intan Duyung,71050 si rusa,Port Dickson Negeri Sembilan.</t>
  </si>
  <si>
    <t>NVMY49024000001978</t>
  </si>
  <si>
    <t>nur alia maisara bt rosli</t>
  </si>
  <si>
    <t xml:space="preserve"> t/I no 7 kg parit haji ahmad mukim 18, sri medan 83400 batu pahat johor</t>
  </si>
  <si>
    <t>NVMY49024000001920</t>
  </si>
  <si>
    <t>ika</t>
  </si>
  <si>
    <t>131, Jalan Jeruntas, Kampung Baru Muafakat, 81550, Tanjung Kupang, Johor Bahru, 81550, Johor</t>
  </si>
  <si>
    <t>NVMY49024000001926</t>
  </si>
  <si>
    <t>Masyitah Omar</t>
  </si>
  <si>
    <t xml:space="preserve">Le Grandeur Palm Resort Johor, Jalan Persiaran Golf, 81250, Senai </t>
  </si>
  <si>
    <t>NVMY49024000002018</t>
  </si>
  <si>
    <t>PUSTAKA SHINY JAYA ( MALAYSIA ) SDN. BHD</t>
  </si>
  <si>
    <t>NO C11, JALAN STESYEN , 41000 KLANG, SELANGOR</t>
  </si>
  <si>
    <t>NVMY49024000001990</t>
  </si>
  <si>
    <t>DR. SHUREEN FARIS ABDUL SHUKOR</t>
  </si>
  <si>
    <t>KETUA JABATAN SENIBINA LANDSKAP, FAKULTI REKABENTUK DAN SENIBINA, UNIVERSITI PUTRA MALAYSIA, 43400 UPM SERDANG</t>
  </si>
  <si>
    <t>NVMY49024000002063</t>
  </si>
  <si>
    <t>natasha abdullah</t>
  </si>
  <si>
    <t>no 28 felda mengkuang 28340 triang pahang</t>
  </si>
  <si>
    <t>NVMY49024000001787</t>
  </si>
  <si>
    <t>MD FARIS ZAKARIA</t>
  </si>
  <si>
    <t>NO.294 LORONG 8 TAMAN BAIDURI 33300 GERIK PERAK</t>
  </si>
  <si>
    <t>NVMY49024000001954</t>
  </si>
  <si>
    <t>Rohaiza</t>
  </si>
  <si>
    <t>Lot 899 jln sg sembilang baru, km13 pekan umbai. 77300 merlimau melaka enuh awak</t>
  </si>
  <si>
    <t>NVMY49024000002050</t>
  </si>
  <si>
    <t>NVMY49024000001968</t>
  </si>
  <si>
    <t>ntan Nur ainina binti maiyudin</t>
  </si>
  <si>
    <t>No 9, jalan desa permata 6 Taman desa permata, 33300 Gerik ,Perak</t>
  </si>
  <si>
    <t>NVMY49024000001993</t>
  </si>
  <si>
    <t>ZAINIAH BINTI ISMAIL</t>
  </si>
  <si>
    <t>NO 2, JLN 2/3E, BANDAR RINCHING 43500 SEMENYIH, SELANGOR</t>
  </si>
  <si>
    <t>NVMY49024000001937</t>
  </si>
  <si>
    <t>balqis</t>
  </si>
  <si>
    <t>B-13-3 Flat Kampung Melayu Air Itam 11500 Pulau Pinang</t>
  </si>
  <si>
    <t>NVMY49024000001925</t>
  </si>
  <si>
    <t>Fareeda</t>
  </si>
  <si>
    <t>Lot 5630 Jalan Kuari Sg Long, bt 11 3/4 sg serai, 43100 hulu langat, selangor</t>
  </si>
  <si>
    <t>NVMY49024000002091</t>
  </si>
  <si>
    <t>NURUL HAZIRAH ELIAS</t>
  </si>
  <si>
    <t xml:space="preserve">KLINIK PERUBATAN KU KUALA NERUS PT 37792 TGKT NAWAH RIMBA SQUARE JALAN GONG PAK DAMAT 213000 KUALA NERUS TERENGGANU </t>
  </si>
  <si>
    <t>NVMY49024000002096</t>
  </si>
  <si>
    <t>Nur atika bt mohd noor</t>
  </si>
  <si>
    <t>No 8 lorong seri damai perdana 33 batu 6 jalan gambang 25150 kuantan pahang</t>
  </si>
  <si>
    <t>NVMY49024000001970</t>
  </si>
  <si>
    <t>NURUL ATIQAH BINTI ROMLI</t>
  </si>
  <si>
    <t>NO 53 KAMPUNG TANJUNG RADIN MUKIM GUAR KEPAYANG  06700 PENDANG KEDAH</t>
  </si>
  <si>
    <t>NVMY49024000001901</t>
  </si>
  <si>
    <t>Nuralis Natasya</t>
  </si>
  <si>
    <t>No. 16, Lorong 3, Taman Pokok Sena Indah, 13300 Tasek Gelugor, Pulau Pinang</t>
  </si>
  <si>
    <t>NVMY49024000002078</t>
  </si>
  <si>
    <t>ku zaidi ku muda</t>
  </si>
  <si>
    <t xml:space="preserve"> no 7 kampung gong tiong 22200 besut terengganu</t>
  </si>
  <si>
    <t>NVMY49024000001929</t>
  </si>
  <si>
    <t>haifaa harere</t>
  </si>
  <si>
    <t>1583 kampung setol permatang buluh , 13200 kepala batas pulau pinang</t>
  </si>
  <si>
    <t>NVMY49024000001949</t>
  </si>
  <si>
    <t>Nurin Afifah</t>
  </si>
  <si>
    <t>iExpress @ MesaMall, Nilai (MMN)  Lot GK-17A, Ground Floor, Mesamall, Persiaran Ilmu, Bandar Baru Nilai, 71800, Nilai, Negeri Sembilan</t>
  </si>
  <si>
    <t>NVMY49024000001984</t>
  </si>
  <si>
    <t>nor aliya nazira</t>
  </si>
  <si>
    <t>: 900 u9 kampung kota, permatang pasir, 13500 permatang pauh, pulau pinang.</t>
  </si>
  <si>
    <t>NVMY49024000002052</t>
  </si>
  <si>
    <t>Suhana</t>
  </si>
  <si>
    <t>NO 448 BLOK 19 FELDA KUMAI 28200 BANDAR BERA PAHANG</t>
  </si>
  <si>
    <t>NVMY49024000002064</t>
  </si>
  <si>
    <t>NVMY49024000001932</t>
  </si>
  <si>
    <t>Kakyaa</t>
  </si>
  <si>
    <t>No 1 jalan naga 9 , Taman harmoni 1, 81300 skudai Johor</t>
  </si>
  <si>
    <t>NVMY49024000001956</t>
  </si>
  <si>
    <t>Nor farina ismail</t>
  </si>
  <si>
    <t xml:space="preserve"> No 1 pintas pipit 4 Jln bukit panchor 14300 nibong Tebal Pulau pinang</t>
  </si>
  <si>
    <t>NVMY49024000001957</t>
  </si>
  <si>
    <t>NUR IZZATIE BT ISNIN</t>
  </si>
  <si>
    <t>277-1 batu 4 batu berendam 75350 Melaka</t>
  </si>
  <si>
    <t>NVMY49024000002082</t>
  </si>
  <si>
    <t>ZULKEFLI MOHAMAD</t>
  </si>
  <si>
    <t xml:space="preserve">46F MAHSURI APARTMENT TAMAN SETIAWANGSA 54200 SETIAWANGSA KUALA LUMPUR </t>
  </si>
  <si>
    <t>NVMY49024000002071</t>
  </si>
  <si>
    <t>MAZNI BINTI ABDULLAH</t>
  </si>
  <si>
    <t>LOT 4875 JALAN DATO HORMAT KAMPUNG TELOK NIPAH 42920 PULAU INDAH KLANG SELAGOR</t>
  </si>
  <si>
    <t>NVMY49024000001981</t>
  </si>
  <si>
    <t>Nur Elisa</t>
  </si>
  <si>
    <t xml:space="preserve"> 34 Jalan dian 19 Taman Munsyi Ibrahim 81200 </t>
  </si>
  <si>
    <t>NVMY49024000001910</t>
  </si>
  <si>
    <t>fatimah rahman</t>
  </si>
  <si>
    <t>no 138, lot 5022a, kg. kejai, 09300 kuala ketil, kedah</t>
  </si>
  <si>
    <t>NVMY49024000002030</t>
  </si>
  <si>
    <t>NVMY49024000001987</t>
  </si>
  <si>
    <t>ROSMAWATI BINTI MOHD NOR</t>
  </si>
  <si>
    <t>NO 2 TAMAN NAJWA CHENDERONG BATU 16250 WAKAF BHARU KELANTAN</t>
  </si>
  <si>
    <t>NVMY49024000001975</t>
  </si>
  <si>
    <t>nur hazwadina</t>
  </si>
  <si>
    <t xml:space="preserve">no 32 kg tok kepak mukim putat 06100 kodiang kedah </t>
  </si>
  <si>
    <t>NVMY49024000002044</t>
  </si>
  <si>
    <t>CHE NUR AHDAH</t>
  </si>
  <si>
    <t>DIY ACCESSORIES SDN BHD FIRST FLOOR, LOTUS'S KOTA BHARU, 15050 KELANTAN</t>
  </si>
  <si>
    <t>NVMY49024000002075</t>
  </si>
  <si>
    <t>SANIAH ZAWANI</t>
  </si>
  <si>
    <t xml:space="preserve">NO 13 JALAN UTAMA WARISAN SOLOK KEMANG , TAMAN WARISAN SOLOK KEMANG 78300 MASJID TANAH MELAKA </t>
  </si>
  <si>
    <t>NVMY49024000001885</t>
  </si>
  <si>
    <t>Lily Hashim</t>
  </si>
  <si>
    <t>Pejabat daerah dan tanah gombak Bangunan sultan sulaiman  Persiaran pegawai Bandar baru selayang 68100 batu caves</t>
  </si>
  <si>
    <t>NVMY49024000002080</t>
  </si>
  <si>
    <t>NVMY49024000001982</t>
  </si>
  <si>
    <t>NUR AZUANI BINTI ARIFFIN</t>
  </si>
  <si>
    <t xml:space="preserve"> Parcel room, B13-08, The Aliff Residences, Block B, Jalan Tahana, Kawasan Perindustrian Tampoi, 80350, Bandar Johor Bahru, Johor Bahru, 80350, Johor</t>
  </si>
  <si>
    <t>NVMY49024000001921</t>
  </si>
  <si>
    <t>SITI SYAHIRAH THAQIFAH BINTI MASOR</t>
  </si>
  <si>
    <t xml:space="preserve">NO9, JALAN SKSAM, KG BELANTIK, 08210, SIK KEDAH </t>
  </si>
  <si>
    <t>NVMY49024000002004</t>
  </si>
  <si>
    <t>SH NORAISIKIN BT SAID AGIL</t>
  </si>
  <si>
    <t>LOT 420 KAMPUNG BANJIR PERAMU 26060 KUANTAN PAHANG</t>
  </si>
  <si>
    <t>NVMY49024000001918</t>
  </si>
  <si>
    <t>Nur Azira bt Rosli</t>
  </si>
  <si>
    <t>Smka Kerian, Jalan Kampung Selamat, 34400 Simpang Empat, Semanggol Perak</t>
  </si>
  <si>
    <t>NVMY49024000001941</t>
  </si>
  <si>
    <t>Mohamad Hazzim bin Mohd Anuar</t>
  </si>
  <si>
    <t>No.7 Jalan Padi Huma 13, Bandar Baru UDA, 81200 Johor Bahru, Johor</t>
  </si>
  <si>
    <t>NVMY49024000001797</t>
  </si>
  <si>
    <t>NURAIN BINTI JAMALI</t>
  </si>
  <si>
    <t xml:space="preserve">NO34 KAMPUNG SAGENG,94800 SIMUNJAN,SARAWAK </t>
  </si>
  <si>
    <t>NVMY49024000002016</t>
  </si>
  <si>
    <t>KAMSUHAINI BINTI SHAMSUDIN</t>
  </si>
  <si>
    <t>SK TUMPAT 1, 16200 TUMPAT KELANTAN</t>
  </si>
  <si>
    <t>NVMY49024000001963</t>
  </si>
  <si>
    <t>shazleen binti zulkiflee</t>
  </si>
  <si>
    <t>08-30 blok cempaka taman tun teja,48000 rawang selangor</t>
  </si>
  <si>
    <t>NVMY49024000002053</t>
  </si>
  <si>
    <t>mazliana binti tasrip</t>
  </si>
  <si>
    <t>batu 36 1/2, jln hj ismail, kg kundang, 42800 Tanjong Sepat, Selangor</t>
  </si>
  <si>
    <t>NVMY49024000002090</t>
  </si>
  <si>
    <t>NORASMALIZA BINTI YUSOFF</t>
  </si>
  <si>
    <t xml:space="preserve">NO A02-01 KUATERS GURU LUKUT , 71010 PORT DICKSON , NEGERI SEMBILAN </t>
  </si>
  <si>
    <t>NVMY49024000001906</t>
  </si>
  <si>
    <t>Fatma Addang</t>
  </si>
  <si>
    <t>Fatma Addang, Pondok Security, Institut Latihan Kementerian Kesihatan Malaysia (ILKKM) Tawau, Peti Surat 1157, 91000 Tawau, Sabah.</t>
  </si>
  <si>
    <t>NVMY49024000001995</t>
  </si>
  <si>
    <t>YUSRI BIN MOHD YUSOF</t>
  </si>
  <si>
    <t>NO 5 7A, KG SUNGAI BADAK, KELANG LAMA KULIM KEDAH 09000</t>
  </si>
  <si>
    <t>NVMY49024000002094</t>
  </si>
  <si>
    <t>SUFIAN</t>
  </si>
  <si>
    <t xml:space="preserve">NO 28 JALAN KASUARINA 1 /KS 7 , BANDAR BOTANIC , 41200 KLANG </t>
  </si>
  <si>
    <t>NVMY49024000001720</t>
  </si>
  <si>
    <t>SITI ANNAS</t>
  </si>
  <si>
    <t>1-4-3, MEDAN MUTIARA APARTMENT, LEBUH NIPAH 1 TIMUR LAUT, PULAU PINANG, 11900</t>
  </si>
  <si>
    <t>NVMY49024000002118</t>
  </si>
  <si>
    <t>NVMY49024000002119</t>
  </si>
  <si>
    <t>NVMY49024000002103</t>
  </si>
  <si>
    <t>SUHAIMI SUDIN</t>
  </si>
  <si>
    <t>NO.3 LORONG 1, TAMAN SERI INDERAPURA, 25150, KUANTAN PAHANG</t>
  </si>
  <si>
    <t>NVMY49024000002115</t>
  </si>
  <si>
    <t>NAJIHAH</t>
  </si>
  <si>
    <t>BLOK N, NO 308A, KUARTERS HOSPITAL MACHANG 18500 MACHANG KELANTAN</t>
  </si>
  <si>
    <t>NVMY49024000002047</t>
  </si>
  <si>
    <t>Nabila</t>
  </si>
  <si>
    <t>no 49 Jalan 1 /  14 Taman Intan Perdana 71050 Port Dickson Negeri Sembilan</t>
  </si>
  <si>
    <t>NVMY49024000002079</t>
  </si>
  <si>
    <t>muhammad aidil hakim bin noh</t>
  </si>
  <si>
    <t>n031, kampung punggur laut barat 83100 rengit, batu pahat, johor</t>
  </si>
  <si>
    <t>NVMY49024000002100</t>
  </si>
  <si>
    <t>Masyitah Umairah binti Shafie</t>
  </si>
  <si>
    <t>no. 67, Jalan Kemboja 8, Taman Paya Rumput Perdana 76450 Melaka</t>
  </si>
  <si>
    <t>NVMY49024000002022</t>
  </si>
  <si>
    <t>ERYNA PAZNI</t>
  </si>
  <si>
    <t>NO 43, JALAN ALAM SITRIN 7, CITRINE RESIDENZI 81750 MASAI, JOHOR</t>
  </si>
  <si>
    <t>NVMY49024000002019</t>
  </si>
  <si>
    <t>TIARUM ABAS</t>
  </si>
  <si>
    <t>NO 8994 JLN 6 TMN DEBUNGA MERLIMAU 77300 MELAKA</t>
  </si>
  <si>
    <t>NVMY49024000002006</t>
  </si>
  <si>
    <t>SITI ROSIDAH BINTI ABU HASSAN</t>
  </si>
  <si>
    <t>NO 6 LINTANG MEKAR 8, TAMAN DESA MEKAR, 34200 PARIT BUNTAR, PERAK</t>
  </si>
  <si>
    <t>NVMY49024000001955</t>
  </si>
  <si>
    <t>HUDA DINIE BINTI HASLIANDI</t>
  </si>
  <si>
    <t>B2, MAHALLAH ZAID BIN HARITHAH, PAGOH EDU HUB, KM1 JALAN PANCHOR, 84600 MUAR JOHOR</t>
  </si>
  <si>
    <t>NVMY49024000002099</t>
  </si>
  <si>
    <t>HANA</t>
  </si>
  <si>
    <t xml:space="preserve">TOBIB AZLI SDN BHD,PT 751 TINGKAT 1 RUMAH KEDAI TAMAN SELEHONG KG AIR DINGIN 16200 TUMPAT KELANTAN </t>
  </si>
  <si>
    <t>NVMY49024000002136</t>
  </si>
  <si>
    <t>82, JLN MAHKOTA 9 SEKSYEN 9 BANDAR BUKIT MAHKOTA 43000 KAJANG SELANGOR</t>
  </si>
  <si>
    <t>NVMY49024000001951</t>
  </si>
  <si>
    <t>AMINA</t>
  </si>
  <si>
    <t>No. 18, jalan mewah ria 2/1, taman bukit mewah, 81200 johor bahru, johor</t>
  </si>
  <si>
    <t>NVMY49024000002056</t>
  </si>
  <si>
    <t>Nur Aizatul Natasha</t>
  </si>
  <si>
    <t>No 3,lorong 4,Taman Sungai Duri (PERDA) 14200 Sungai Bakap,Pulau Pinang</t>
  </si>
  <si>
    <t>NVMY49024000002031</t>
  </si>
  <si>
    <t>SAIDARUL AMIRAH</t>
  </si>
  <si>
    <t xml:space="preserve">PERNAMA PN15800 , PUSAT LATIHAN ASAS TENTERA DARAT PUSASDA PORT DICKSON , 71050 NEGERI SEMBILAN </t>
  </si>
  <si>
    <t>NVMY49024000002002</t>
  </si>
  <si>
    <t>SITI SARAH JAMIL</t>
  </si>
  <si>
    <t>44, JALAN SENANGIN, TAMAN SRI TENGGARA, 34200 PARIT BUNTAR, PERAK</t>
  </si>
  <si>
    <t>NVMY49024000002058</t>
  </si>
  <si>
    <t>Muhammad Ammar</t>
  </si>
  <si>
    <t>No61,Jalan Bachang Baru 8,75350,Bachang,Melaka</t>
  </si>
  <si>
    <t>NVMY49024000002017</t>
  </si>
  <si>
    <t>LOT 358845, JALAN TANJUNG DAMAI 22, RPT TANJUNG DAMAI ULU KINTA 31150 PERAK</t>
  </si>
  <si>
    <t>NVMY49024000002015</t>
  </si>
  <si>
    <t>SITI SARAH BINTI ISMAIL</t>
  </si>
  <si>
    <t>201 MK 8 GERTAK SANGGUL 11910 BAYAN LEPAS PULAU PINANG</t>
  </si>
  <si>
    <t>NVMY49024000002003</t>
  </si>
  <si>
    <t>NOOR IZZATI HANID</t>
  </si>
  <si>
    <t>89, JALAN MEWAH 8 TAMAN SUNGKAI MEWAH 35600 SUNGKAI PERAK</t>
  </si>
  <si>
    <t>NVMY49024000002065</t>
  </si>
  <si>
    <t>izyan farhana</t>
  </si>
  <si>
    <t xml:space="preserve">no 2 jalan karang 2 taman karang muhibah 83100 rengit batu pahat, johor </t>
  </si>
  <si>
    <t>NVMY49024000002061</t>
  </si>
  <si>
    <t>Nur azielah Binti  Zainal Abidin</t>
  </si>
  <si>
    <t>Bahagian Siasatan Dan Penguatkuasa Trafik Ipd Batu Gajah 31000 Batu Gajah Perak</t>
  </si>
  <si>
    <t>NVMY49024000002087</t>
  </si>
  <si>
    <t>ELLY</t>
  </si>
  <si>
    <t>TREFOIL B, 2, JLN SETIA DAGANG AH U13/AH, SETIA ALAM 40170 SHAH ALAM, SELANGOR</t>
  </si>
  <si>
    <t>NVMY49024000002108</t>
  </si>
  <si>
    <t>Nur afiqah auni</t>
  </si>
  <si>
    <t xml:space="preserve">N-2-37 Apt kenanga, taman bunga raya , bukit beruntung, 48300 , Rawang, Selangor </t>
  </si>
  <si>
    <t>NVMY49024000002045</t>
  </si>
  <si>
    <t>wardah afifah binti abdul ghani</t>
  </si>
  <si>
    <t>Kampung parit teropong sungai kechil ulu 34950 bandar baharu kedah</t>
  </si>
  <si>
    <t>NVMY49024000002077</t>
  </si>
  <si>
    <t>AZLINA MOHAMAD</t>
  </si>
  <si>
    <t>11 JALAN INDAH BINTONG, TAMAN INDAH BINTONG 01000 KANGAR PERLIS</t>
  </si>
  <si>
    <t>NVMY49024000002089</t>
  </si>
  <si>
    <t>SUHAINUR ZALINA BT ZAINAL</t>
  </si>
  <si>
    <t>NO 201 JALAN BUKIT BELIDA 6, TAMAN BUKIT BELIDA 70300 SEREMBAN, NEGERI SEMBILAN</t>
  </si>
  <si>
    <t>NVMY49024000002038</t>
  </si>
  <si>
    <t>Kak aida</t>
  </si>
  <si>
    <t>C4 , Jalan Desarena 8 Taman Desarena Jalan Kuala Kedah 06600 Kuala kedah , Kota setar Kedah</t>
  </si>
  <si>
    <t>NVMY49024000002021</t>
  </si>
  <si>
    <t>NUR SUHADA NADIA BT ABU HASSAN</t>
  </si>
  <si>
    <t>NO 23 JALAN 10A TAMAN POKOK MANGGA 75250 MELAKA</t>
  </si>
  <si>
    <t>NVMY49024000001499</t>
  </si>
  <si>
    <t>NOOR FATIN SYAFIKAH BINTI ZULKIFLI</t>
  </si>
  <si>
    <t>lot 583, lorong kubur Kampung Cherang melintang,Tumpat Kelantan</t>
  </si>
  <si>
    <t>NVMY49024000001958</t>
  </si>
  <si>
    <t>Nur Azlin (olin)</t>
  </si>
  <si>
    <t>No. 3, Jalan Berjaya 4, Taman Berjaya, 85300 Labis Johor</t>
  </si>
  <si>
    <t>NVMY49024000002066</t>
  </si>
  <si>
    <t>Arisya salleh</t>
  </si>
  <si>
    <t>634, Jalan Senai Utama 4/9, Taman Senai Utama, 81400, Senai, Kulai, 81400, Johor</t>
  </si>
  <si>
    <t>NVMY49024000002069</t>
  </si>
  <si>
    <t>akila farhana</t>
  </si>
  <si>
    <t>no 153 kampung bukit rahmat gersik,84700 tangkak johor</t>
  </si>
  <si>
    <t>NVMY49024000002076</t>
  </si>
  <si>
    <t>MIA</t>
  </si>
  <si>
    <t xml:space="preserve">NO 354 , KAMPUNG SUNGAI BUAYA , 40180 RAWANG SELANGOR </t>
  </si>
  <si>
    <t>NVMY49024000001689</t>
  </si>
  <si>
    <t>Returned to Sender</t>
  </si>
  <si>
    <t>NORAZIMAH BT MOHAMMED THANI</t>
  </si>
  <si>
    <t>A-11-01 PANGSAPURI BUKIT BARU, OFF JLN KERAMAT HUJUNG, KG DATOK KERAMAT,54000 KL</t>
  </si>
  <si>
    <t>NVMY49024000001942</t>
  </si>
  <si>
    <t>Alisa Fatihah Binti Razali</t>
  </si>
  <si>
    <t>LOT 1665 B TL JSP, 36 KG SG PUNAI,PERADIN,82000,PONTIAN,JOHOR</t>
  </si>
  <si>
    <t>NVMY49024000002098</t>
  </si>
  <si>
    <t>NVMY49024000002014</t>
  </si>
  <si>
    <t>NORASWANI BT NORFAIZ</t>
  </si>
  <si>
    <t>NO 21, TAMAN LUMUT INDAH 32200 LUMUT, PERAK</t>
  </si>
  <si>
    <t>NVMY49024000002067</t>
  </si>
  <si>
    <t>Noraida Suhaila binti mohd nazarudin</t>
  </si>
  <si>
    <t xml:space="preserve">No.9 Jalan Perniagaan Setia 2/18 Taman Perniagaan Setia  81100 johor Bahru  Johor </t>
  </si>
  <si>
    <t>NVMY49024000002134</t>
  </si>
  <si>
    <t>ZED ZAIDI</t>
  </si>
  <si>
    <t>NO 21, JLN 15/3C SEKSYEN 15, 43650 BANDAR BARU BANGI, SELANGOR</t>
  </si>
  <si>
    <t>NVMY49024000002037</t>
  </si>
  <si>
    <t>NURUL SYAHIDAH BINTI JAHARIN</t>
  </si>
  <si>
    <t>No 183, Lorong 10, Taman Berkat, 34700 Simpang, Taiping, Perak</t>
  </si>
  <si>
    <t>NVMY49024000001992</t>
  </si>
  <si>
    <t>NORAZAH BT FADZIL</t>
  </si>
  <si>
    <t>NO. 715 KAMPUNG BUKIT RAYA DALAM, 06700 PENDANG, KEDAH</t>
  </si>
  <si>
    <t>NVMY49024000002101</t>
  </si>
  <si>
    <t>Nureen adilla fitriyea</t>
  </si>
  <si>
    <t>Sekolah Sukan Malaysia Pahang, Jalan Bandar 10, Bandar Gambang, 26300, Kuala Kuantan</t>
  </si>
  <si>
    <t>NVMY49024000001832</t>
  </si>
  <si>
    <t>PEJABAT KESIHATAN DAERAH BERA NO 15 JALAN SENTRAL TRIANG</t>
  </si>
  <si>
    <t>NVMY49024000002048</t>
  </si>
  <si>
    <t>NURUL NADIA BINTI SAID</t>
  </si>
  <si>
    <t>Desa Aman Block A1 (53),7, Persiaran Paya Terubong ,Relau, Bayan Lepas Pulau Pinang 11900</t>
  </si>
  <si>
    <t>NVMY49024000002055</t>
  </si>
  <si>
    <t>Qaisara Uzma</t>
  </si>
  <si>
    <t>1-11-5 taman kumbar permai lintang kg masjid 11920 bayan lepas pulau pinang</t>
  </si>
  <si>
    <t>NVMY49024000001930</t>
  </si>
  <si>
    <t>Siti Rakinah Binti Ismail</t>
  </si>
  <si>
    <t>Zhulian Klang No 4-G, Jalan Makyong 5D/KU5 Bandar Bukit Raja 41050 Klang Selangor</t>
  </si>
  <si>
    <t>NVMY49024000002051</t>
  </si>
  <si>
    <t>NOR FARAHIN</t>
  </si>
  <si>
    <t>JB5182, JALAN SERI CHIN CHIN 10, TAMAN SERI CHIN CHIN, 77000 JASIN, MELAKA.</t>
  </si>
  <si>
    <t>NVMY49024000002009</t>
  </si>
  <si>
    <t>HADIYATUL HANIM</t>
  </si>
  <si>
    <t>D3-25 PANGSAPURI ENESTA, TAMAN DESA  AMAN 09410 PADANG SERAI, KEDAH</t>
  </si>
  <si>
    <t>NVMY49024000002057</t>
  </si>
  <si>
    <t>Nur Aini Binti Bahadul Rozhi</t>
  </si>
  <si>
    <t>Lot 11/202 Jalan Limau Kumboi,Kampung Sungai Limau ,09600 ,Lunas ,Kedah</t>
  </si>
  <si>
    <t>NVMY49024000002086</t>
  </si>
  <si>
    <t>MARIA RTW</t>
  </si>
  <si>
    <t>32, PERSIARAN SKUDAI 8, PUSAT PERUSAHAAN SKUDAI 8, 81300, JOHOR BAHRU, JOHOR</t>
  </si>
  <si>
    <t>NVMY49024000002133</t>
  </si>
  <si>
    <t>HAMIDAH KHALID</t>
  </si>
  <si>
    <t>A, 21 FELDA SUNGAI TEKAM JERANTUT PAHANG</t>
  </si>
  <si>
    <t>B1-JKA-4-34</t>
  </si>
  <si>
    <t>NVMY49024000002083</t>
  </si>
  <si>
    <t>NUR ILIYANA JOHARI</t>
  </si>
  <si>
    <t>LOT 145 B, JALAN MEK HALIMAH KG PAUH BUKIT GANTANG 34850 TAIPING, PERAK</t>
  </si>
  <si>
    <t>NVMY49024000002039</t>
  </si>
  <si>
    <t>Nasuha Zakaria</t>
  </si>
  <si>
    <t>No 9 Kampung Sungai dedap, 36000, teluk intan, perak</t>
  </si>
  <si>
    <t>NVMY49024000002132</t>
  </si>
  <si>
    <t>ZAKARIA HASHIM</t>
  </si>
  <si>
    <t>B-140 DEPAN PINTU GERBANG FELDA SG. TEKAM 27070 JERANTUT PAHANG</t>
  </si>
  <si>
    <t>NVMY49024000002043</t>
  </si>
  <si>
    <t>anis izzatti</t>
  </si>
  <si>
    <t>5208B,JALAN PERMATANG BENDAHARI,KAMPUNG PADANG TEMBUSU ,13100 PENAGA PULAU PINANG</t>
  </si>
  <si>
    <t>NVMY49024000002054</t>
  </si>
  <si>
    <t>NVMY49024000002117</t>
  </si>
  <si>
    <t>MUHD HAMZAN BIN AMRAN</t>
  </si>
  <si>
    <t>LOT 7450A, JLN SALAK TINGGI KG RTB BUKIT CHANGGANG 42700 BANTING SELANGOR</t>
  </si>
  <si>
    <t>NVMY49024000002041</t>
  </si>
  <si>
    <t>nurshakila</t>
  </si>
  <si>
    <t>Lot 1299C, Kampung Paya Lebar Dalam Pilin, 71300 Rembau, Negeri sembilan</t>
  </si>
  <si>
    <t>NVMY49024000002081</t>
  </si>
  <si>
    <t>MS.T</t>
  </si>
  <si>
    <t xml:space="preserve">NO 7 JALAN SETIA TROPIKA U13/18P SETIA ALAM 40170 SELANGOR </t>
  </si>
  <si>
    <t>NVMY49024000002060</t>
  </si>
  <si>
    <t>Izzat amir bin abdullah</t>
  </si>
  <si>
    <t>no 107, jalan 3/23b danau kota setapak 53300 kuala lumpur</t>
  </si>
  <si>
    <t>NVMY49024000001851</t>
  </si>
  <si>
    <t>HASMALIZA BINTI IBRAHIM</t>
  </si>
  <si>
    <t xml:space="preserve">411 , BLOCK D SUNWAY VILLA , JALAN PJS 7/16 , BANDAR SUNWAY , 46150 PETALING JAYA SELANGOR </t>
  </si>
  <si>
    <t>NVMY49024000002122</t>
  </si>
  <si>
    <t>NVMY49024000002084</t>
  </si>
  <si>
    <t>SALSABILA</t>
  </si>
  <si>
    <t>BLOK E-2-18 APARTMENT PESONA TAMAN PAUH JAYA 13700 PERAI, PENANG</t>
  </si>
  <si>
    <t>NVMY49024000002046</t>
  </si>
  <si>
    <t>nur afiqah binti mohd khairul faiz</t>
  </si>
  <si>
    <t>107 A, kampung kerunai 33310 gerik perak</t>
  </si>
  <si>
    <t>NVMY49024000002035</t>
  </si>
  <si>
    <t>No 51 Kampung Masjid Sera Mukim Pulai 09100 Baling,Kedah</t>
  </si>
  <si>
    <t>NVMY49024000002020</t>
  </si>
  <si>
    <t>NORATIKAH BT MD ARIFFIN</t>
  </si>
  <si>
    <t>1-18-24 TAMAN SRI PINANG, JALAN VETERINARY, 10150 PULAU PINANG</t>
  </si>
  <si>
    <t>NVMY49024000002104</t>
  </si>
  <si>
    <t>A-09-07 PPR SERI ANGGERIK BATU 4 JALAN KELANG LAMA 58200 KUALA LUMPUR</t>
  </si>
  <si>
    <t>NVMY49024000001905</t>
  </si>
  <si>
    <t>NURIN AFIFAH</t>
  </si>
  <si>
    <t>NO 313 TAMAN DESA KAMELA BATU 4 JALAN SUNGAI PETANI 05400 ALOR SETAR KEDAH</t>
  </si>
  <si>
    <t>NVMY49024000002073</t>
  </si>
  <si>
    <t>AUNI AQILAH</t>
  </si>
  <si>
    <t>A-11-6 TAMAN BUKIT JAMBUL, BAYAN LEPAS 11900 PENANG</t>
  </si>
  <si>
    <t>NVMY49024000002029</t>
  </si>
  <si>
    <t>NVMY49024000002042</t>
  </si>
  <si>
    <t>Mariam</t>
  </si>
  <si>
    <t>No 8416 lorong wak satey , kg pandan 1 jalan lapangan terbang 25150 kuantan pahang</t>
  </si>
  <si>
    <t>NVMY49024000001687</t>
  </si>
  <si>
    <t>MAKELSUM BINTI MAIL</t>
  </si>
  <si>
    <t>NO 1 TINGKAT 1 LRG KOMERSIAL RIVERFRONT 1 PUSAT KOMERSIAL  RIVERFRONT</t>
  </si>
  <si>
    <t>NVMY49024000002131</t>
  </si>
  <si>
    <t>RODZIAH BINTI IBRAHIM</t>
  </si>
  <si>
    <t xml:space="preserve">TADIKA PETAH BICARA 70-1 JALAN SERI IMPIAN 1/2 BANDAR SERI IMPIAN 86000 KLUANG JOHOR </t>
  </si>
  <si>
    <t>NVMY49024000002166</t>
  </si>
  <si>
    <t>NORZIELA EMBONG</t>
  </si>
  <si>
    <t xml:space="preserve">534  A KAMPUNG KEBOR AIR , MANIR 21200 KUALA TERENGGANU </t>
  </si>
  <si>
    <t>NVMY49024000002102</t>
  </si>
  <si>
    <t>NURUL NAJIHAH BINTI ZUL AZHAR</t>
  </si>
  <si>
    <t>NO.47 PERSIARAN CEMPAKA, SARI 4 TAMAN CEMPAKA, 31400 IPOH, PERAK</t>
  </si>
  <si>
    <t>NVMY49024000002152</t>
  </si>
  <si>
    <t>RAJA ZULAIKHA</t>
  </si>
  <si>
    <t>PT 4187 TAMAN SRI WALI 18000, KUALA KRAI, KELANTAN</t>
  </si>
  <si>
    <t>NVMY49024000001917</t>
  </si>
  <si>
    <t>Nur Azhien</t>
  </si>
  <si>
    <t>B-14-7 Pangsapuri Taman Ampang Mewah, Jalan Mewah 6, Taman Ampang Mewah 68000 Ampang, Selangor</t>
  </si>
  <si>
    <t>NVMY49024000002123</t>
  </si>
  <si>
    <t>ZARINA BINTI OMAR</t>
  </si>
  <si>
    <t xml:space="preserve">NO 8 LORONG BENDAHARA 13 LAKEHOME , BERTAM PERDANA 2 13200 KEPALA BATAS PULAU PINANG </t>
  </si>
  <si>
    <t>NVMY49024000002168</t>
  </si>
  <si>
    <t>No.30 Lorong Seberang Balok 102, Taman Balok Putra, 26100 Kuantan Pahang</t>
  </si>
  <si>
    <t>NVMY49024000002155</t>
  </si>
  <si>
    <t>NURHIDAWATI ALBAKRI</t>
  </si>
  <si>
    <t>NVMY49024000002162</t>
  </si>
  <si>
    <t>FILZAH SHUKRI</t>
  </si>
  <si>
    <t xml:space="preserve">NO 36 LORONG PINGGIRAN PUTRA 2/128 D , MARINA RWSIDENSI , 26060 KUANTAN PAHANG </t>
  </si>
  <si>
    <t>NVMY49024000002114</t>
  </si>
  <si>
    <t>NUR FAEZAH ZAKARIA</t>
  </si>
  <si>
    <t>NO 190 JALAN BAKRI MULIA 6, TAMAN BAKRI MULIA, 84200 MUAR JOHOR</t>
  </si>
  <si>
    <t>NVMY49024000002129</t>
  </si>
  <si>
    <t>NOORMAH BT ALI</t>
  </si>
  <si>
    <t xml:space="preserve">SBH 10235 , UNIT 3 LORONG 3 KAMPUNG LAHAR TIANG , 13200 KEPALA BATAS SEBERANG PERAI ( U ) PULAU PINANG </t>
  </si>
  <si>
    <t>NVMY49024000002024</t>
  </si>
  <si>
    <t>AMIRUL IZWAN</t>
  </si>
  <si>
    <t>LOT 6256, LORONG HAJI MUSRAN RANTAU PANJANG 42100 KLANG SELANGOR</t>
  </si>
  <si>
    <t>NVMY49024000002034</t>
  </si>
  <si>
    <t>Mohd Hazuwa Ariff</t>
  </si>
  <si>
    <t xml:space="preserve"> Klinik kesihatan kg bandar.16600 pulai chondong Kelanta</t>
  </si>
  <si>
    <t>NVMY49024000002128</t>
  </si>
  <si>
    <t xml:space="preserve">NO 16 JALAN IDAMAN 2 TAMAN LARKIN IDAMAN 80350 JOHOR BAHRU JOHOR </t>
  </si>
  <si>
    <t>NVMY49024000002107</t>
  </si>
  <si>
    <t>NUR FATIN ELIKA BINTI KARIM</t>
  </si>
  <si>
    <t>334 KG PAYA KELUBI, BUKIT KETERI, JLN BG LI 02400 KANGAR PERLIS</t>
  </si>
  <si>
    <t>NVMY49024000002105</t>
  </si>
  <si>
    <t>haifaa najlaa</t>
  </si>
  <si>
    <t>a86 lorong permata semarak 3 , taman permata semarak, 08000 sungai petani, kedah</t>
  </si>
  <si>
    <t>NVMY49024000002120</t>
  </si>
  <si>
    <t>KHAIRUL IKHWAN</t>
  </si>
  <si>
    <t>NO 142 , TAMAN MAHSURI FASA 2D , 06000 JITRA KEDAH</t>
  </si>
  <si>
    <t>NVMY49024000002140</t>
  </si>
  <si>
    <t>Ayu ibrahim</t>
  </si>
  <si>
    <t>Lot 1786 kampung serdang muda,16400 melor kota bharu kelantan</t>
  </si>
  <si>
    <t>NVMY49024000002023</t>
  </si>
  <si>
    <t>LELLA WATI BINTI ABD KADIR</t>
  </si>
  <si>
    <t>NO 4, JALAN BUKIT PERMAI 1 TAMAN BUKIT PERMAI 56100 KUALA LUMPUR</t>
  </si>
  <si>
    <t>NVMY49024000002093</t>
  </si>
  <si>
    <t>NVMY49024000001945</t>
  </si>
  <si>
    <t>NURFARHAH NAJIHA</t>
  </si>
  <si>
    <t>NO 70 LALUAN MERU PERMAI 2 BANDAR MERU RAYA IPOH PERAK, 30020</t>
  </si>
  <si>
    <t>NVMY49024000002124</t>
  </si>
  <si>
    <t>FAUZIAH JOHARI</t>
  </si>
  <si>
    <t xml:space="preserve">NO 7 JALAN SS 8/8 TAMAN SRI SAUJANA 81900 KOTA TINGGI JOHOR </t>
  </si>
  <si>
    <t>NVMY49024000002113</t>
  </si>
  <si>
    <t>NUR FATIN SYAZWINA BINTI IBRAHIM</t>
  </si>
  <si>
    <t xml:space="preserve">NO 357, JALAN JALAI JAYA 9, TAMAN JALAI JAYA, 06200 KEPALA BATAS KEDAH </t>
  </si>
  <si>
    <t>NVMY49024000002125</t>
  </si>
  <si>
    <t>SAMSIAH BT MAT RANI</t>
  </si>
  <si>
    <t xml:space="preserve">PT 1732 , JALAN KERANJI KPG TERSUSUN BATU 7 LEKIR , 32000 SITIAWAN PERAK </t>
  </si>
  <si>
    <t>NVMY49024000002137</t>
  </si>
  <si>
    <t>NORFAIZAH SOHAMI</t>
  </si>
  <si>
    <t>NO 4 JALAN 1/1A, TAMAN BARU, 68000 AMPANG SELANGOR</t>
  </si>
  <si>
    <t>NVMY49024000002008</t>
  </si>
  <si>
    <t>KAMISAH BT OMAR</t>
  </si>
  <si>
    <t>NO 254 TAMAN SENA LABU BESAR 09010 KULIM, KEDAH</t>
  </si>
  <si>
    <t>NVMY49024000002144</t>
  </si>
  <si>
    <t>PLOT 13, LOT 5635, JLN DAMANSARA, KG JEJAROM 46200 JEJAROM SELANGOR</t>
  </si>
  <si>
    <t>NVMY49024000002097</t>
  </si>
  <si>
    <t>Khairul Abqa</t>
  </si>
  <si>
    <t>19, Jalan 3/21, Bangi Perdana, Seksyen 3, Bandar Baru Bangi, 43650 Kajang Selangor</t>
  </si>
  <si>
    <t>NVMY49024000002111</t>
  </si>
  <si>
    <t>Nor hasyimah ali</t>
  </si>
  <si>
    <t>No 27 jalan kemuliaan 35 , taman universiti , 81300 skudai , johor</t>
  </si>
  <si>
    <t>NVMY49024000002059</t>
  </si>
  <si>
    <t>Wan Nurul Liyana</t>
  </si>
  <si>
    <t xml:space="preserve">B-11-7 Residensi Brickfields, Jalan Thamby Abdullah 1, Brickfields 50470 Kuala Lumpur. </t>
  </si>
  <si>
    <t>NVMY49024000001997</t>
  </si>
  <si>
    <t>ROSHAIDA BT NAWI</t>
  </si>
  <si>
    <t xml:space="preserve">PENGKALAN POLIS MARIN BINTAWA , 93450 KUCHING SARAWAK </t>
  </si>
  <si>
    <t>NVMY49024000002177</t>
  </si>
  <si>
    <t>uncleZ</t>
  </si>
  <si>
    <t>196 Kg Lama Lurah Bilut 28800 Bentong Pahang</t>
  </si>
  <si>
    <t>NVMY49024000002010</t>
  </si>
  <si>
    <t>ANIM BAKERI</t>
  </si>
  <si>
    <t>NO 71, JLN PUTRI 8 , TAMAN PUTRIMAS 86200 SPG RENGGAM KLUANG, JOHOR</t>
  </si>
  <si>
    <t>NVMY49024000002000</t>
  </si>
  <si>
    <t>ZULKIFLI BIN TALIP</t>
  </si>
  <si>
    <t>NO 1912 KAMPUNG GERSIK, 87000 WILAYAH PERSEKUTUAN LABUAN, SABAH</t>
  </si>
  <si>
    <t>NVMY49024000002184</t>
  </si>
  <si>
    <t>Wan Husin wan Abas</t>
  </si>
  <si>
    <t xml:space="preserve">Balai Pengawal Penjara Marang 21600 Marang Terengganu </t>
  </si>
  <si>
    <t>NVMY49024000002215</t>
  </si>
  <si>
    <t>NVMY49024000002188</t>
  </si>
  <si>
    <t>Amalina</t>
  </si>
  <si>
    <t>No 313A,Jalan Anggerik Heights 6,Taman Anggerik Heights,28700 Bentong,Pahang</t>
  </si>
  <si>
    <t>NVMY49024000002164</t>
  </si>
  <si>
    <t>NORAMAN ABDUL AZIZ</t>
  </si>
  <si>
    <t>TATEYAMA AUTO MACHINE SDN BHD LOT 2 JALAN PELABUR 23/1 SEKSYEN 23, 40300 SHAH ALAM SELANGOR</t>
  </si>
  <si>
    <t>NVMY49024000002161</t>
  </si>
  <si>
    <t>Abdul Fatah</t>
  </si>
  <si>
    <t>No1 Kampung Ampang Tinggi Bengkel Cat Kereta Fizaid Enterprise Depan Bhp, 71500 Kuala Pilah, Negeri Sembilan</t>
  </si>
  <si>
    <t>NVMY49024000002181</t>
  </si>
  <si>
    <t>NVMY49024000002208</t>
  </si>
  <si>
    <t>MOHD NOOR HISHAM BIN MUHAMAD</t>
  </si>
  <si>
    <t>SMK SULTAN IBRAHIM 1 17000 PASIR MAS KELANTAN</t>
  </si>
  <si>
    <t>NVMY49024000002185</t>
  </si>
  <si>
    <t>Mahaizar bin mohd zain</t>
  </si>
  <si>
    <t>No 34. Jln Tanjung resang 30/25a seksyen 30  40460 shah alam selangor</t>
  </si>
  <si>
    <t>NVMY49024000002204</t>
  </si>
  <si>
    <t>Safran</t>
  </si>
  <si>
    <t>A117, Tingkat 1, Jalan Bukit Setongkol, 25200 Kuantan, Pahang</t>
  </si>
  <si>
    <t>NVMY49024000002072</t>
  </si>
  <si>
    <t>NUR SYAZADATUL NISMA BINTI SUHURANI</t>
  </si>
  <si>
    <t>KAMPUNG JAWA KONGSI 10, RUMAH NO 7, JALAN SIN ONN, AIR PANAS , 91000 TAWAU, SABAH</t>
  </si>
  <si>
    <t>E2-TWU-11-167</t>
  </si>
  <si>
    <t>NVMY49024000002220</t>
  </si>
  <si>
    <t>INTAN HAZRIN AZWANA BINTI AB AZIZ</t>
  </si>
  <si>
    <t>LOT 1136 JALAN HAJI OTHMAN LAMA RANTAU PANJANG 42100 KLANG SELANGOR</t>
  </si>
  <si>
    <t>NVMY49024000002167</t>
  </si>
  <si>
    <t>NAZIRUL SYAHMI</t>
  </si>
  <si>
    <t>No. 19, Jalan Chengal 4, Desa Alam Ria, 44300 Batang Kali, Hulu Selangor, Selangor</t>
  </si>
  <si>
    <t>NVMY49024000002178</t>
  </si>
  <si>
    <t>NVMY49024000002193</t>
  </si>
  <si>
    <t>Kamarul azrin</t>
  </si>
  <si>
    <t>166C Jalan Tangki Air Kg Pak Sabah 23000 Dungun Tgnu</t>
  </si>
  <si>
    <t>NVMY49024000002141</t>
  </si>
  <si>
    <t>NORLATIFA BT CHE MAJID</t>
  </si>
  <si>
    <t>NO. 130 PERSIARAN 10 TAMAN PUNCAK BOGAINVILLEA 33000 KUALA KANGSAR, PERAK</t>
  </si>
  <si>
    <t>NVMY49024000002170</t>
  </si>
  <si>
    <t>NUR SYAZWANI BINTI MOHD ISMAIL</t>
  </si>
  <si>
    <t xml:space="preserve">A-31-13 A PPAM METROPOLITAN KEPONG JALAN LINGKARAN MRR 2 52100 KEPONG , WILAYAH PERSEKUTUAN KUALA LUMPUR </t>
  </si>
  <si>
    <t>NVMY49024000002158</t>
  </si>
  <si>
    <t>PUAN SAIDAH BINTI MD ALWI</t>
  </si>
  <si>
    <t>TINGKAT 10, WISMA PKNK, JALAN SULTAN BADLISHAH 05000 ALOR SETAR, KEDAH</t>
  </si>
  <si>
    <t>NVMY49024000002180</t>
  </si>
  <si>
    <t>NVMY49024000002226</t>
  </si>
  <si>
    <t>MUHAMAD NASRULLAH</t>
  </si>
  <si>
    <t>LOT 1390, KG DESA REBANA, 18500 MACHANG KELANTAN</t>
  </si>
  <si>
    <t>NVMY49024000002032</t>
  </si>
  <si>
    <t>Tini Madu</t>
  </si>
  <si>
    <t>E3-MKM-11-174</t>
  </si>
  <si>
    <t>NVMY49024000002212</t>
  </si>
  <si>
    <t>NVMY49024000002211</t>
  </si>
  <si>
    <t>NVMY49024000002163</t>
  </si>
  <si>
    <t>AZLIN MD ARIFF</t>
  </si>
  <si>
    <t xml:space="preserve">37 , JALAN SP6/4 , BANDAR SERI PUTRA 43000 KAJANG SELANGOR </t>
  </si>
  <si>
    <t>NVMY49024000002198</t>
  </si>
  <si>
    <t>mohd shahril bin johari</t>
  </si>
  <si>
    <t>Ladang PKPP Sri Ramin, Bandar Dua, Paloh Hinai, 26650 Pekan, Pahang Darul Makmur.</t>
  </si>
  <si>
    <t>NVMY49024000002222</t>
  </si>
  <si>
    <t>NVMY49024000002139</t>
  </si>
  <si>
    <t>SHAHIRAH ABU HASHIM</t>
  </si>
  <si>
    <t>L2 KAMPUNG PARIT MOHAMAD, 83500 PARIT SULONG, BATU PAHAT JOHOR</t>
  </si>
  <si>
    <t>NVMY49024000002149</t>
  </si>
  <si>
    <t>RAZIAH BINTI ABDUL RASID</t>
  </si>
  <si>
    <t xml:space="preserve">NO 53 JALAN AHMAD SAID 4 , TAMAN FELCRA JAYA , 36800 KG GAJAH PERAK </t>
  </si>
  <si>
    <t>NVMY49024000002160</t>
  </si>
  <si>
    <t>NUWAIRANI BT MUKHTAR</t>
  </si>
  <si>
    <t xml:space="preserve">LOT 6219 B , JALAN HAJI SIDEK KG JIJAN , 71800 NILAI NEGERI SEMBILAN </t>
  </si>
  <si>
    <t>NVMY49024000002153</t>
  </si>
  <si>
    <t>THE DENTAL LAB NETWORKS SDN BHD</t>
  </si>
  <si>
    <t>DENTAL LAB NETWORKS SDN BHD, NO 28-D, 3RD FLOOR, JALAN BRP 6/11, BUKIT RAHMAN PUTRA, SUNGAI BULOH 47000 SUNGAI BULOH SELANGOR</t>
  </si>
  <si>
    <t>NVMY49024000002195</t>
  </si>
  <si>
    <t>Muhammad Alwi</t>
  </si>
  <si>
    <t>50B-11-2 Apartment Sri Ixora Seksyen 27 40400 Shah Alam Selangor</t>
  </si>
  <si>
    <t>NVMY49024000002151</t>
  </si>
  <si>
    <t>SHARIFAH RABAATUL ADWIYAH</t>
  </si>
  <si>
    <t xml:space="preserve">4B 14 03 PPAM LARAI , PRESINT 6 , 62150 PUTRAJAYA </t>
  </si>
  <si>
    <t>NVMY49024000002145</t>
  </si>
  <si>
    <t>NORAINI MAHMOD</t>
  </si>
  <si>
    <t>20, JLN TEMBIKAI, 22 TAMAN MASAI 81700 PASIR GUDANG, JOHOR</t>
  </si>
  <si>
    <t>NVMY49024000002121</t>
  </si>
  <si>
    <t>Hartini Binti Had</t>
  </si>
  <si>
    <t>39 ,Jalan Utama Jaya ,Taman Utama Jaya 2, 01000, Kangar, Perlis</t>
  </si>
  <si>
    <t>NVMY49024000002214</t>
  </si>
  <si>
    <t>YANA DINIE</t>
  </si>
  <si>
    <t>NO LOT 5686 B, JALAN KLINIK DESA BUKIT AGU TEPOH 21020 KUALA TERENGGANU</t>
  </si>
  <si>
    <t>NVMY49024000002146</t>
  </si>
  <si>
    <t>SHARIMAH ISMAIL</t>
  </si>
  <si>
    <t>PTD 12052, JLN PISANG MONTEL, KG DESA HARAPAN (3), BUKIT BATU 81000, KULAI, JOHOR</t>
  </si>
  <si>
    <t>NVMY49024000002201</t>
  </si>
  <si>
    <t>NVMY49024000002106</t>
  </si>
  <si>
    <t>NURHANIS HUSNA BT MOHD SABRI</t>
  </si>
  <si>
    <t>no.32, block c, jalan MU DUA, medan universiti, pusat penginapan dan kediaman tambahan ulu pauh, kolej universiti islam perlis (KUIPs), 02600, perlis</t>
  </si>
  <si>
    <t>NVMY49024000002183</t>
  </si>
  <si>
    <t>Mohd Khairulazman</t>
  </si>
  <si>
    <t>Lot 5430 Kg Seberang Takir, 21300 Kuala Nerus, Terengganu.</t>
  </si>
  <si>
    <t>NVMY49024000002173</t>
  </si>
  <si>
    <t>NURHIDAYAH BT MD NAS</t>
  </si>
  <si>
    <t xml:space="preserve">LOT 1954 JALAN SERI KENANGAN KG TUN RAZAK BUKIT KATIL 75450 MELAKA </t>
  </si>
  <si>
    <t>NVMY49024000002171</t>
  </si>
  <si>
    <t>AQILZAM</t>
  </si>
  <si>
    <t xml:space="preserve">BEREK BUJANG A-2 PINTU NO2 PUSAT LATIHAN POLIS , JALAN SULTAN YAHYA PETRA , MALAYSIAN POLICE TRAINING CENTRE , W.P , KUALA LUMPUR 54100 W,P KUALA LUMPUR </t>
  </si>
  <si>
    <t>NVMY49024000002223</t>
  </si>
  <si>
    <t>Nurul Adillah binti Yusof</t>
  </si>
  <si>
    <t>No.5, Jalan Vista Emas 3, Taman Vista Emas, 43000 Kajang, Selangor.</t>
  </si>
  <si>
    <t>NVMY49024000002172</t>
  </si>
  <si>
    <t>AMIRUL IZAB</t>
  </si>
  <si>
    <t xml:space="preserve">NO 6 JALAN 16/50 TAMAN ALAM SURIA , 42300 BANDAR PUNCAK ALAM </t>
  </si>
  <si>
    <t>NVMY49024000002196</t>
  </si>
  <si>
    <t>Abdul Razak Bin Ahmad Apandi</t>
  </si>
  <si>
    <t>No 4 ,Jalan tempinis 3 Taman Lucky Gardens Bangsar, 59100 Kuala Lumpur</t>
  </si>
  <si>
    <t>NVMY49024000002221</t>
  </si>
  <si>
    <t>NVMY49024000002165</t>
  </si>
  <si>
    <t>NOOR RUZANNA SAMIKON</t>
  </si>
  <si>
    <t xml:space="preserve">NO 32 KG PT TENGAH , 86400 PT RAJA BATU PAHAT JOHOR </t>
  </si>
  <si>
    <t>NVMY49024000002138</t>
  </si>
  <si>
    <t>NURUL SHAFIZA BT OTHMAN</t>
  </si>
  <si>
    <t>NO 256, LORONG KIARA 20, TAMAN KIARA, JALAN DATUK KUMBAR, 05300 ALOR SETAR, KEDAH</t>
  </si>
  <si>
    <t>NVMY49024000002182</t>
  </si>
  <si>
    <t>Baharudin bin mat</t>
  </si>
  <si>
    <t>Pt10905 jln sk suria 3 kg Banggol jenerih 17500 tanah merah Kelantan</t>
  </si>
  <si>
    <t>NVMY49024000002186</t>
  </si>
  <si>
    <t>ROZITA</t>
  </si>
  <si>
    <t xml:space="preserve">KUARTERS PDRM E1 , B1 JALAN KELUANG KG KELUANG 22200 KAMPUNG RAJA TERENGGANU </t>
  </si>
  <si>
    <t>NVMY49024000002127</t>
  </si>
  <si>
    <t>HAYATI BINTI SAIBI</t>
  </si>
  <si>
    <t xml:space="preserve">NO 9 LORONG RENTAP TIANG SOON HEIGHT , 96100 SARIKEI SARAWAK </t>
  </si>
  <si>
    <t>NVMY49024000002213</t>
  </si>
  <si>
    <t>Mohamed Almi Shah Othman</t>
  </si>
  <si>
    <t>No3/1B Tapak Kedai Mara Felda Sungai Nerek 28030 Temerloh Pahang</t>
  </si>
  <si>
    <t>NVMY49024000002092</t>
  </si>
  <si>
    <t>Nurlinda binti Sahat</t>
  </si>
  <si>
    <t xml:space="preserve">Nurlinda binti Sahat  BG 11 Blok B  Pangsapuri Anggerik  Taman Putra Kajang  43000 Kajang Selangor </t>
  </si>
  <si>
    <t>NVMY49024000002189</t>
  </si>
  <si>
    <t>Adilan bin Salleh</t>
  </si>
  <si>
    <t>Lot 3106,Lorong sukerman,Kpg Delek kanan,41250 Klang, Selangor Darul Ehsan</t>
  </si>
  <si>
    <t>NVMY49024000002116</t>
  </si>
  <si>
    <t>YASMIN</t>
  </si>
  <si>
    <t>KUARTERS KLIA HEALTH CLINIC TAMAN MEMANCING ISTANA BUNIAN 71800 NILAI NEGERI SEMBILAN</t>
  </si>
  <si>
    <t>NVMY49024000002150</t>
  </si>
  <si>
    <t>GLOBAL IT - WARRANTY</t>
  </si>
  <si>
    <t xml:space="preserve">8 , JALAN BAYU TINGGI 1b , BANDAR BUKIT TINGGI , 41200 KLANG SELANGOR </t>
  </si>
  <si>
    <t>NVMY49024000002147</t>
  </si>
  <si>
    <t>AZIZAH BT HARUN</t>
  </si>
  <si>
    <t>NO 2D-3, LORONG KANCIL, KG KLANG GATE BARU, 53100 SETAPAK, KUALA LUMPUR</t>
  </si>
  <si>
    <t>NVMY49024000002049</t>
  </si>
  <si>
    <t>HUSNA DALILA BINTI RUSLI</t>
  </si>
  <si>
    <t>NO 9, LORONG JURI BIDIN, JALAN KILANG GULA, KAMPUNG SUNGAI SERAI, 02500, CHUPING, PERLIS</t>
  </si>
  <si>
    <t>NVMY49024000002040</t>
  </si>
  <si>
    <t>Aisyah Hisham</t>
  </si>
  <si>
    <t>Blok 4-1-1 ,Taman Muhibbah, Lengkok Batu Maung, Taman Ipeng, Barat Daya, 11960, Penang</t>
  </si>
  <si>
    <t>NVMY49024000002156</t>
  </si>
  <si>
    <t>SYAHIRAH</t>
  </si>
  <si>
    <t xml:space="preserve">2B-02-08 DESA IMPIANA , JALAN PUCHONG PRIMA , PUCHONG 47150 SELANGOR </t>
  </si>
  <si>
    <t>NVMY49024000002203</t>
  </si>
  <si>
    <t>Suhaimin bin omar</t>
  </si>
  <si>
    <t>Kampung berchang bukit panau 17500 tanah merah kelantan</t>
  </si>
  <si>
    <t>NVMY49024000002157</t>
  </si>
  <si>
    <t>NORAINI BINTI HASHIM</t>
  </si>
  <si>
    <t>NO 516 JLN UJ 17 TMN UNIVERSITI JAYA 08100 BEDONG KEDAH</t>
  </si>
  <si>
    <t>NVMY49024000002148</t>
  </si>
  <si>
    <t>JABATAN PENTADBIRAN KREDIT 1-SEKSYEN POTONGAN DAN PENERIMAAN</t>
  </si>
  <si>
    <t>LEMBAGA PEMBIAYAAN PERUMAHAN SEKTOR AWAM, NO.9, KOMPLEKS KEMENTERIAN KEWANGAN, PERSIARAN PERDANA, PRESINT 2, PUSAT PENTADBIRAN KERAJAAN PERSEKUTUAN 62592 PUTRAJAYA</t>
  </si>
  <si>
    <t>NVMY49024000002210</t>
  </si>
  <si>
    <t>NVMY49024000002179</t>
  </si>
  <si>
    <t>Mohd fazreen</t>
  </si>
  <si>
    <t>664-B, Jalan ibrahim, kampung bukit besar,21100 kuala terengganu, terengganu</t>
  </si>
  <si>
    <t>NVMY49024000002088</t>
  </si>
  <si>
    <t>JESSICA</t>
  </si>
  <si>
    <t>No. 54, Jalan SS21/58,  Damansara Utama,</t>
  </si>
  <si>
    <t>NVMY49024000002142</t>
  </si>
  <si>
    <t>FATIMATUL ZAHRA</t>
  </si>
  <si>
    <t>BLOK 8-5-3 KOMPLEKS TUN OSMAN JEWA JALAN PAHLAWAN KEMENTAH 50634 KUALA LUMPUR</t>
  </si>
  <si>
    <t>NVMY49024000002228</t>
  </si>
  <si>
    <t>SHERMEN MUKHTAR</t>
  </si>
  <si>
    <t>B-1-6 CASA INDAH 1 CONDOMINIUM, PERIARAN SURIAN, KOTA DAMANSARA 47410 PETALING JAYA SELANGOR</t>
  </si>
  <si>
    <t>NVMY49024000002154</t>
  </si>
  <si>
    <t>WANG FEI KIT</t>
  </si>
  <si>
    <t xml:space="preserve">2-22-13 DESA GREEN SERVICE APARTMENT , JALAN DESA BAKTI 58000 KUALA LUMPUR </t>
  </si>
  <si>
    <t>NVMY49024000002174</t>
  </si>
  <si>
    <t>BRO PIZI</t>
  </si>
  <si>
    <t xml:space="preserve">F-2-20 PPR KERINCHI LEMBAH PANTAI 59200 KUALA LUMPUR </t>
  </si>
  <si>
    <t>NVMY49024000002205</t>
  </si>
  <si>
    <t>NVMY49024000002209</t>
  </si>
  <si>
    <t>Mohd Zairi Ghani</t>
  </si>
  <si>
    <t>No87,Lorong 4,Tmn Bunga Tanjung,Kg Tanjung Batu,26680 Pekan Pahang</t>
  </si>
  <si>
    <t>NVMY49024000002227</t>
  </si>
  <si>
    <t>MUHAMMAD ALIF BIN ZULKIFLI</t>
  </si>
  <si>
    <t>B-03-06, SURIAMAS CONDOMINIUM, JALAN PJS 10/11A, PJS 10, 46150 PETALING JAYA SELANGOR</t>
  </si>
  <si>
    <t>NVMY49024000002218</t>
  </si>
  <si>
    <t>Nur farahdiana aisya</t>
  </si>
  <si>
    <t>( rumah belakang Kn maju hardware )  21448 JALAN BESAR KG NYIOR PAKA , DUNGUN 23100 TERENGGANU</t>
  </si>
  <si>
    <t>A2-PAK-2-14</t>
  </si>
  <si>
    <t>NVMY49024000002011</t>
  </si>
  <si>
    <t>NUR AMALINA ZAINAL ABIDIN</t>
  </si>
  <si>
    <t>BT 16, 1/2 TAMBAK JAWA 45800 JERAM SELANGOR</t>
  </si>
  <si>
    <t>NVMY49024000002159</t>
  </si>
  <si>
    <t>KAMISAH HASBI</t>
  </si>
  <si>
    <t>OMQ 7, JLN SERI MENANTI, PENGKALAN UDARA BUTTERWORTH, 12990 BUTTERWORTH, PENANG</t>
  </si>
  <si>
    <t>NVMY49024000002216</t>
  </si>
  <si>
    <t>CAMPAP MARKETING SDN BHD</t>
  </si>
  <si>
    <t>6428, LORONG MAK MAKDIN TIGA, MAK MANDIN INDUSTRIAL ESTATE 13400 BUTTERWORTH PENANG MALAYSIA</t>
  </si>
  <si>
    <t>NVMY49024000002238</t>
  </si>
  <si>
    <t>NOR HASLINDA BINTI AWANG</t>
  </si>
  <si>
    <t>KLINIK PERGIGIAN HOSPITAL MACHANG 18500 MACHANG KELANTAN</t>
  </si>
  <si>
    <t>NVMY49024000002268</t>
  </si>
  <si>
    <t>AZFAR NASRULLAH BIN MUKHTAR</t>
  </si>
  <si>
    <t>LAPANGAN TERBANG SULTAN MAHMUD, 21300 KUALA TERENGGANU, TERENGGANU</t>
  </si>
  <si>
    <t>NVMY49024000002112</t>
  </si>
  <si>
    <t>nurul nadirah bt shaari</t>
  </si>
  <si>
    <t xml:space="preserve">1183 b kg seberang baroh tali air , 21000 kuala terengganu </t>
  </si>
  <si>
    <t>NVMY49024000002248</t>
  </si>
  <si>
    <t>Nisa Husna</t>
  </si>
  <si>
    <t>No 23 blok 3 felda chini 3, 26690 pekan pahang</t>
  </si>
  <si>
    <t>NVMY49024000002252</t>
  </si>
  <si>
    <t>Amy Asyhkin</t>
  </si>
  <si>
    <t>K302 Flat Sri Cempaka, Bandar Sri Damansara, 52200 Petaling Jaya, Selangor.</t>
  </si>
  <si>
    <t>NVMY49024000002197</t>
  </si>
  <si>
    <t>Mohd Zulisyukri Bin Nordin</t>
  </si>
  <si>
    <t>101,Jalan Bayan 45,Bandar Baru Kota Puteri 81750 Masai,Johor</t>
  </si>
  <si>
    <t>NVMY49024000002207</t>
  </si>
  <si>
    <t>DHANTENANG</t>
  </si>
  <si>
    <t>NO4.JALAN INDAH 1.TAMAN INDAH.YONG PENG.JOHOR.83700</t>
  </si>
  <si>
    <t>NVMY49024000002249</t>
  </si>
  <si>
    <t xml:space="preserve">Lot 3153 batu 4 surau 3 lorong yu 7/3 kg sg yu 45500 tanjong karang, selangor </t>
  </si>
  <si>
    <t>NVMY49024000002217</t>
  </si>
  <si>
    <t>ATTN FATI N</t>
  </si>
  <si>
    <t>RAINBOW PAPER SUPPLIES SDN BHD 1 &amp; 3 JALAN TTP 6/8, TAMAN PERINDUSTRIAN PUCHONG 47100 SELANGOR</t>
  </si>
  <si>
    <t>NVMY49024000002200</t>
  </si>
  <si>
    <t>NVMY49024000002292</t>
  </si>
  <si>
    <t>DAFIENA AHMAD</t>
  </si>
  <si>
    <t>6, JALAN BUKIT IMPIANA 1B OFF JALAN KUDA LARI, COUNTRY HEIGHTS 43000 KAJANG SELANGOR</t>
  </si>
  <si>
    <t>NVMY49024000002224</t>
  </si>
  <si>
    <t>En Azman</t>
  </si>
  <si>
    <t>NVMY49024000002225</t>
  </si>
  <si>
    <t>PN NURDIANA BAHRIM</t>
  </si>
  <si>
    <t>32 LORONG TOK SUBOH 8, TAMAN PERUMAHAN RAKYAT PPR, 14100 SIMPANG AMPAT PULAU PINANG</t>
  </si>
  <si>
    <t>NVMY49024000002289</t>
  </si>
  <si>
    <t>EN HALIM JUSOH</t>
  </si>
  <si>
    <t>KILANG SAWIT LPN LADANG KUALA BETIS 18300 GUA MUSANG KELANTAN</t>
  </si>
  <si>
    <t>NVMY49024000002194</t>
  </si>
  <si>
    <t>AHMAD HAFIDZI BIN MD AMIN</t>
  </si>
  <si>
    <t>LOT 1157 BATU 8,JALAN TRONG,34850 CHANGKAT JERING.PERAK D.RIDZUAN</t>
  </si>
  <si>
    <t>NVMY49024000002199</t>
  </si>
  <si>
    <t>Noraini Abd Khalid</t>
  </si>
  <si>
    <t xml:space="preserve">24  Jln KuningMuda 2 Tmn Pelangi 80400, Johor Bahru Johor </t>
  </si>
  <si>
    <t>NVMY49024000002169</t>
  </si>
  <si>
    <t>Mohamad nazim ismail</t>
  </si>
  <si>
    <t>Lot 1702-6, Jalan dewan, kg changkat, 53100 Kuala lumpur</t>
  </si>
  <si>
    <t>NVMY49024000002231</t>
  </si>
  <si>
    <t>NVMY49024000002261</t>
  </si>
  <si>
    <t>Aishah Hanim</t>
  </si>
  <si>
    <t>LOT 428 C, JALAN TEMBILA, KAMPUNG PAYA RAWA, 22200, BESUT TERENGGANU</t>
  </si>
  <si>
    <t>NVMY49024000002284</t>
  </si>
  <si>
    <t>EN.AZWAN</t>
  </si>
  <si>
    <t xml:space="preserve">POLITEKNIK JELI JALAN RAYA TIMUR - BARAT HWY 17600 JELI KELANTAN </t>
  </si>
  <si>
    <t>NVMY49024000001875</t>
  </si>
  <si>
    <t>MUHAMMAD NORIKRAM</t>
  </si>
  <si>
    <t>KOLEJ KEDIAMAN TUN FATIMAH, UNIVERSITI TUN HUSSEIN ONN MALAYSIA, JALAN KLUANG, 86400 BATU PAHAT, JOHOR</t>
  </si>
  <si>
    <t>NVMY49024000002277</t>
  </si>
  <si>
    <t>Anuar eyo</t>
  </si>
  <si>
    <t>B 14-3 PPR seri Malaysia desa petaling 57100 kuala lumpur</t>
  </si>
  <si>
    <t>NVMY49024000002234</t>
  </si>
  <si>
    <t>Ruby Roslin</t>
  </si>
  <si>
    <t xml:space="preserve">no 960-1,Jalan Keledang,Kpg Mak Chili Paya,24000 Kemaman Terengganu </t>
  </si>
  <si>
    <t>NVMY49024000002025</t>
  </si>
  <si>
    <t>NVMY49024000002206</t>
  </si>
  <si>
    <t>MOHD AZMYROL iKMAR</t>
  </si>
  <si>
    <t>No,510 Ladang Bukit Perak Utara, Jalan Gajah Putih Pendang, Kedah, 06750, Pendang, Kedah, Malaysia</t>
  </si>
  <si>
    <t>NVMY49024000002230</t>
  </si>
  <si>
    <t>NVMY49024000002279</t>
  </si>
  <si>
    <t>Siti Rozeana Binti Marsudin</t>
  </si>
  <si>
    <t>No 15A Kampung Sekayu,21700 Kuala Berang, Terengganu.</t>
  </si>
  <si>
    <t>NVMY49024000002272</t>
  </si>
  <si>
    <t>MOHD ZAIN@JEEN68</t>
  </si>
  <si>
    <t>2014 KG PANJI JLN RAJA PEREMPUAN ZAINAB II 16100 KOTA BHARU  KELANTAN</t>
  </si>
  <si>
    <t>NVMY49024000002191</t>
  </si>
  <si>
    <t>mohd saofee hussin</t>
  </si>
  <si>
    <t>no,31 kg sawah datok, 86800 mersing johor, darultakzim.</t>
  </si>
  <si>
    <t>NVMY49024000002175</t>
  </si>
  <si>
    <t>Ishak Salamon</t>
  </si>
  <si>
    <t>NO.11, Lorong3 Ladang Nenas 86200 simpang renggam Kluang Johor</t>
  </si>
  <si>
    <t>NVMY49024000002244</t>
  </si>
  <si>
    <t>PUTRI SALWA SHAHIDA</t>
  </si>
  <si>
    <t>LOT 130, JLN HJ SULAIMAN PAK BADOL 16400 MELOR BACHOK KELANTAN</t>
  </si>
  <si>
    <t>NVMY49024000002126</t>
  </si>
  <si>
    <t>SALINA MOHD ZALI</t>
  </si>
  <si>
    <t xml:space="preserve">NO C16 , KAMPONG DATOK JOHAN 72200 BATU KIKIR , NEGERI SEMBILAN </t>
  </si>
  <si>
    <t>NVMY49024000002068</t>
  </si>
  <si>
    <t>Khairul Shazana</t>
  </si>
  <si>
    <t>Smilebay Signature (Weld Quay) 4, Pengkalan Weld, 10300 Georgetown, Pulau Pinang</t>
  </si>
  <si>
    <t>NVMY49024000002247</t>
  </si>
  <si>
    <t>NORASYIKIN</t>
  </si>
  <si>
    <t xml:space="preserve">164 RUMAH MURAH BUKIT KUANG 24000 KEMAMAN TERENGGANU </t>
  </si>
  <si>
    <t>NVMY49024000002190</t>
  </si>
  <si>
    <t>Norazhar bin Mansor</t>
  </si>
  <si>
    <t>No 617 Jalan S2, E16 Garden Homes, 70300,  Seremban 2, Negeri Sembilan.</t>
  </si>
  <si>
    <t>NVMY49024000002219</t>
  </si>
  <si>
    <t>MAIZAN MOKHTAR</t>
  </si>
  <si>
    <t>NO 18, JALAN TEPUAN 8/4, SEKSYEN 8, 40000 SHAH ALAM, SELANGOR</t>
  </si>
  <si>
    <t>NVMY49024000002232</t>
  </si>
  <si>
    <t>FARA IJA OTHMAN</t>
  </si>
  <si>
    <t xml:space="preserve">LOT 240 , KG MASJID LAMA , 33400 LENGGONG PERAK </t>
  </si>
  <si>
    <t>NVMY49024000002130</t>
  </si>
  <si>
    <t>MASINAH BINTI HUSSIN</t>
  </si>
  <si>
    <t xml:space="preserve">SK KABOGAN , PETI SURAT 95 , 91308 SEMPORNA  SABAH </t>
  </si>
  <si>
    <t>NVMY49024000002275</t>
  </si>
  <si>
    <t>NVMY49024000002143</t>
  </si>
  <si>
    <t>NORFARAHIN BT MOHAMAD</t>
  </si>
  <si>
    <t>262 PT MOIN 2, MK 2 BAGAN, 83000 BATU PAHAT, JOHOR</t>
  </si>
  <si>
    <t>NVMY49024000002253</t>
  </si>
  <si>
    <t>NUR NIDA</t>
  </si>
  <si>
    <t xml:space="preserve">PT 746 KAMPUNG GAJAH MATI TAWANG 16020 BACHOK KELANTAN </t>
  </si>
  <si>
    <t>NVMY49024000002265</t>
  </si>
  <si>
    <t>SURIYANI BINTI ABAS</t>
  </si>
  <si>
    <t>NO. A-16-6, ARAS 16 PANGSAPURI TAMING MUTIARA, JALAN MUTIARA JAYA UTAMA, BANDAR SG LONG 43000 KAJANG, SELANGOR DARUL EHSAN</t>
  </si>
  <si>
    <t>D2-BMC-14-119</t>
  </si>
  <si>
    <t>NVMY49024000002202</t>
  </si>
  <si>
    <t>Amran Mohd Said</t>
  </si>
  <si>
    <t>M1-2-08, Jln 10/2 Tmn Perkasa 2 43100 Hulu Langat Selangor</t>
  </si>
  <si>
    <t>NVMY49024000002278</t>
  </si>
  <si>
    <t>NVMY49024000002282</t>
  </si>
  <si>
    <t>azelan Kejuruteraan Besi Awah</t>
  </si>
  <si>
    <t>No1 simpang masuk FELDA kg awah 28000 Temerloh Pahang</t>
  </si>
  <si>
    <t>NVMY49024000002280</t>
  </si>
  <si>
    <t>NVMY49024000002192</t>
  </si>
  <si>
    <t xml:space="preserve">52-5 batu 2 lorong hj senudin bukit palah 75150 melaka </t>
  </si>
  <si>
    <t>NVMY49024000002259</t>
  </si>
  <si>
    <t>Acid</t>
  </si>
  <si>
    <t>No.29 jalan pulasan 25 taman kota masai, 81700 pasir gudang, johor</t>
  </si>
  <si>
    <t>NVMY49024000002187</t>
  </si>
  <si>
    <t>Noor Hasiymah binti Abdol Kadil</t>
  </si>
  <si>
    <t>Sekolah Sukan Malaysia Sabah, Jalan Universiti-Sepanggar, Peti Surat 18472, 88875, Kota Kinabalu, Sabah.</t>
  </si>
  <si>
    <t>NVMY49024000002176</t>
  </si>
  <si>
    <t>Mohd zaharudin bin buang</t>
  </si>
  <si>
    <t>No 6 jalan damai pusat bandar sening ( selorong kedai ikan baba) 81930 kota tinggi, johor</t>
  </si>
  <si>
    <t>NVMY49024000002245</t>
  </si>
  <si>
    <t>ROKIAH BINTI OSMAN</t>
  </si>
  <si>
    <t>NO 7, JALAN PINGGIRAN PERPADUAN 3, TAMAN UK RAYA 31150 ULU KINTA, PERAK</t>
  </si>
  <si>
    <t>NVMY49024000002365</t>
  </si>
  <si>
    <t>NORHAYATI MOHAMED</t>
  </si>
  <si>
    <t xml:space="preserve">BLOK J-3-2 , LORONG SEMARAK BN 7 PGA KOMPENI B . KEM BUKIT GALING KUANTAN 25990 PAHANG </t>
  </si>
  <si>
    <t>NVMY49024000002233</t>
  </si>
  <si>
    <t>NURUL ATIQAH BINTI SALIHAN</t>
  </si>
  <si>
    <t>NO7, TINGKAT PERPADUAN 38, TAMAN PERPADUAN, 31150 ULU KINTA IPOH, PERAK DARUL RIDZWAN.</t>
  </si>
  <si>
    <t>NVMY49024000002285</t>
  </si>
  <si>
    <t>NISA MUSTAFA</t>
  </si>
  <si>
    <t>NO 1546, LORONG TENGGIRI 5 TAMAN SAMUDERA 32040 MANJUNG, PERAK</t>
  </si>
  <si>
    <t>NVMY49024000002109</t>
  </si>
  <si>
    <t>nur adlina</t>
  </si>
  <si>
    <t>no28 jalan pe15 taman paya emas 76450 paya rumput melaka</t>
  </si>
  <si>
    <t>NVMY49024000002274</t>
  </si>
  <si>
    <t>Mohd yazid bin Mohd Nor</t>
  </si>
  <si>
    <t>No.75 Jln.Merak Mas 1/1 Tmn Merak Mas 75450 Bkt Katil Melaka</t>
  </si>
  <si>
    <t>NVMY49024000002283</t>
  </si>
  <si>
    <t>NVMY49024000002312</t>
  </si>
  <si>
    <t>Nurul Huda Bt Ahmad Zambri</t>
  </si>
  <si>
    <t>No 65, Jalan tajak 19/4, seksyen 19, shah alam selangor</t>
  </si>
  <si>
    <t>NVMY49024000002235</t>
  </si>
  <si>
    <t>Muhammad Azaharul Hafez Bin NorAzman</t>
  </si>
  <si>
    <t>N0.18 lorong 1 Jalan SP4 Taman seri pandan 75250 Melaka</t>
  </si>
  <si>
    <t>NVMY49024000002298</t>
  </si>
  <si>
    <t>ZAILATUL NIRWANA BT ZAKARIA</t>
  </si>
  <si>
    <t>NO 15, JALAN 4 TAMAN PULAI IDAMAN 28000 TEMERLOH PAHANG</t>
  </si>
  <si>
    <t>NVMY49024000002315</t>
  </si>
  <si>
    <t>Aina Asri</t>
  </si>
  <si>
    <t xml:space="preserve">No. 154, Jalan Wijaya 7, Taman Wijaya, 28600 Karak, Pahang </t>
  </si>
  <si>
    <t>NVMY49024000002262</t>
  </si>
  <si>
    <t>PROF DR , SHAHRIMAN ABU BAKAR</t>
  </si>
  <si>
    <t xml:space="preserve">FAKULTI TEKNOLOGI KEJURUTERAAN MEKANIKAL UNIVERSITI MALAYSIA PERLIS KAMPUS PUTRA PAUH 02600 ARAU PERLIS </t>
  </si>
  <si>
    <t>NVMY49024000002260</t>
  </si>
  <si>
    <t>Nur Aleeya Binti Aziz</t>
  </si>
  <si>
    <t>Kolej Kediaman Keempat Bestari, Jalan Universiti, Universiti Malaya, 50603 Kuala Lumpur, Wilayah Persekutuan Kuala Lumpur</t>
  </si>
  <si>
    <t>NVMY49024000002324</t>
  </si>
  <si>
    <t>Nurul Nabilah Asha’arey</t>
  </si>
  <si>
    <t>No 29, Jalan Harmoni, Taman Harmoni, 26600 Pekan, Pahang</t>
  </si>
  <si>
    <t>NVMY49024000002320</t>
  </si>
  <si>
    <t>Nur Najwa</t>
  </si>
  <si>
    <t>No 572, Jalan 6 Taman Sebang Mutiara 78000 Alor Gajah, Melaka</t>
  </si>
  <si>
    <t>NVMY49024000002327</t>
  </si>
  <si>
    <t>Amanina binti zulkifli</t>
  </si>
  <si>
    <t>no 1, Jalan Bunga Raya, Taman Nyior, Seremban, 70400, Negeri Sembilan</t>
  </si>
  <si>
    <t>NVMY49024000002373</t>
  </si>
  <si>
    <t>BAHAGIAN PENGANJURAN PELAJARAN MARA</t>
  </si>
  <si>
    <t xml:space="preserve">MAJLIS AMANAH RAKYAT ( MARA ) TINGKAT 10 , BAHAGIAN PENGANJURAN PELAJARAN MARA IBU PEJABAT MARA 50609 JALAN ,MARA KUALA LUMPUR </t>
  </si>
  <si>
    <t>NVMY49024000002242</t>
  </si>
  <si>
    <t>E-T-09-U -06 BLOK E , SUB PRESINT 14-7 PRESINT 14 , 62050 PUTRAJAYA W,P ,</t>
  </si>
  <si>
    <t>NVMY49024000002308</t>
  </si>
  <si>
    <t>saraaqistina</t>
  </si>
  <si>
    <t xml:space="preserve">lot 2479 taman rizal jaya , kg padang terang , bunut susu , 17020 pasir mas , kelantan . </t>
  </si>
  <si>
    <t>NVMY49024000002371</t>
  </si>
  <si>
    <t>HANIM JAMAL</t>
  </si>
  <si>
    <t>6, LORONG DESA RHU 12/1 TAMAN DESA RHU SIKAMAT 70400 SEREMBAN NEGERI SEMBILAN</t>
  </si>
  <si>
    <t>NVMY49024000002303</t>
  </si>
  <si>
    <t>NUR QAMARINA MUNAWWARAH BINTI MOHD NOR</t>
  </si>
  <si>
    <t>KECHAU ONE MOBILE INTERPRISE NO 11 , PISAT PERNIAGAAN SERI KECHAU 27100 PADANG TENGKU PAHANG</t>
  </si>
  <si>
    <t>NVMY49024000002296</t>
  </si>
  <si>
    <t>NOOR SALWANI AWANG</t>
  </si>
  <si>
    <t>G1-2-8 PERUMAHAN POLIS IPPD GOMBAK, JALAN BUKIT IDAMAN, 68100 BATU CAVES, SELANGOR.</t>
  </si>
  <si>
    <t>NVMY49024000002372</t>
  </si>
  <si>
    <t>NVMY49024000002241</t>
  </si>
  <si>
    <t>NOR AIN KHALIDA BINTI ANUAR</t>
  </si>
  <si>
    <t>102, JALAN BESTARI 2, TAMAN BESTARI 09000 KULIM, KEDAH</t>
  </si>
  <si>
    <t>NVMY49024000002270</t>
  </si>
  <si>
    <t>NVMY49024000002314</t>
  </si>
  <si>
    <t>MARFIDAH ALIAS</t>
  </si>
  <si>
    <t>J7571 RUMAH AWAM SEMPANG KERAYONG  77000 JASIN MELAKA</t>
  </si>
  <si>
    <t>NVMY49024000002243</t>
  </si>
  <si>
    <t>ZAINAH BINTI AWANG</t>
  </si>
  <si>
    <t>B-1-3 PANGSAPURI DESA SERI JAYA JALAN KELISA EMAS 13700 PERAI PULAU PINANG</t>
  </si>
  <si>
    <t>NVMY49024000002286</t>
  </si>
  <si>
    <t>HONEY</t>
  </si>
  <si>
    <t>NO 3, PERSIARAN TAWAS BARU 7, TAMAN TASEK MEWAH, KINTA 30010 PERAK</t>
  </si>
  <si>
    <t>NVMY49024000002330</t>
  </si>
  <si>
    <t>Mohamad Azhar bin sahar</t>
  </si>
  <si>
    <t>no 8 batu 11 jalan bernam 45500 Tanjong karang Selangor</t>
  </si>
  <si>
    <t>NVMY49024000002318</t>
  </si>
  <si>
    <t>anis syuhada</t>
  </si>
  <si>
    <t>1713-1 blok p2 qrts bomba &amp; penyelamat seksyen 15 40200 shah alam selangor.</t>
  </si>
  <si>
    <t>NVMY49024000002246</t>
  </si>
  <si>
    <t>IRDINA SAFIYA BINTI ISMAIL</t>
  </si>
  <si>
    <t>11, JALAN LANDAK SATU 20/13A, SEKSYEN 20, 40300 SHAH ALAM SELANGOR</t>
  </si>
  <si>
    <t>NVMY49024000002293</t>
  </si>
  <si>
    <t>NVMY49024000002288</t>
  </si>
  <si>
    <t>NVMY49024000002367</t>
  </si>
  <si>
    <t>NICOLAS LIM</t>
  </si>
  <si>
    <t>6 JLN HULU LANGAT JAYA 2/5 TMN HULU LANGAT JAYA 43200 BATU 9 CHERAS, SELANGOR</t>
  </si>
  <si>
    <t>NVMY49024000002305</t>
  </si>
  <si>
    <t>Nurul Amira binti Azman</t>
  </si>
  <si>
    <t>No 145 Blok 7 felda kemahang 3, 17510 tanah merah kelantan</t>
  </si>
  <si>
    <t>NVMY49024000002254</t>
  </si>
  <si>
    <t>Nurul Atiqah Mohamad Razak</t>
  </si>
  <si>
    <t>Parit 14,titi gantong bota kiri 32600 Bota Perak</t>
  </si>
  <si>
    <t>NVMY49024000002304</t>
  </si>
  <si>
    <t>NUR AIN SOFEA IQLIMA BINTI MOHD BAHARUDDIN</t>
  </si>
  <si>
    <t>No 1431, Kg Seberang Jerteh, 22000 Jerteh, Terengganu</t>
  </si>
  <si>
    <t>NVMY49024000002326</t>
  </si>
  <si>
    <t>Abyana Firzanah</t>
  </si>
  <si>
    <t>Kedai Siswa Kolej Jasmine,UiTM Kampus Puncak Perdana,Jalan Pulau Angsa AU10/A,40150 Shah Alam,Selangor</t>
  </si>
  <si>
    <t>NVMY49024000002301</t>
  </si>
  <si>
    <t>Fatin insyirah binti samat</t>
  </si>
  <si>
    <t>lot 2470 A kampung telaga bata 16210 tumpat kelantan</t>
  </si>
  <si>
    <t>NVMY49024000002276</t>
  </si>
  <si>
    <t>NVMY49024000002313</t>
  </si>
  <si>
    <t>Milah jaafar</t>
  </si>
  <si>
    <t>No 925, jalan gadong jaya 19 , taman gadong jaya 71900  seremban  negeri sembilan</t>
  </si>
  <si>
    <t>NVMY49024000002256</t>
  </si>
  <si>
    <t>Faridah Binti Mat Piah</t>
  </si>
  <si>
    <t>No JKR 5285, Rumah Kakitangan Bijaya Diraja Johor, Lapangan Terbang Antarabangsa Senai, 81400 Johor</t>
  </si>
  <si>
    <t>NVMY49024000002110</t>
  </si>
  <si>
    <t>Siti nur syafiqah binti ajimis</t>
  </si>
  <si>
    <t>Taska Kids Care, No 1248a Jalan Astana 6 Bandar Seri Astana, 08000 Sungai Petani, Kedah</t>
  </si>
  <si>
    <t>NVMY49024000002336</t>
  </si>
  <si>
    <t>ZAHID TAJUL ARUS</t>
  </si>
  <si>
    <t>NO 27, BLOCK 9, FELDA SG TEKAM 27070 JERANTUT PAHANG</t>
  </si>
  <si>
    <t>NVMY49024000002273</t>
  </si>
  <si>
    <t>AB Bundle</t>
  </si>
  <si>
    <t>Block i5 batu 4 selaba estate jalan changkat jong 36000 teluk intan perak</t>
  </si>
  <si>
    <t>NVMY49024000002281</t>
  </si>
  <si>
    <t>No,70 felda pasak 81900 kota tinggi Johor.</t>
  </si>
  <si>
    <t>NVMY49024000002240</t>
  </si>
  <si>
    <t>NUR AZURA BINTI JAMAL</t>
  </si>
  <si>
    <t>337, JALAN CEKAL 4, TAMAN SRI LAMBAK 86000 KLUANG, JOHOR</t>
  </si>
  <si>
    <t>NVMY49024000002239</t>
  </si>
  <si>
    <t>NURUL HANA BT MD ZAIN</t>
  </si>
  <si>
    <t>NO 150 JALAN MELUR 4/14 PERSIARAN AMANJAYA 4, 08000 SUNGAI PETANI KEDAH</t>
  </si>
  <si>
    <t>NVMY49024000002237</t>
  </si>
  <si>
    <t>ZAMZURAWATI MUHAMMAD</t>
  </si>
  <si>
    <t>NO 29 JALAN MELOR LOG BESAR MELOR SERENDAH 48200 SERENDAH HULU SELANGOR</t>
  </si>
  <si>
    <t>NVMY49024000002264</t>
  </si>
  <si>
    <t>NOR AZIELA BINTI ISMAIL</t>
  </si>
  <si>
    <t xml:space="preserve">NO 84 JALAN SS 2 / 5 , TAMAN SRI SAUJANA KOTA TINGGI 81900 KOTA TINGGI JOHOR </t>
  </si>
  <si>
    <t>NVMY49024000002369</t>
  </si>
  <si>
    <t>U/P JABATAN PENTADBIRAN KREDIT 1-SEKSYEN POTONGAN DAN TERIMAAN</t>
  </si>
  <si>
    <t>LEMBAGA PEMBIAYAAN PERUMAHAN SEKTOR AWAM NO 9 KOMPLEKS KEMENTERIAN KEWANGAN, PERSIARAN PERDANA PRESINT 2, PUSAT PENTADBIRAN KERAJAAN PERSEKUTUAN 62592 PUTRAJAYA</t>
  </si>
  <si>
    <t>NVMY49024000002229</t>
  </si>
  <si>
    <t>SARIMAH BT TOKIS</t>
  </si>
  <si>
    <t>NO 2019 LORONG B RPR FASA 2 KPG TUNKU JLN ASTANA PETRA JAYA KUCHING 93050 SARAWAK</t>
  </si>
  <si>
    <t>NVMY49024000002236</t>
  </si>
  <si>
    <t>Siti Salha Rejab</t>
  </si>
  <si>
    <t>No.1008, Lot 91 Lorong ks 1/4 ,Kulim Square,09600 Lunas Kedah.</t>
  </si>
  <si>
    <t>NVMY49024000002317</t>
  </si>
  <si>
    <t>Nur Amirah Binti Abd Rahman</t>
  </si>
  <si>
    <t>41-17-07, Perumahan Awam Sri Perak, Bandar Baru Sentul, 51000 KL</t>
  </si>
  <si>
    <t>NVMY49024000002359</t>
  </si>
  <si>
    <t>BIBI AISYAH AZURATMI</t>
  </si>
  <si>
    <t>NO 5 LORONG PANDAN MAKMUR 1/2 PERUMAHAN PANDAN MAKMUR KUANTAN PAHANG 25150</t>
  </si>
  <si>
    <t>NVMY49024000002266</t>
  </si>
  <si>
    <t>TRADE OPERATIONS SECTION</t>
  </si>
  <si>
    <t>NVMY49024000002364</t>
  </si>
  <si>
    <t>TIJANI</t>
  </si>
  <si>
    <t>NO 17, JALAN UP 3/7B TAMAN UKAY PERDANA AMPANG SELANGOR 68000</t>
  </si>
  <si>
    <t>NVMY49024000002287</t>
  </si>
  <si>
    <t>ALIA</t>
  </si>
  <si>
    <t>99 SPEEDMART (KEDAI ATAS) NO 6-1, JALAN BPP 8/4, BANDAR PUTRA PERMAI, BANDAR PUTRA PERMAI 43300 SELANGOR</t>
  </si>
  <si>
    <t>NVMY49024000002257</t>
  </si>
  <si>
    <t>NURUL FARA WANIDA</t>
  </si>
  <si>
    <t xml:space="preserve">LOT 1126 , JALAN MERANTI KAMPUNG TANJUNG SEPAT , 42800 TANJUNG SEPAT , SELANGOR </t>
  </si>
  <si>
    <t>NVMY49024000002329</t>
  </si>
  <si>
    <t>Laila</t>
  </si>
  <si>
    <t>No 44 jalan seri intan 3 taman seri intan 68000 ampang  selangor</t>
  </si>
  <si>
    <t>NVMY49024000002271</t>
  </si>
  <si>
    <t>Shah Bern</t>
  </si>
  <si>
    <t>No 13, PSRN 10 ARENA   KEPAYANG PUTRA,31400 IPOH PERAK</t>
  </si>
  <si>
    <t>NVMY49024000002294</t>
  </si>
  <si>
    <t>ROZITA RUSLI</t>
  </si>
  <si>
    <t>KLINIK MAWAR BACHANG MELAKA 29 JALAN TUN PERAK 75300 BACHANG, MELAKA</t>
  </si>
  <si>
    <t>NVMY49024000002311</t>
  </si>
  <si>
    <t>NVMY49024000002291</t>
  </si>
  <si>
    <t>NOOR HANAN ZAKARIA</t>
  </si>
  <si>
    <t>NO 10, PT 1129, JLN MOHAMED PERAK 4, TAMAN DESA KPMP PERAK TENGAH, 36800 PERAK</t>
  </si>
  <si>
    <t>NVMY49024000002323</t>
  </si>
  <si>
    <t>Nurul izzyatie Mzin</t>
  </si>
  <si>
    <t>No 33, Jalan TJ 5/2, Taman Temerloh Jaya 28400,mentakap,pahang Malaysia.</t>
  </si>
  <si>
    <t>NVMY49024000002307</t>
  </si>
  <si>
    <t>Fazira binti Mohd Nor</t>
  </si>
  <si>
    <t>No 57, Jalan Anggerik, Felda Titi, 71650 titi, Negeri Sembilan</t>
  </si>
  <si>
    <t>NVMY49024000002290</t>
  </si>
  <si>
    <t>BUMA GLOBAL ENTERPRISE</t>
  </si>
  <si>
    <t>LOT NO 179, 1ST FLOOR PERTAMA COMPLEX JALAN TUANKU ABDUL RAHMAN 50100 KUALA LUMPUR</t>
  </si>
  <si>
    <t>NVMY49024000002302</t>
  </si>
  <si>
    <t>NURUL AWANIS</t>
  </si>
  <si>
    <t>1B-19-02 PPAM SADERI, JALAN SADERI P16  PRESINT 16, W.P. Putrajaya, 62150, W.P. Putrajaya</t>
  </si>
  <si>
    <t>NVMY49024000002269</t>
  </si>
  <si>
    <t>AIZAT BIN MOHAMED</t>
  </si>
  <si>
    <t>NO 3 PERSIARAN WIRA JAYA BARAT 14 TAMAN AMPANG 31350 IPOH PERAK</t>
  </si>
  <si>
    <t>NVMY49024000001996</t>
  </si>
  <si>
    <t>NORLEIA</t>
  </si>
  <si>
    <t>RUMAH NO.5, KG TIDUNG 2, 90200 KOTA KINABATANGAN, SABAH</t>
  </si>
  <si>
    <t>NVMY49024000002263</t>
  </si>
  <si>
    <t>ZURINA</t>
  </si>
  <si>
    <t>NO 30, JALAN SEPAT TAMAN KAMUNTING PERDANA 34600 KAMUNTING, PERAK</t>
  </si>
  <si>
    <t>NVMY49024000002250</t>
  </si>
  <si>
    <t>SITI NUR AIN SYAHMIMI</t>
  </si>
  <si>
    <t>NO 5C LORONG 6 TAMAN DESA AMAN SUNGAI LALANG 08100 BEDONG , KEDAH</t>
  </si>
  <si>
    <t>NVMY49024000002258</t>
  </si>
  <si>
    <t>NUR NAJEHA BINTI JAFRI</t>
  </si>
  <si>
    <t xml:space="preserve">LOT 1538 C JALAN BESAR KAMPUNG KUBU GAJAH 47000 SUNGAI BULOH SELANGOR </t>
  </si>
  <si>
    <t>NVMY49024000002295</t>
  </si>
  <si>
    <t>Ryns Rashid</t>
  </si>
  <si>
    <t>711 mk19 mengkuang titi 14000 bukit mertajam Penang</t>
  </si>
  <si>
    <t>NVMY49024000002300</t>
  </si>
  <si>
    <t>Iman alia</t>
  </si>
  <si>
    <t>lot 1060 Jalan Haji Abdul Aziz, Kampung Kundang, Tanjong Sepat, Selangor, Malaysia, 42800, Tanjong Sepat, Selangor, Malaysia</t>
  </si>
  <si>
    <t>NVMY49024000002267</t>
  </si>
  <si>
    <t>MOHD SAMSIBAHARIN BIN SUDIN</t>
  </si>
  <si>
    <t>LOT 457, KLEBANG BESAR OFF TAMAN M, 75200 BANDAR MELAKA, MELAKA</t>
  </si>
  <si>
    <t>NVMY49024000002394</t>
  </si>
  <si>
    <t>yatie awang</t>
  </si>
  <si>
    <t>6912 taman fikri 2, fasa 4 24000 kemaman, terenggnu</t>
  </si>
  <si>
    <t>NVMY49024000002403</t>
  </si>
  <si>
    <t>khairyani binti katmi</t>
  </si>
  <si>
    <t>kenanga investment bank 15678-H berhad, melaka branch 71-73, jalan merdeka taman melaka raya, 75000 melaka</t>
  </si>
  <si>
    <t>NVMY49024000002400</t>
  </si>
  <si>
    <t>Farah Nadiah binti Abdul Gani</t>
  </si>
  <si>
    <t>no 5, lorong bukit ubi 27, bukit sekilau 25200 kuantan pahang</t>
  </si>
  <si>
    <t>NVMY49024000002453</t>
  </si>
  <si>
    <t>NOOR LIZAIMAS BT MAMAT</t>
  </si>
  <si>
    <t>732, JLN HULU STESEN 16250 WAKAF BHARU, KELANTAN</t>
  </si>
  <si>
    <t>NVMY49024000002412</t>
  </si>
  <si>
    <t>nur izzati roslan</t>
  </si>
  <si>
    <t>647-1 kampung pengkalan binjai 24000 kemaman terengganu</t>
  </si>
  <si>
    <t>NVMY49024000002321</t>
  </si>
  <si>
    <t>Bat</t>
  </si>
  <si>
    <t>No 38 Jalan Bandar Baru 5, Pusat Bandar Baru Ayer Hitam 86100 Ayer Hitam Johor</t>
  </si>
  <si>
    <t>NVMY49024000002299</t>
  </si>
  <si>
    <t>SITI NOR ATIKAH BT ROSELAN</t>
  </si>
  <si>
    <t>G-10-04-03 KUATERS PENJARA TAPAH KM 12 JALAN TAPAH 35400 TAPAH ROAD, PERAK</t>
  </si>
  <si>
    <t>NVMY49024000002338</t>
  </si>
  <si>
    <t>NUR MASTURINA BINTI BAHAROM</t>
  </si>
  <si>
    <t xml:space="preserve">NO F50 KAMPUNG BUKIT RAWA, SEDIM, KARANGAN 09700 KULIM KEDAH </t>
  </si>
  <si>
    <t>NVMY49024000002429</t>
  </si>
  <si>
    <t>CHE NORHALILY KHALEDA</t>
  </si>
  <si>
    <t>LEMBAGA KEMAJUAN TERENGGANU TENGAH (KETENGAH),BEG BERKUNCI NO.3,23409 BANDAR AL MUKTAFI BILLAH SHAH,DUNGUN,TERENGGANU DARUL IMAN</t>
  </si>
  <si>
    <t>NVMY49024000002344</t>
  </si>
  <si>
    <t>nurinsyirah binti noordin</t>
  </si>
  <si>
    <t>no 9B , kampung baru kelompang , 34300 bagan serai perak</t>
  </si>
  <si>
    <t>NVMY49024000002346</t>
  </si>
  <si>
    <t>NURAIN AQILAH BINTI AZIZUDDIN</t>
  </si>
  <si>
    <t>NO 11,JALAN PAHANG RUMAH AWAM 3 ,35000 TAPAH PERAK</t>
  </si>
  <si>
    <t>NVMY49024000002460</t>
  </si>
  <si>
    <t>ANIS</t>
  </si>
  <si>
    <t>KAMPUNG BATU 5, DALAM JALAN BUKIT ROS (GERTAK 2) 17500, TANAH MERAH, KELANTAN</t>
  </si>
  <si>
    <t>NVMY49024000002447</t>
  </si>
  <si>
    <t>AYEN</t>
  </si>
  <si>
    <t xml:space="preserve">MIXTHRIFT-KL NO 63A JALAN RAJA ABDULLAH KAMPUNG BARU 50300 KUALA LUMPUR </t>
  </si>
  <si>
    <t>NVMY49024000002335</t>
  </si>
  <si>
    <t>SYARIKAT KILANG REMPA JAYA SAKTI SDN BHD</t>
  </si>
  <si>
    <t>(045060577) - PMT1170, LORONG PERINDUSTRIAN BUKIT MINYAK 12, TAMAN PERINDUSTRIAN BUKIT MINYAK, 14100 SIMPANG AMPAT, PULAU PINANG</t>
  </si>
  <si>
    <t>NVMY49024000002333</t>
  </si>
  <si>
    <t>NVMY49024000002332</t>
  </si>
  <si>
    <t>NVMY49024000002334</t>
  </si>
  <si>
    <t>NVMY49024000002415</t>
  </si>
  <si>
    <t>Mazlina Mazelan</t>
  </si>
  <si>
    <t>No. 8998, Kawasan Perindustrian Batu Berendam, Peringkat IV, 75350 Melaka.</t>
  </si>
  <si>
    <t>NVMY49024000002322</t>
  </si>
  <si>
    <t>NUR FARHANA BINTI MOHD ROSLI</t>
  </si>
  <si>
    <t>NO 55A, LEBUH PEARL, TAMAN FAIR, 31400 IPOH PERAK.</t>
  </si>
  <si>
    <t>NVMY49024000002427</t>
  </si>
  <si>
    <t>No 2 , Rumah mangsa banjir (rmp) , Jalan Bendera 13 , Taman Bukit Bendera , 28400 Mentakab , Pahang</t>
  </si>
  <si>
    <t>NVMY49024000002339</t>
  </si>
  <si>
    <t>Izma Emira</t>
  </si>
  <si>
    <t>NO 25, JALAN PANDAN JAYA 1/14, TAMAN PANDAN JAYA SEKSYEN 1, 75250, MELAKA.</t>
  </si>
  <si>
    <t>NVMY49024000002433</t>
  </si>
  <si>
    <t>ALIA UMAIRAH</t>
  </si>
  <si>
    <t>AMAN 2, PT 1136-A DESA HARAPAN A, TEPI UITM, 18500 MACHANG KELANTAN</t>
  </si>
  <si>
    <t>NVMY49024000002440</t>
  </si>
  <si>
    <t>ZAIMI BIN CHE YAAKOB</t>
  </si>
  <si>
    <t>A.39 FELDA SEMARAK JENGKA 15,26400 BANDAR JENGKA PAHANG DARUL MAKMUR</t>
  </si>
  <si>
    <t>NVMY49024000002458</t>
  </si>
  <si>
    <t>NORHAYATI ISMAIL</t>
  </si>
  <si>
    <t>LOT PT24059K, LORONG 2/10, TAMAN DESA TANJUNG DAMAI, GONG BADAK, MUKIM KUALA NERUS, 21300 KUALA TERENGGANU, TERENGGANU</t>
  </si>
  <si>
    <t>NVMY49024000002388</t>
  </si>
  <si>
    <t>NVMY49024000002462</t>
  </si>
  <si>
    <t>AFAF AMIRAH BINTI MOHD ROHAIZAD</t>
  </si>
  <si>
    <t>NO. 2-1 JALAN URANUS AH U5/AH, BANDAR PINGGIRAN SUBANG, PERSIARAN GALAKSI SEKSYEN U5, 40150, SHAH ALAM, SELANGOR</t>
  </si>
  <si>
    <t>NVMY49024000002411</t>
  </si>
  <si>
    <t>Najwa Rozman</t>
  </si>
  <si>
    <t>No 51, Jalan Plumbum P7/P Pusat Komersial Sekyen 7, 40000 Shah Alam, Selangor</t>
  </si>
  <si>
    <t>NVMY49024000002401</t>
  </si>
  <si>
    <t>Marsya</t>
  </si>
  <si>
    <t>No. 28 Jalan Ps5/8 Taman Pinggiran Senawang 71450 Sg Gadut N.Sembilan</t>
  </si>
  <si>
    <t>NVMY49024000002416</t>
  </si>
  <si>
    <t>dalila natasya</t>
  </si>
  <si>
    <t>17166 jalan geliga sakti 1 , 24000 kemaman terengganu</t>
  </si>
  <si>
    <t>NVMY49024000002341</t>
  </si>
  <si>
    <t>NORSHAWATI BINTI ALIAS</t>
  </si>
  <si>
    <t>21B ,KAMPUNG PERMATANG TIONG JUNJONG 09000 KULIM KEDAH</t>
  </si>
  <si>
    <t>NVMY49024000002407</t>
  </si>
  <si>
    <t>82 , JALAN MAHKOTA SEKSYEN 9 , BANDAR BUKIT MAHKOTA , 43900 KAJANG SELANGOR</t>
  </si>
  <si>
    <t>NVMY49024000002450</t>
  </si>
  <si>
    <t>NURULL ZACK</t>
  </si>
  <si>
    <t>LOT 8228, LORONG MELOR, BT 26, JENDERAM HILIR 43800 DENGKIL, SELANGOR</t>
  </si>
  <si>
    <t>NVMY49024000002437</t>
  </si>
  <si>
    <t>ROSMI CHE PA</t>
  </si>
  <si>
    <t>KLINIK DESA GONG TERAP, 21450 SETIU TERENGGANU</t>
  </si>
  <si>
    <t>NVMY49024000002438</t>
  </si>
  <si>
    <t>Rofi ismail</t>
  </si>
  <si>
    <t>Lot 489, No.7 (B1) Lorong Sg Mulia 6, Kampung Sg Mulia, Bt. 5 Gombak, 53000 Kuala Lumpur.</t>
  </si>
  <si>
    <t>NVMY49024000002328</t>
  </si>
  <si>
    <t>NUR HASMIZA BINTI HASLAN</t>
  </si>
  <si>
    <t>TS 40 MUKIM 4 KAMPUNG PERTAMA 13500 PERMATANG PAUH</t>
  </si>
  <si>
    <t>NVMY49024000002430</t>
  </si>
  <si>
    <t>Nurul anisha</t>
  </si>
  <si>
    <t>Genting Highlands Premium Outlets, KM13, Genting Highlands, Suite 1116 genting premium outlet, 28700, Bentong, Pahang, Malaysia</t>
  </si>
  <si>
    <t>NVMY49024000002409</t>
  </si>
  <si>
    <t>Afiqah Nadzirah binti Hanif</t>
  </si>
  <si>
    <t xml:space="preserve">No 16, Jalan Matahari 12, Taman Paya Rumput Perdana, 76450 Melaka </t>
  </si>
  <si>
    <t>NVMY49024000002439</t>
  </si>
  <si>
    <t>Helmizan yaacob</t>
  </si>
  <si>
    <t>E8/73 Rumah Kakitangan Felda Jengka  8,26400 Bandar Jengka Pahang</t>
  </si>
  <si>
    <t>NVMY49024000002319</t>
  </si>
  <si>
    <t>Nurul Hidayah Zamri</t>
  </si>
  <si>
    <t>No 15, TL 120/6, Lorong Hj Abu Hassan, Kg Pt Hj Salleh Ros, Pt Raja, 86400, Batu Pahat, Johor</t>
  </si>
  <si>
    <t>NVMY49024000002331</t>
  </si>
  <si>
    <t>Wan Rabiatul Aida</t>
  </si>
  <si>
    <t xml:space="preserve"> C47 Seberang Terus, 05150 Alor Setar Kedah</t>
  </si>
  <si>
    <t>NVMY49024000002370</t>
  </si>
  <si>
    <t>ARIFF IDZZWAN</t>
  </si>
  <si>
    <t>(5029394) flex Hostel Office, Resident Block 10-03-05, Pelabuhan Tanjung Pelepas, 81550, Gelang Patah,Johor</t>
  </si>
  <si>
    <t>C1-GLG-7-65</t>
  </si>
  <si>
    <t>NVMY49024000002375</t>
  </si>
  <si>
    <t>MOHD KHAIRUL ANUAR MOHAMED SIDIK</t>
  </si>
  <si>
    <t>ON 77 JALAN KEKWA FELDA CHIKU 03, 18300 GUA MUSANG, KELANTAN</t>
  </si>
  <si>
    <t>NVMY49024000002309</t>
  </si>
  <si>
    <t>Nur Hasniza</t>
  </si>
  <si>
    <t>25, Jalan Pulai 35, Taman Pulai Utama, 81110 Johor Bahru, Johor</t>
  </si>
  <si>
    <t>NVMY49024000002368</t>
  </si>
  <si>
    <t>SITI RAFIDAH BINTI RAMLI</t>
  </si>
  <si>
    <t>24, KAMPUNG TANJUNG SEBERANG PUMPONG 05150 ALOR SETAR, KEDAH</t>
  </si>
  <si>
    <t>NVMY49024000002356</t>
  </si>
  <si>
    <t>NURUL AINI OTHMAN</t>
  </si>
  <si>
    <t>KAMPUNG KADOK DALAM , 16450 , KETEREH KELANTAN</t>
  </si>
  <si>
    <t>NVMY49024000002383</t>
  </si>
  <si>
    <t>MISAH MOHD YASSIN</t>
  </si>
  <si>
    <t>MISAH MOHD YASSIN NO.50 LORONG DATO MUFTI 9 KG.DATO MUFTI SHUIB 68000 AMPANG SELANGOR</t>
  </si>
  <si>
    <t>NVMY49024000002310</t>
  </si>
  <si>
    <t>Zurita but Inson</t>
  </si>
  <si>
    <t>No.105-6 solok Pantai peringgit;75400 Peringgit Mlka.</t>
  </si>
  <si>
    <t>NVMY49024000002397</t>
  </si>
  <si>
    <t>Noramirrah Binti Norazman</t>
  </si>
  <si>
    <t>3-21-08, Aspire Residence, Block 3, Jalan Aspire 1, Cyber 10, 63200 Cyberjaya Selangor</t>
  </si>
  <si>
    <t>NVMY49024000002448</t>
  </si>
  <si>
    <t>NUR HAZWANI</t>
  </si>
  <si>
    <t xml:space="preserve">LOT 1565-B JALAN SUNGAI KANDIS ( LORONG HAJI ARIFFIN ) KAMPUNG SUNGAI KANDIS SEKSYEN 36 , 40460 SHAH ALAM </t>
  </si>
  <si>
    <t>NVMY49024000002349</t>
  </si>
  <si>
    <t>Zulhelmi</t>
  </si>
  <si>
    <t>No 3/J persada damai, alam milenia 1, enstek sc-1, 71760 bandar baru enstek, n9</t>
  </si>
  <si>
    <t>NVMY49024000002406</t>
  </si>
  <si>
    <t xml:space="preserve">A , 21 FELDA SG TEKAM JERANTUT PAHANG  </t>
  </si>
  <si>
    <t>NVMY49024000002456</t>
  </si>
  <si>
    <t>SEKOLAH MENENGAH KEBANGSAAN JELAWAT 16370 BACHOK KELANTAN</t>
  </si>
  <si>
    <t>NVMY49024000002398</t>
  </si>
  <si>
    <t>aleiya amiera</t>
  </si>
  <si>
    <t>no 69 jalan desiran malawati 1/2 taman desiran malawati 45000 kuala selangor, selangor</t>
  </si>
  <si>
    <t>NVMY49024000002426</t>
  </si>
  <si>
    <t>Siti Nur Amirah</t>
  </si>
  <si>
    <t>Plot 4A, Lot 11395, Jalan Kampung Delek Kanan, Klang 41250 Selangor</t>
  </si>
  <si>
    <t>NVMY49024000002396</t>
  </si>
  <si>
    <t>Nurul Fatin Syahirah</t>
  </si>
  <si>
    <t>Blok D-2-6, Indah Condominium, Jln PJU 10/9 Prima Damansara 47830 ,P.J. Selangor</t>
  </si>
  <si>
    <t>NVMY49024000002306</t>
  </si>
  <si>
    <t>Masliza Binti Maskon</t>
  </si>
  <si>
    <t xml:space="preserve"> No. 708, Jalan Seri Impian 7/ 23, Taman Seri Impian, 86000 Kluang, Johor.</t>
  </si>
  <si>
    <t>NVMY49024000002325</t>
  </si>
  <si>
    <t>hanis</t>
  </si>
  <si>
    <t>CXT GROUP SDN BHD KF3, KIOSK AEON SERI MANJUNG,PUSAT PERNIAGAAN MANJUNG POINT I 32040 SERI MANJUNG PERAK DARUL RIDZUAN</t>
  </si>
  <si>
    <t>NVMY49024000002376</t>
  </si>
  <si>
    <t>Mohammad hisyamudin bin md yusop</t>
  </si>
  <si>
    <t>AMQ G8-1-7 PANGKALAN UDARA SUBANG 40000 SHAH ALAM SELANGOR</t>
  </si>
  <si>
    <t>NVMY49024000002417</t>
  </si>
  <si>
    <t>siti khairieffa</t>
  </si>
  <si>
    <t>LOT 12736 ,jalan perepat 8, kebun baru , 42200 kapar, klang, selangor</t>
  </si>
  <si>
    <t>NVMY49024000002374</t>
  </si>
  <si>
    <t>SULAIMAN BIN ABDULLAH</t>
  </si>
  <si>
    <t>NO 59, JALAN KUBUR RPT SUNGAI TERAH 18300 GUA MUSANG, KELANTAN</t>
  </si>
  <si>
    <t>NVMY49024000002420</t>
  </si>
  <si>
    <t>Maisarah Atikah Binti Aziz</t>
  </si>
  <si>
    <t>C-G-10 &amp; C-G-11   ,   Cameron fair jalan Camelia, Tanah Rata Cameron Highlands, 39000, Pahang</t>
  </si>
  <si>
    <t>NVMY49024000002366</t>
  </si>
  <si>
    <t>NUR DAMIA SYAMILA</t>
  </si>
  <si>
    <t xml:space="preserve">THE PARCEL LOT A , UPTOWN MALL UNIVERSITI SAINS MALAYSIA , 11800 USM , GELUGOR PULAU PINANG </t>
  </si>
  <si>
    <t>NVMY49024000002392</t>
  </si>
  <si>
    <t>Zawayi bin Setapa</t>
  </si>
  <si>
    <t>Lot 3567, Jalan Padang Bola, Kg.Keluang, 22200 Besut, Ganu</t>
  </si>
  <si>
    <t>NVMY49024000002382</t>
  </si>
  <si>
    <t>FARIDAH MOHD AMIN</t>
  </si>
  <si>
    <t>LE 3-15 BLOCK D JALAN GEMILANG 4 APARTMENT TAMAN GEMILANG 68100 PINGGIRAN BATU CAVES SELANGOR</t>
  </si>
  <si>
    <t>NVMY49024000002351</t>
  </si>
  <si>
    <t>mariana</t>
  </si>
  <si>
    <t>SUNWAY WINSTAR SDN BHD - USJ1 BRANCH LOT 526, PERSIARAN SUBANG PERMAI, SUNGAI PENAGA INDUSTRIAL PARK, USJ1, 47600 SUBANG JAYA SELANGOR</t>
  </si>
  <si>
    <t>NVMY49024000002316</t>
  </si>
  <si>
    <t>WAN MOHAMMAD ALIF FIRDAUS BIN WAN MUSTOPA</t>
  </si>
  <si>
    <t>0135664481-CALL, JLN KG LABU KG JONG BERLABUH. TEMBELING 27020 JERANTUT PAHANG</t>
  </si>
  <si>
    <t>NVMY49024000002452</t>
  </si>
  <si>
    <t>SITI ROHANUM MD SAPUAN</t>
  </si>
  <si>
    <t>H-18-17 FLORA DAMANSARA, JLN PJU 8/9 BANDAR DAMANSARA PERDANA BUKIT LANJAN, 47820 PETALING JAYA, SELANGOR</t>
  </si>
  <si>
    <t>NVMY49024000002454</t>
  </si>
  <si>
    <t>NOOR ASYIKIN BT ABD RAHMAN</t>
  </si>
  <si>
    <t>LOT 4700B JALAN FELDA CHALOK BARAT 21450 BANDAR PERMAISURI, TERENGGANU</t>
  </si>
  <si>
    <t>NVMY49024000002342</t>
  </si>
  <si>
    <t>Siti Nur Balqis Binti Mat Rahim</t>
  </si>
  <si>
    <t>No 55, Jalan Raja Muda Musa 2/4, Taman Raja Muda Musa 2, 32000 Sitiawan, Perak</t>
  </si>
  <si>
    <t>NVMY49024000002434</t>
  </si>
  <si>
    <t>ZAMRI BIN SHAARI</t>
  </si>
  <si>
    <t xml:space="preserve">NO - 326 FELDA CIKU 1, 18300 GUA MUSANG KELANTAN </t>
  </si>
  <si>
    <t>NVMY49024000002418</t>
  </si>
  <si>
    <t>Sarah Kamaludin</t>
  </si>
  <si>
    <t>No 473 Kg Lubok Besar, Ketereh 16450 Kota Bharu, Kelantan.</t>
  </si>
  <si>
    <t>NVMY49024000002424</t>
  </si>
  <si>
    <t>Wan nur syafiqah</t>
  </si>
  <si>
    <t xml:space="preserve">RSC 9, resort world genting 69000, genting highlands pahang </t>
  </si>
  <si>
    <t>NVMY49024000002435</t>
  </si>
  <si>
    <t>JAYA GROCER, LOT LG AT-01, KUANTAN CITY MALL, JLN PUTRA SQUARE 25300 KUANTAN PAHANG</t>
  </si>
  <si>
    <t>NVMY49024000002408</t>
  </si>
  <si>
    <t>NVMY49024000002135</t>
  </si>
  <si>
    <t>AZMI HAROON</t>
  </si>
  <si>
    <t>NO 18B, KG JANGKANG 09700 KARANGAN KEDAH</t>
  </si>
  <si>
    <t>NVMY49024000002410</t>
  </si>
  <si>
    <t>Nur Ain Bashirah Bt Mat Romzi</t>
  </si>
  <si>
    <t xml:space="preserve">Lot 2191 A Jalan Makmur Teras Jernang 43650 Bandar Baru Bangi , Selangor </t>
  </si>
  <si>
    <t>NVMY49024000002360</t>
  </si>
  <si>
    <t>HASLINA ABDULLAH</t>
  </si>
  <si>
    <t>NO 2 JLN RIANG 5 TMN GEMBIRA 81100 TAMPOI JOHOR BAHRU</t>
  </si>
  <si>
    <t>NVMY49024000002457</t>
  </si>
  <si>
    <t>AZILAWATY BINTI ASHAARY</t>
  </si>
  <si>
    <t>LOT 1255, KG TOK LANGGAR, 16450 KETEREH, KB, KELANTAN</t>
  </si>
  <si>
    <t>NVMY49024000002395</t>
  </si>
  <si>
    <t>NORHASMALIZA BT TAWANG</t>
  </si>
  <si>
    <t xml:space="preserve">PT 28752 TAMAN DESA SOLEHAH , JALAN SOLEHAH 3A , KG PADANG AIR , 21060 KUALA TERENGGANU , DARUL IMAN </t>
  </si>
  <si>
    <t>NVMY49024000002297</t>
  </si>
  <si>
    <t>NORSALAWANI BT MOHAMAD YUNUS</t>
  </si>
  <si>
    <t>R 204, JALAN LIMAU LELANG TAMAN KOTA SG RAMBAI 42600 JENJAROM, SELANGOR</t>
  </si>
  <si>
    <t>NVMY49024000002361</t>
  </si>
  <si>
    <t>NVMY49024000002516</t>
  </si>
  <si>
    <t>NVMY49024000002441</t>
  </si>
  <si>
    <t>NVMY49024000002354</t>
  </si>
  <si>
    <t>Sharmila</t>
  </si>
  <si>
    <t>NO 02-14, Blok P, Pangsapuri Permas Jaya, Jalan Permas 7, 81750, Masai, Johor</t>
  </si>
  <si>
    <t>NVMY49024000002476</t>
  </si>
  <si>
    <t>PARZILA BT WAHAB</t>
  </si>
  <si>
    <t>NO 10 JLN PJU 10/8A TAMAN DESA RIANG DAMANSARA DAMAI PETALING JAYA SELANGOR</t>
  </si>
  <si>
    <t>NVMY49024000002348</t>
  </si>
  <si>
    <t>Najwa Fauzi</t>
  </si>
  <si>
    <t>Hi Style Lot F32, First Floor, AEON Kinta City , No 2, Jalan The Lean Swee, Taman Ipoh Selatan, 31400 Ipoh, Perak</t>
  </si>
  <si>
    <t>NVMY49024000002503</t>
  </si>
  <si>
    <t>Nurzafirah Roslan</t>
  </si>
  <si>
    <t>No406 blok7 flat proton jalan kajang 27/1 seksyen 27 40400 shah alam selangor</t>
  </si>
  <si>
    <t>NVMY49024000002389</t>
  </si>
  <si>
    <t>NVMY49024000002399</t>
  </si>
  <si>
    <t>NUR AIDA BINTI YUSOFF</t>
  </si>
  <si>
    <t>no 4 lorong bertam indah , 4/8 taman bertam indah 13200 , pulau pinang</t>
  </si>
  <si>
    <t>NVMY49024000002459</t>
  </si>
  <si>
    <t>NUR NAJWA AWANIS</t>
  </si>
  <si>
    <t>NO 97 JALAN RHU 3, TAMAN RHU 09000 KULIM KEDAH</t>
  </si>
  <si>
    <t>NVMY49024000002419</t>
  </si>
  <si>
    <t>Siti Nursuzira Bte Ulong</t>
  </si>
  <si>
    <t xml:space="preserve">BTC Bistro Inanam, (Arabic mart) jalan Burung Keleto, Kota Kinabalu, 88000, Sabah malaysia </t>
  </si>
  <si>
    <t>NVMY49024000002483</t>
  </si>
  <si>
    <t>Siti Aidah Binti yem</t>
  </si>
  <si>
    <t>No. 11, jln Sri tanjung 23 Taman sri tanjung 43500 semenyih Selangor</t>
  </si>
  <si>
    <t>NVMY49024000002381</t>
  </si>
  <si>
    <t>NOR ASIAH BINTI HUSSAIN</t>
  </si>
  <si>
    <t>NO16,JLN PUTRA PERMAI 5,31400,BANDAR BARU PUTRA,IPOH ,PERAK.</t>
  </si>
  <si>
    <t>NVMY49024000002352</t>
  </si>
  <si>
    <t>NURIN IZZATI BINTI MOHD YUNOS</t>
  </si>
  <si>
    <t>NO, 38 JALAN GEMILANG 2/2 TAMAN BANANG JAYA. 83000 BATU PAHAT JOHOR</t>
  </si>
  <si>
    <t>NVMY49024000002436</t>
  </si>
  <si>
    <t>RUHANIZA BT ISMAIL</t>
  </si>
  <si>
    <t>PT 3373, JLN KURONG BATANG, KG TELUK JAMBU, BINTONG, 01000 KANGAR PERLIS</t>
  </si>
  <si>
    <t>NVMY49024000002350</t>
  </si>
  <si>
    <t>NURUL 'AIDA BINTI ZAINAL ABIDIN</t>
  </si>
  <si>
    <t xml:space="preserve">315A FASA 2C TAMAN MAHSURI 06000 JITRA KEDAH </t>
  </si>
  <si>
    <t>NVMY49024000002358</t>
  </si>
  <si>
    <t>NUR WANIE YUSRAH BINTI RAZALI</t>
  </si>
  <si>
    <t xml:space="preserve">NO 15, JLN BELIMBING BESI, TAMAN KOTA, 83700 YONG PENG, JOHOR </t>
  </si>
  <si>
    <t>NVMY49024000002446</t>
  </si>
  <si>
    <t>NURUL AIDA BT AMRAN</t>
  </si>
  <si>
    <t xml:space="preserve">LOT 31540 KAMPUNG PULAU BELAYAR 33000 GERIK PERAK </t>
  </si>
  <si>
    <t>NVMY49024000002504</t>
  </si>
  <si>
    <t>Nurhidayah</t>
  </si>
  <si>
    <t>4 jalan trj satu/1c taman rahmat jaya kundang 48050 rawang selangor</t>
  </si>
  <si>
    <t>NVMY49024000002379</t>
  </si>
  <si>
    <t>HANA BT HASAN</t>
  </si>
  <si>
    <t>NO 49, JALAN MELATI INDAH SATU TAMAN MELATI INDAH 02400 BESERI PERLIS</t>
  </si>
  <si>
    <t>NVMY49024000002451</t>
  </si>
  <si>
    <t>MOHD ASYRAF BIN SHUKRI</t>
  </si>
  <si>
    <t>12-17-14 LBH RELAU TAMAN ALOR VISTA 11900 BAYAN LEPAS PULAU PINANG</t>
  </si>
  <si>
    <t>NVMY49024000002432</t>
  </si>
  <si>
    <t>Muhamad Afisrudin Bin Ariffin</t>
  </si>
  <si>
    <t>180 A, Kampung Telaga Papan, Setiu, 21010, Terengganu</t>
  </si>
  <si>
    <t>NVMY49024000002380</t>
  </si>
  <si>
    <t>Eija Yahya</t>
  </si>
  <si>
    <t xml:space="preserve"> No. 11, Jalan 2/12, Taman Sri Kluang, 86000 Kluang, Johor.</t>
  </si>
  <si>
    <t>NVMY49024000002425</t>
  </si>
  <si>
    <t>Nur Solehah</t>
  </si>
  <si>
    <t>No 17, Jalan Kijang 10, Taman Scientex, 81700 Pasir Gudang Johor</t>
  </si>
  <si>
    <t>NVMY49024000002509</t>
  </si>
  <si>
    <t>Zunainie</t>
  </si>
  <si>
    <t>G5-2-7 KOMPLEKS PERUMAHAN IPPD GOMBAK BKT IDAMAN SELAYANG 68100 BATU CAVES SELANGOR</t>
  </si>
  <si>
    <t>NVMY49024000002391</t>
  </si>
  <si>
    <t>Mohd tarmizi bin othman</t>
  </si>
  <si>
    <t>No. 573, Lorong 15 Taman Desa Cinta Sayang, Sungai Karangan Padang Serai, Kedah 09410 Malaysia</t>
  </si>
  <si>
    <t>NVMY49024000002378</t>
  </si>
  <si>
    <t>IMAN</t>
  </si>
  <si>
    <t>NO LOT KAMPUNG KERIAN, PULAU LEBUHRAYA SULTAN HALIM 05400 ALOR SETAR, KEDAH</t>
  </si>
  <si>
    <t>NVMY49024000002387</t>
  </si>
  <si>
    <t>Muhammad faris</t>
  </si>
  <si>
    <t>D-02-16,JLN EJ 8/2 TAMAN EHSAN JAYA 81100 JOHOR BAHRU</t>
  </si>
  <si>
    <t>NVMY49024000002423</t>
  </si>
  <si>
    <t>SITI NUR AISHAH NABILA BINTI MOHD TUAH</t>
  </si>
  <si>
    <t>NO.19 RUMAH KILAT KG.RAMBAH ,82000 PONTIAN,JOHOR</t>
  </si>
  <si>
    <t>NVMY49024000002414</t>
  </si>
  <si>
    <t>IZZAH ZAHRA BINTI KAMARUDDIN</t>
  </si>
  <si>
    <t>TL PJ 50-5 PTD 21945 JALAN KAMPUNG JELUTONG (lorong hjh mariam) 86400 PT RAJA BATU PAHAT, JOHOR</t>
  </si>
  <si>
    <t>NVMY49024000002413</t>
  </si>
  <si>
    <t>aina syamira binti samsuri</t>
  </si>
  <si>
    <t>no. 7, jalan nibong 49, taman daya 81100 johor bahru</t>
  </si>
  <si>
    <t>NVMY49024000002499</t>
  </si>
  <si>
    <t>NUR HIDAYU BALQIS BINTI NORHAKAM</t>
  </si>
  <si>
    <t>Lot 2086 BATU 35 1/2 KAMPUNG BUKIT CHANGGANG 42700 BANTING SELANGOR</t>
  </si>
  <si>
    <t>NVMY49024000002393</t>
  </si>
  <si>
    <t>ISMAIL BIN JUSOH</t>
  </si>
  <si>
    <t xml:space="preserve">BALAI POLIS LUNAS 09600 LUNAS KEDAH </t>
  </si>
  <si>
    <t>NVMY49024000002347</t>
  </si>
  <si>
    <t>Nurul Natasha</t>
  </si>
  <si>
    <t>No 5 jalan mahsuri 2 ,kampung baru pandan 81100 Johor Bahru Johor</t>
  </si>
  <si>
    <t>NVMY49024000002384</t>
  </si>
  <si>
    <t>Mazliana Mokhtar</t>
  </si>
  <si>
    <t>No. 1602, lorong 63, taman ria mesra 2  08300 gurun Kedah</t>
  </si>
  <si>
    <t>NVMY49024000002428</t>
  </si>
  <si>
    <t>Siti Adawiyah Binti Wan Jusoh</t>
  </si>
  <si>
    <t>No 29, Jalan Megah 5, Taman Megah, 86000 Kluang Johor</t>
  </si>
  <si>
    <t>NVMY49024000002511</t>
  </si>
  <si>
    <t>BISMIHAYATI BINTI RAMADAN</t>
  </si>
  <si>
    <t>NO 25, LORONG SURAU HAJI HAMZAH, KAMPUNG BARU 3 JLN BANGI, 43500 SEMENYIH SELANGOR</t>
  </si>
  <si>
    <t>NVMY49024000002505</t>
  </si>
  <si>
    <t>NVMY49024000002442</t>
  </si>
  <si>
    <t>Mohd Fazli Bin Md Daud</t>
  </si>
  <si>
    <t>Batu 49 3/4 Kg Bukit Payong Bongor, 09100 Baling, Kedah</t>
  </si>
  <si>
    <t>NVMY49024000002422</t>
  </si>
  <si>
    <t>NVMY49024000002377</t>
  </si>
  <si>
    <t>ROZANA BT ABD KADIR</t>
  </si>
  <si>
    <t>NO 92, JLN KEMPAS INDAH 4/4 TMN KEMPAS INDAH 81300 JOHOR</t>
  </si>
  <si>
    <t>NVMY49024000002431</t>
  </si>
  <si>
    <t>Mardiana Binti Zulkifli</t>
  </si>
  <si>
    <t>No 65 jalan indah 19/3A taman bukit indah 79100 Iskandar puteri johor bahru</t>
  </si>
  <si>
    <t>NVMY49024000002357</t>
  </si>
  <si>
    <t>SITI ZAUYAH BINTI OTHMAN</t>
  </si>
  <si>
    <t>57, JALAN SRI MERANTI 2, TAMAN SRI MERANTI, 06010 CHANGLOON, KEDAH.</t>
  </si>
  <si>
    <t>NVMY49024000002362</t>
  </si>
  <si>
    <t>NVMY49024000002484</t>
  </si>
  <si>
    <t>Ashida</t>
  </si>
  <si>
    <t>Lot 7380 D, Lorong Siantan RTB Bukit Changgang 42700, Banting, Selangor</t>
  </si>
  <si>
    <t>NVMY49024000002449</t>
  </si>
  <si>
    <t>SAKILA BANU BINTI MYDIN</t>
  </si>
  <si>
    <t>2B-28-11/12, MUTIARA HEIGHT APARTMENT LINTANG HAJJAH REHMAH JELUTONG 11600 GEORGETOWN PULAU PINANG</t>
  </si>
  <si>
    <t>NVMY49024000002363</t>
  </si>
  <si>
    <t>NVMY49024000002501</t>
  </si>
  <si>
    <t>AHMAD DANIEL MUKHRIZ BIN CHE AZMAN (MS2317177422)</t>
  </si>
  <si>
    <t>BLOK CAPELLA KOLEJ MATRIKULASI SELANGOR, KEMENTERIAN PENDIDIKAN MALAYSIA, 42700 BANTING, MUKIM JUGRA SELANGOR DARUL EHSAN</t>
  </si>
  <si>
    <t>NVMY49024000002386</t>
  </si>
  <si>
    <t>Shahrel b sabudin</t>
  </si>
  <si>
    <t>No504 tmn bistari 2 lrg15 sg ular kulim kedah 09000</t>
  </si>
  <si>
    <t>NVMY49024000002491</t>
  </si>
  <si>
    <t>NUR ERMA NAZIRAH</t>
  </si>
  <si>
    <t>E-6-13 TAMAN PERMATA FADASON, JINJANG UTARA, KEPONG 52000 KUALA LUMPUR</t>
  </si>
  <si>
    <t>NVMY49024000002390</t>
  </si>
  <si>
    <t>HABIBULLAH BIN MD ZAIN</t>
  </si>
  <si>
    <t>SEKOLAH MENENGAH KEBANGSAAN GULAU, 08210 SIK, KEDAH.</t>
  </si>
  <si>
    <t>NVMY49024000002405</t>
  </si>
  <si>
    <t>Lyaa</t>
  </si>
  <si>
    <t>1H-3-8 Pangsapuri Warisan Tanjung , Jalan Tanjung Tokong Lama , 10470 Tanjung Tokong , Pulau Pinang</t>
  </si>
  <si>
    <t>NVMY49024000002421</t>
  </si>
  <si>
    <t>NURSYUHADA BINTI MOHAMED KHAIRUL</t>
  </si>
  <si>
    <t>POS 91,Parit Lapis Darat Jalan Temenggong Ahmad 84150 Parit Jawa,Muar Johor</t>
  </si>
  <si>
    <t>NVMY49024000002497</t>
  </si>
  <si>
    <t>farah diana binti abdullah</t>
  </si>
  <si>
    <t xml:space="preserve"> blok D3 Kementerian Sumber Manusia, Persiaran Sultan Sallahuddin Abdul Aziz Shah, 62000 Putrajaya</t>
  </si>
  <si>
    <t>NVMY49024000002345</t>
  </si>
  <si>
    <t>Yasmeen Wafa (BG24110461)</t>
  </si>
  <si>
    <t>Lot No.1, Kedai Siswazah Corner, Universiti Malaysia Sabah Kampus Antarabangsa Labuan, Jalan Sungai Pagar Wp Labuan, 87000, Labuan</t>
  </si>
  <si>
    <t>NVMY49024000002466</t>
  </si>
  <si>
    <t>FINA</t>
  </si>
  <si>
    <t>B-11-5 THE HAMSTEAD JALAN 9/118B, DESA TUN RAZAK 56000 KUALA LUMPUR</t>
  </si>
  <si>
    <t>NVMY49024000002443</t>
  </si>
  <si>
    <t>RAFEAH OTHMAN</t>
  </si>
  <si>
    <t>BLOK A-1-1 TAMAN BUKIT JAMBUL 11900 BAYAN LEPAS PULAU PINANG</t>
  </si>
  <si>
    <t>NVMY49024000002539</t>
  </si>
  <si>
    <t>Nureisya Saffia Binti Yaakub</t>
  </si>
  <si>
    <t>Lot 14655, Kg Gong Pak Jin, Mengabang Telipot, 21030 Kuala Nerus, Terengganu.</t>
  </si>
  <si>
    <t>NVMY49024000002496</t>
  </si>
  <si>
    <t>NURUL SYUHADA BINTI MOHAMAD NAZREE</t>
  </si>
  <si>
    <t>BATU 57 KAMPUNG SURAU MUKIM SIONG 09100 BALING KEDAH</t>
  </si>
  <si>
    <t>NVMY49024000002527</t>
  </si>
  <si>
    <t>Nur Saiyidah Binti Zainal</t>
  </si>
  <si>
    <t xml:space="preserve"> 403, Level 3, Blok 9, Jalan Cangkul 19/3, Seksyen 19, 40300 Shah Alam, Selangor</t>
  </si>
  <si>
    <t>NVMY49024000002528</t>
  </si>
  <si>
    <t>Ross Ruslan</t>
  </si>
  <si>
    <t>A-1-14 Pangsapuri Permai, Jalan Pjs 1/25 Taman petaling utama 7, 46000 petaling jaya selangor.</t>
  </si>
  <si>
    <t>NVMY49024000002520</t>
  </si>
  <si>
    <t>NVMY49024000002519</t>
  </si>
  <si>
    <t>NVMY49024000002488</t>
  </si>
  <si>
    <t>amina</t>
  </si>
  <si>
    <t>no. 18, jalan mewah ria 2/1, taman bukit mewah, 81200 johor bahru, johor</t>
  </si>
  <si>
    <t>NVMY49024000002508</t>
  </si>
  <si>
    <t>SAMSINAH BT SAID</t>
  </si>
  <si>
    <t>MP 175, JALAN INDAH 4, TAMAN PENGKALAN INDAH, 78000 ALOR GAJAH, MELAKA</t>
  </si>
  <si>
    <t>NVMY49024000002473</t>
  </si>
  <si>
    <t>ROZIAH BINTI ZOL</t>
  </si>
  <si>
    <t xml:space="preserve">NO 1, JLN BANDAR U, 25 TAMAN BANDAR UNIVERSITI, 32610 SERI ISKANDAR PERAK </t>
  </si>
  <si>
    <t>NVMY49024000002524</t>
  </si>
  <si>
    <t>NOOR IKHWAN OTHMAN</t>
  </si>
  <si>
    <t>NO 15 JLN BDS 2, TAMAN BUKIT DURIAN SETIA 75460 MELAKA</t>
  </si>
  <si>
    <t>NVMY49024000002554</t>
  </si>
  <si>
    <t>EFFA SHAMIRA</t>
  </si>
  <si>
    <t>LOT 293, HADAPAN SJK(C) YUKTSE, KAMPUNG KELABORAN, 16200 TUMPAT, KELANTAN</t>
  </si>
  <si>
    <t>NVMY49024000002469</t>
  </si>
  <si>
    <t>RUHANI BT MAMAT</t>
  </si>
  <si>
    <t>ASRAMA RUSILA MARANG KM 11 CHENDERING 21080 KUALA TERENGGANU, TERENGGANU</t>
  </si>
  <si>
    <t>A2-MRG-2-12</t>
  </si>
  <si>
    <t>NVMY49024000002559</t>
  </si>
  <si>
    <t>kersani</t>
  </si>
  <si>
    <t>f-1-18 apartment teratai,jalan bunga raya3,taman bunga, bukit beruntung,48300, Rawang Selangor</t>
  </si>
  <si>
    <t>NVMY49024000002485</t>
  </si>
  <si>
    <t>Nur anis kamelia bt abdullah razak</t>
  </si>
  <si>
    <t>No 191 taman bersatu 09100 baling kedah</t>
  </si>
  <si>
    <t>NVMY49024000002523</t>
  </si>
  <si>
    <t>NVMY49024000002514</t>
  </si>
  <si>
    <t>FARAH</t>
  </si>
  <si>
    <t>NO 117 FELDA JENGKA 2, 26400 BANDAR JENGKA PAHANG DARUL MAKMUR</t>
  </si>
  <si>
    <t>NVMY49024000002404</t>
  </si>
  <si>
    <t>Auni Zulaikha</t>
  </si>
  <si>
    <t>Beret f187   ,   Jalan Sabah, Pusat Latihan Polis (PULAPOL) km24, Jalan Puncak Borneo, Kuching, 93250, Sarawak</t>
  </si>
  <si>
    <t>NVMY49024000002534</t>
  </si>
  <si>
    <t>Arifatul najuwa</t>
  </si>
  <si>
    <t>No 71, Jalan Balam, Batu 9 1/2, 43200 Cheras, Selangor</t>
  </si>
  <si>
    <t>NVMY49024000002538</t>
  </si>
  <si>
    <t>che nor laila kiswani bt soh siva</t>
  </si>
  <si>
    <t>kampung teratak pulai , 16070, jelawat , bachok , kelantan</t>
  </si>
  <si>
    <t>NVMY49024000002490</t>
  </si>
  <si>
    <t>Shamimi Mamat</t>
  </si>
  <si>
    <t>1503, Kg Lapan Kotak, 22000, Jerteh Terengganu</t>
  </si>
  <si>
    <t>NVMY49024000002498</t>
  </si>
  <si>
    <t>Fatimah Maisarah binti Mohd Ariffin</t>
  </si>
  <si>
    <t>757, Kampung Losong Haji Mat Shafie, 21000, Kuala Terengganu</t>
  </si>
  <si>
    <t>NVMY49024000002552</t>
  </si>
  <si>
    <t>ATHIRAH BT MOKTHAR</t>
  </si>
  <si>
    <t>2303-5 LORONG SAGA 3, KG MAK CHILI, 24000 KEMAMAN TERENGGANU</t>
  </si>
  <si>
    <t>NVMY49024000002555</t>
  </si>
  <si>
    <t>732, JALAN HULU STESEN 16250 WAKAF BHARU, KELANTAN</t>
  </si>
  <si>
    <t>NVMY49024000002510</t>
  </si>
  <si>
    <t>ADNAN HASANY</t>
  </si>
  <si>
    <t>NO 29, JALAN DELIMA 10, TAMAN DELIMA 2, 86000 KLUANG JOHOR</t>
  </si>
  <si>
    <t>NVMY49024000002492</t>
  </si>
  <si>
    <t>Nor aira hashim</t>
  </si>
  <si>
    <t>Lot 45 kampung bukit anak dara 24100 kijal kemaman terengganu</t>
  </si>
  <si>
    <t>NVMY49024000002558</t>
  </si>
  <si>
    <t>Mohd shahrul nizam bin mohd shahri</t>
  </si>
  <si>
    <t>44-7-2 blok A plaza sinar  Jln 8/38D taman Sri sinar segambut 51200 Kuala Lumpur</t>
  </si>
  <si>
    <t>NVMY49024000002455</t>
  </si>
  <si>
    <t>HAFIY JANIDIN</t>
  </si>
  <si>
    <t>NO 379/2 KUARTERS KESIHATAN JITRA JALAN HOSPITAL 06000 JITRA KEDAH</t>
  </si>
  <si>
    <t>NVMY49024000002478</t>
  </si>
  <si>
    <t>NOORFAZILLAH BINTI MAT YUSOF</t>
  </si>
  <si>
    <t>LOT 788 KG BEHOR MASJID JLN KUALA PERLIS 02000 KUALA PERLIS, PERLIS</t>
  </si>
  <si>
    <t>NVMY49024000002502</t>
  </si>
  <si>
    <t>NVMY49024000002517</t>
  </si>
  <si>
    <t>ZULAIKHA SAMSUDIN</t>
  </si>
  <si>
    <t xml:space="preserve">NO 336 LORONG 7 TAMAN SRI UTAMA 08300 GURUN KEDAH </t>
  </si>
  <si>
    <t>NVMY49024000002444</t>
  </si>
  <si>
    <t>NVMY49024000002500</t>
  </si>
  <si>
    <t>Adlina binti Baharom</t>
  </si>
  <si>
    <t>No.12A Lorong 5 Taman Kuala Bekah 13100 PENAGA PULAU PINANG</t>
  </si>
  <si>
    <t>NVMY49024000002482</t>
  </si>
  <si>
    <t>EN. MAHAZAN</t>
  </si>
  <si>
    <t>RADICARE (M) SDN. BHD, HOSPITAL JELI 17600 JELI, KELANTAN</t>
  </si>
  <si>
    <t>NVMY49024000002512</t>
  </si>
  <si>
    <t>MASHAINI CHE MAT</t>
  </si>
  <si>
    <t>NO 12 LORONG GE 3, TAMAN GEMILANG EMAS, 27000 JERANTUTU PAHANG</t>
  </si>
  <si>
    <t>NVMY49024000002543</t>
  </si>
  <si>
    <t>Amiruddin Bin Rozlan</t>
  </si>
  <si>
    <t>No 21, Jalan Setia Perdana U13/25B Seksyen U13 Alam Nusantara 40170 Shah Alam</t>
  </si>
  <si>
    <t>NVMY49024000002532</t>
  </si>
  <si>
    <t>Nur Aimiey Amyza</t>
  </si>
  <si>
    <t>03-17 Blok Kenanga Taman Tun Teja Rawang Selangor</t>
  </si>
  <si>
    <t>NVMY49024000002518</t>
  </si>
  <si>
    <t>MUHAMMAD ZUBIR</t>
  </si>
  <si>
    <t xml:space="preserve">B-14-26 FLAT KAMPUNG MELAYU , 11500 AYER ITAM , PULAU PINANG </t>
  </si>
  <si>
    <t>NVMY49024000002467</t>
  </si>
  <si>
    <t>MAZURA BT MAT ZAIN</t>
  </si>
  <si>
    <t>38, TAMAN SYARIKAT MELAYU 35600 SUNGKAI PERAK</t>
  </si>
  <si>
    <t>NVMY49024000002560</t>
  </si>
  <si>
    <t>SHAMSUL BIN HUSAIN</t>
  </si>
  <si>
    <t>9A JALAN SEK AGAMA KPG PASIR KERLING, 44100 KERLING SELANGOR</t>
  </si>
  <si>
    <t>NVMY49024000002465</t>
  </si>
  <si>
    <t>NORAZLINA MOHAMAD</t>
  </si>
  <si>
    <t>20 JLN SRI KLEBANG 24, BDR BARU SRI KLEBANG 31200 CHEMOR PERAK</t>
  </si>
  <si>
    <t>NVMY49024000002481</t>
  </si>
  <si>
    <t>AMRAN SAMAD</t>
  </si>
  <si>
    <t>KM 45, NO 6, JALAN PPRT KAMPUNG SRI LUKUT KAHANG BATU 28 KLUANG JOHOR</t>
  </si>
  <si>
    <t>NVMY49024000002549</t>
  </si>
  <si>
    <t>Nuradila</t>
  </si>
  <si>
    <t>KEDAI NO 2 SIMPANG 3 FELDA TERKIS JENGKA 22 26400,Bandar Pusat Jengka,Pahang</t>
  </si>
  <si>
    <t>NVMY49024000002489</t>
  </si>
  <si>
    <t>Siti Norzulaikha</t>
  </si>
  <si>
    <t>No 25 Kampung Paya Gunong 27150 Jerantut Ferry Pahang Darul Makmur</t>
  </si>
  <si>
    <t>NVMY49024000002493</t>
  </si>
  <si>
    <t>NVMY49024000002507</t>
  </si>
  <si>
    <t>AMANI</t>
  </si>
  <si>
    <t xml:space="preserve">2 , JALAN CEKAL 1 , TAMAN SRI LAMBAK , 86000 KLUANG JOHOR </t>
  </si>
  <si>
    <t>NVMY49024000002535</t>
  </si>
  <si>
    <t xml:space="preserve">N0.16 Jalan seri sementa 6, taman seri sementa,42100 klang,selangor </t>
  </si>
  <si>
    <t>NVMY49024000002464</t>
  </si>
  <si>
    <t>NVMY49024000002463</t>
  </si>
  <si>
    <t>SYARINA</t>
  </si>
  <si>
    <t>6-G-19 PANGSAPURI IDAMAN JALAN PAUH, TAMAN PAUH 13500 PERAI, PULAU PINANG</t>
  </si>
  <si>
    <t>NVMY49024000002495</t>
  </si>
  <si>
    <t>NVMY49024000002470</t>
  </si>
  <si>
    <t>IDA ROHAYA BT MD TAIB</t>
  </si>
  <si>
    <t>SEK KEB BATU EMPAT, JLN JENIANG 08300 GURUN, KEDAH</t>
  </si>
  <si>
    <t>NVMY49024000002530</t>
  </si>
  <si>
    <t>Norfadhlin Anisa</t>
  </si>
  <si>
    <t>B-6-12, Perumahan Penjawat Awam Malaysia (PPAM), Metropolitan Kepong (MRR2), Jalan Lingkaran Tengah 2, 52100 Kuala Lumpur</t>
  </si>
  <si>
    <t>NVMY49024000002445</t>
  </si>
  <si>
    <t>NVMY49024000002402</t>
  </si>
  <si>
    <t>Aqilah Fauzi</t>
  </si>
  <si>
    <t>No66B Lorong Perak 4/1, Kampung Gunung Sali, Seberang Jalan Putra, 05150, Alor Setar Kedah</t>
  </si>
  <si>
    <t>NVMY49024000002474</t>
  </si>
  <si>
    <t>FARA IJA BT OTHMAN</t>
  </si>
  <si>
    <t>LOT 240, KG MASJID LAMA 33400 LENGGONG, PERAK</t>
  </si>
  <si>
    <t>NVMY49024000002475</t>
  </si>
  <si>
    <t>HAZRINA ABDULLAH</t>
  </si>
  <si>
    <t>TG PLASTICS TECHNOLOGIES SDN BHD LOT 52 JLN PKNK 1/6 KAWASAN PERUSAHAAN SG PETANI 08000 SG PETANI, KEDAH</t>
  </si>
  <si>
    <t>NVMY49024000002547</t>
  </si>
  <si>
    <t>21. iExpress @ MesaMall, Nilai (MMN)  Lot GK-17A, Ground Floor, Mesamall, Persiaran Ilmu, Bandar Baru Nilai, 71800, Nilai, Negeri Sembilan</t>
  </si>
  <si>
    <t>NVMY49024000002343</t>
  </si>
  <si>
    <t>Hasnah Abdullah</t>
  </si>
  <si>
    <t xml:space="preserve">21A , Kampung Gelam Mukim Tajar Langgar 06500 Alor Setar Kedah </t>
  </si>
  <si>
    <t>NVMY49024000002494</t>
  </si>
  <si>
    <t>NVMY49024000002461</t>
  </si>
  <si>
    <t>NURUL AIN BT ABDUL AZIZ</t>
  </si>
  <si>
    <t>LOT 1361, KG PENGKALAN NANGKA, JALAN PENGKALAN CHEPA, 16100 KOTA BHARU, KELANTAN</t>
  </si>
  <si>
    <t>NVMY49024000002521</t>
  </si>
  <si>
    <t>SK PAUH SEMBILAN 16350 BACHOK, KELANTAN</t>
  </si>
  <si>
    <t>A1-BCK-1-8</t>
  </si>
  <si>
    <t>NVMY49024000002472</t>
  </si>
  <si>
    <t>SAMILAH ABU KASIM</t>
  </si>
  <si>
    <t>NO 10/1 JLN BUKIT TINGKAT 1, TAMAN BUKIT TINGKAT 28000 TEMERLOH, PAHANG</t>
  </si>
  <si>
    <t>B1-TMH-4-32</t>
  </si>
  <si>
    <t>NVMY49024000002541</t>
  </si>
  <si>
    <t>Nik norsyamilah nordin</t>
  </si>
  <si>
    <t>Lot 2293 kampung kayu kelat kuala besut terengganu 22300, kuala Besut Terengganu</t>
  </si>
  <si>
    <t>NVMY49024000002526</t>
  </si>
  <si>
    <t>KAMARUDDIN</t>
  </si>
  <si>
    <t xml:space="preserve">NO 6 TAMAN DESA KUBANG ROTAN 06250 ALOR SETAR KEDAH </t>
  </si>
  <si>
    <t>NVMY49024000002536</t>
  </si>
  <si>
    <t>Nur Shahanaz</t>
  </si>
  <si>
    <t>SISWA POST UMT LOT 6&amp;7 STUDENT MALL COMPLEX  UNIVERSITI MALAYSIA TERENGGANU 21030 KUALA NERUS TERENGGANU</t>
  </si>
  <si>
    <t>NVMY49024000002340</t>
  </si>
  <si>
    <t>Auni Nabihah binti Muhammad Fairuz</t>
  </si>
  <si>
    <t>17014, Jalan Sura Pantai, Taman Sura Damai, 23000, Dungun, Terengganu</t>
  </si>
  <si>
    <t>NVMY49024000002487</t>
  </si>
  <si>
    <t>izzah</t>
  </si>
  <si>
    <t>70, jalan bakti 69, taman mutiara rini,81300, skudai, johor</t>
  </si>
  <si>
    <t>NVMY49024000002468</t>
  </si>
  <si>
    <t>ZAIDAH MUHAMAD</t>
  </si>
  <si>
    <t>23, JALAN PULAI 73 TAMAN PULAI UTAMA 81300 SKUDAI JOHOR BAHRU JOHOR</t>
  </si>
  <si>
    <t>NVMY49024000002522</t>
  </si>
  <si>
    <t>A1-KBR-1-1</t>
  </si>
  <si>
    <t>NVMY49024000002477</t>
  </si>
  <si>
    <t>WAN NAIMAH WAN AHMAD</t>
  </si>
  <si>
    <t>LOT 6852 (1), JLN RAJION LORONG SUVARNOH, JLN KEBUN 40460 SHAH ALAM, SELANGOR</t>
  </si>
  <si>
    <t>NVMY49024000002479</t>
  </si>
  <si>
    <t>MUHAMMAD AMIRUL HAQEEM</t>
  </si>
  <si>
    <t>80040, Jalan Alor Damat, Kampung Wakaf Tengah, Kuala Terengganu, 21030, Terengganu</t>
  </si>
  <si>
    <t>NVMY49024000002542</t>
  </si>
  <si>
    <t>FATIN LIYANA</t>
  </si>
  <si>
    <t>Kedai Siswa Save Kolej Jasmine,UITM Kampus Puncak Perdana, Jalan Pulau Angsa AU10/A ,40150 Shah Alam, Selangor</t>
  </si>
  <si>
    <t>NVMY49024000002486</t>
  </si>
  <si>
    <t>NURUL SYAHIRA BT MOHD KHIR</t>
  </si>
  <si>
    <t>KAMPUNG KELUNCHOR MUKIM KUBANG ROTAN, 06250 ALOR SETAR KEDAH</t>
  </si>
  <si>
    <t>NVMY49024000002583</t>
  </si>
  <si>
    <t>Lot 3430 Persiaran Mak Ikar Off Jalan Selasih Kg Baru Kerteh 24300 Kemaman Terengganu</t>
  </si>
  <si>
    <t>NVMY49024000002588</t>
  </si>
  <si>
    <t>Syamsurianey binti samsudin</t>
  </si>
  <si>
    <t>No6, jalan bukit bertam, batu gajah, 17510 tanah merah kelantan</t>
  </si>
  <si>
    <t>NVMY49024000002587</t>
  </si>
  <si>
    <t>Anis Yusof</t>
  </si>
  <si>
    <t>SK Batu 48, 23000 Dungun Terengganu</t>
  </si>
  <si>
    <t>NVMY49024000003478</t>
  </si>
  <si>
    <t>pilot laju</t>
  </si>
  <si>
    <t>676 x tman dato hj abdul rahman 21700 kuala berang Terengganu</t>
  </si>
  <si>
    <t>NVMY49024000003395</t>
  </si>
  <si>
    <t>Wan Sabariah</t>
  </si>
  <si>
    <t xml:space="preserve">1097 Jalan Tok Adis, Kuala Ibai, 20400 Kuala Terengganu </t>
  </si>
  <si>
    <t>NVMY49024000003377</t>
  </si>
  <si>
    <t>nur fasha liyana binti mohd faisal</t>
  </si>
  <si>
    <t>o 8 lorong cassia tengah 6 taman cassia batu kawan 14110 simpang ampat pulau pinang</t>
  </si>
  <si>
    <t>NVMY49024000003364</t>
  </si>
  <si>
    <t>Naninurlisa binti Shaiful Anuar</t>
  </si>
  <si>
    <t>1063A, BPJ 2/22, Bandar Puteri Jaya, 08000 Sungai Petani, Kedah</t>
  </si>
  <si>
    <t>NVMY49024000003531</t>
  </si>
  <si>
    <t>YUSLINA BINTI ABDILLAH</t>
  </si>
  <si>
    <t xml:space="preserve"> 1619-3 JALAN CHABANG KG BARU KERTEH (DOBI GEMILANG),24300, KERTEH, KEMAMAN TERENGGANU.</t>
  </si>
  <si>
    <t>NVMY49024000003367</t>
  </si>
  <si>
    <t>Khairul Anwar Shafiee</t>
  </si>
  <si>
    <t>Edgenta Mediserve Hospital Batu Gajah, Batu Gajah, 31000, Kinta, 31000, Perak</t>
  </si>
  <si>
    <t>NVMY49024000003439</t>
  </si>
  <si>
    <t>YATI</t>
  </si>
  <si>
    <t xml:space="preserve">SEKOLAH KEBANGSAAN PENGKALAN KUBOR 1 , 16080 TUMPAT KELANTAN </t>
  </si>
  <si>
    <t>NVMY49024000003412</t>
  </si>
  <si>
    <t>MOHD EMIRZAIKHAN</t>
  </si>
  <si>
    <t>NO 9 JALAN BINTANG 9, TAMAN KOPERASI BAHAGIA 83000 BATU PAHAT, JOHOR</t>
  </si>
  <si>
    <t>NVMY49024000003350</t>
  </si>
  <si>
    <t>HAMISAH HASHIM</t>
  </si>
  <si>
    <t>52 LORONG 3, TAMAN BEMBAN 09200 KUPANG, KEDAH</t>
  </si>
  <si>
    <t>NVMY49024000003326</t>
  </si>
  <si>
    <t>NVMY49024000003458</t>
  </si>
  <si>
    <t>ANN</t>
  </si>
  <si>
    <t>KAYUMANIS PROPERTIES 17A, 17B, JALAN DELUXE PUSAT PERDAGANGAN DELUXE 43800 DENGKIL SELANGOR</t>
  </si>
  <si>
    <t>NVMY49024000003427</t>
  </si>
  <si>
    <t>NVMY49024000003457</t>
  </si>
  <si>
    <t>TIMBALAN PENDAFTAR KANAN PEJABAT PENGURUSAN SUMBER MANUSIA</t>
  </si>
  <si>
    <t>PEJABAT PENGURUSAN SUMBER MANUSIA UNIVERSITI TEKNOLOGI MARA CAWANGAN MELAKA, KM 26 JALAN LENDU 78006 ALOR GAJAH MELAKA</t>
  </si>
  <si>
    <t>NVMY49024000003499</t>
  </si>
  <si>
    <t>Nabilah Hanafi</t>
  </si>
  <si>
    <t>No 15, Jalan 8/29B, Seri Wirani 8, Seksyen 8, 43650 Bandar Baru Bangi, Selangor</t>
  </si>
  <si>
    <t>NVMY49024000003423</t>
  </si>
  <si>
    <t>Mnaser</t>
  </si>
  <si>
    <t>Lot 1076-i Lorong Mahaad Pengajian Islam Jalan Long Yunus 15200 Kota Bharu KELANTAN</t>
  </si>
  <si>
    <t>NVMY49024000003521</t>
  </si>
  <si>
    <t>Ain Nadia</t>
  </si>
  <si>
    <t>PT5119 BI A/3 Tamn Banggol Indah 24000 Kmm K.Trgganu</t>
  </si>
  <si>
    <t>NVMY49024000003527</t>
  </si>
  <si>
    <t>SITI AISYAH BT CHE DAUD</t>
  </si>
  <si>
    <t>NO 10 BELAKANG PASAR BESAR KUALA KRAI 18000 KUALA KRAI, KELANTAN</t>
  </si>
  <si>
    <t>NVMY49024000003402</t>
  </si>
  <si>
    <t>NVMY49024000003471</t>
  </si>
  <si>
    <t>Mohd Rozlan Bin Mustaffa</t>
  </si>
  <si>
    <t xml:space="preserve">Lot6B/ No8 jalan Pprt1 Kg Bukit Lanchong 40400  Shah Alam Selangor </t>
  </si>
  <si>
    <t>NVMY49024000003356</t>
  </si>
  <si>
    <t>NURUL AINA SHAHIDA BINTI NASARUDIN</t>
  </si>
  <si>
    <t>DT 63, JALAN PULAU INDAH UTAMA, TAMAN PULAU INDAH, 76100 DURIAN TUNGGAL MELAKA</t>
  </si>
  <si>
    <t>NVMY49024000003441</t>
  </si>
  <si>
    <t>BRON</t>
  </si>
  <si>
    <t>KAMPUNG SUNGAI PUTAT PADANG PIOL 27040 JERANTUT PAHANG.</t>
  </si>
  <si>
    <t>NVMY49024000003473</t>
  </si>
  <si>
    <t>PT 10633 ,Jalan Kenanga Sura Jetty, 23000 Dungun , Terengganu.</t>
  </si>
  <si>
    <t>NVMY49024000003414</t>
  </si>
  <si>
    <t>HANARIS</t>
  </si>
  <si>
    <t xml:space="preserve">NO 48-1 JALAN NIAGA 81900 KOTA TINGGI , JOHOR </t>
  </si>
  <si>
    <t>NVMY49024000003409</t>
  </si>
  <si>
    <t>Kevin Yeoh Wee Lee</t>
  </si>
  <si>
    <t>5, Lintang Bukit Kecil 3, Taman Sri Nibong, 11900 Bayan Lepas, Penang</t>
  </si>
  <si>
    <t>NVMY49024000003294</t>
  </si>
  <si>
    <t>NVMY49024000003413</t>
  </si>
  <si>
    <t>MUHAMMAD DANISH MIRZA BIN MOHD</t>
  </si>
  <si>
    <t xml:space="preserve">B7-01-09 , BANDAR BARU SERI ALAM MASAI , VISTA SERI ALAM , 81750 MASAI JOHOR </t>
  </si>
  <si>
    <t>NVMY49024000003517</t>
  </si>
  <si>
    <t>ainaa izzati</t>
  </si>
  <si>
    <t>D-1094 kampung pulau rusa 20050 k.trg</t>
  </si>
  <si>
    <t>NVMY49024000003394</t>
  </si>
  <si>
    <t>Ain Suhime</t>
  </si>
  <si>
    <t>Lot 347, Seksyen 27, Sebelah Klinik 1 Malaysia, Sri Cemerlang 15300 Kota Bharu Kelantan</t>
  </si>
  <si>
    <t>NVMY49024000003474</t>
  </si>
  <si>
    <t>Mohd Rawi</t>
  </si>
  <si>
    <t xml:space="preserve">PT4065-G, Jalan Sultan Zainal Abidin, 20000 Kuala Terengganu </t>
  </si>
  <si>
    <t>NVMY49024000003514</t>
  </si>
  <si>
    <t>Fatin Ayu Kartika binti Mohd Suzaki</t>
  </si>
  <si>
    <t>No. 262, Peringkat 3, Felda Sungai Panching Timur, 26140 Kuantan, Pahang</t>
  </si>
  <si>
    <t>NVMY49024000003485</t>
  </si>
  <si>
    <t>TUAN ROZANA</t>
  </si>
  <si>
    <t>NO 17, JLN GAPI MAS 3, LAMAN GAPI MAS 48200 SERENDAH, SELANGOR</t>
  </si>
  <si>
    <t>NVMY49024000003455</t>
  </si>
  <si>
    <t>WARRANTY, ALPHA LIVING &amp; BEAUTY SDN BHD</t>
  </si>
  <si>
    <t>WARRANTY, ALPHA LIVING &amp; BEAUTY SDN BHD, NO 3. JALAN CJ 1/1, TAMAN CHERAS JAYA 43200 CHERAS, SELANGOR</t>
  </si>
  <si>
    <t>NVMY49024000003398</t>
  </si>
  <si>
    <t>Jasminah Bt Bosran</t>
  </si>
  <si>
    <t>No.193, Jln Sj6 Tmn Sijangkang Jaya, 42500 Telok Panglima Garang, Banting, Selangor</t>
  </si>
  <si>
    <t>NVMY49024000003539</t>
  </si>
  <si>
    <t>Afiq muqri ibrahim</t>
  </si>
  <si>
    <t>PT 8950 TAMAN KALONGAN MAS JALAN MEDAN JAYA 21080 MARANG TERENGGANU</t>
  </si>
  <si>
    <t>NVMY49024000003351</t>
  </si>
  <si>
    <t>AZIRA BINTI DAUD</t>
  </si>
  <si>
    <t>222 JALAN CENGAL 12, TAMAN CENGAL INDAH 09000 KULIM, KEDAH</t>
  </si>
  <si>
    <t>NVMY49024000003486</t>
  </si>
  <si>
    <t>MARIANA MUHAMMAD</t>
  </si>
  <si>
    <t>LOT 1080 KG KUTAN TENGAH 16250 WAKAF BHARU, KELANTAN</t>
  </si>
  <si>
    <t>NVMY49024000003404</t>
  </si>
  <si>
    <t>ZALINA BINTI OSMAN</t>
  </si>
  <si>
    <t>29 SS11 TAMAN SRI SULONG 83500 PARIT SULONG BATU PAHAT JOHOR</t>
  </si>
  <si>
    <t>NVMY49024000003315</t>
  </si>
  <si>
    <t>Iswan semadi</t>
  </si>
  <si>
    <t>Balai polis pasir puteh 31650 ipoh perak</t>
  </si>
  <si>
    <t>NVMY49024000003431</t>
  </si>
  <si>
    <t>NVMY49024000003360</t>
  </si>
  <si>
    <t>NURUL SUHANIS BINTI MOHAMAD NASRI</t>
  </si>
  <si>
    <t xml:space="preserve">NO 14, KAMPUNG SUNGAI SEJUK, 31100, SUNGAI SIPUT (U) PERAK </t>
  </si>
  <si>
    <t>NVMY49024000003541</t>
  </si>
  <si>
    <t>Tuan.noraini.syed bidin.</t>
  </si>
  <si>
    <t>4620c.kg gaung kuala berang. Terenganu</t>
  </si>
  <si>
    <t>NVMY49024000003311</t>
  </si>
  <si>
    <t>Noor idayu Binti mahd salleh masari</t>
  </si>
  <si>
    <t>no, 36 jalan eco grandeur 12/1C bandar puncak alam 42300 Kuala selangor</t>
  </si>
  <si>
    <t>NVMY49024000003348</t>
  </si>
  <si>
    <t>NORAINI BINTI NIZAMUDDIN</t>
  </si>
  <si>
    <t>LOT 29785, LORONG SETIA 8, KAMPUNG TERSUSUN SITIAWAN, 32000 SITIAWAN PERAK</t>
  </si>
  <si>
    <t>NVMY4902400001398R</t>
  </si>
  <si>
    <t>DMY</t>
  </si>
  <si>
    <t>PT 1128, Perumahan PKINK Pengkalan Chepa , Kota Bharu , Kelantan</t>
  </si>
  <si>
    <t>NVMY49024000003407</t>
  </si>
  <si>
    <t>LIZAWATI</t>
  </si>
  <si>
    <t>NO 12 TAMAN SRI FAJAR JALAN LENCONG BARAT 05400 ALOR SETAR KEDAH</t>
  </si>
  <si>
    <t>NVMY49024000003415</t>
  </si>
  <si>
    <t>Tuan Sarifah BT Tuan Losin</t>
  </si>
  <si>
    <t>No 16jalan Ambar 2, taman Ambar 43800 Dengkil Sepang Selangor</t>
  </si>
  <si>
    <t>NVMY49024000003355</t>
  </si>
  <si>
    <t>NVMY49024000003370</t>
  </si>
  <si>
    <t>Auji Awatif</t>
  </si>
  <si>
    <t xml:space="preserve">No.15, Jalan Tiga, Taman simpang permai, 02700 Simpang Empat Perlis </t>
  </si>
  <si>
    <t>NVMY49024000003365</t>
  </si>
  <si>
    <t>NUR NAZLIATUL UMAIRAH BINTI RADHALI</t>
  </si>
  <si>
    <t>NO 31, JALAN PUTRA 2/7, BANDAR PUTRA 85000 SEGAMAT JOHOR</t>
  </si>
  <si>
    <t>NVMY49024000003533</t>
  </si>
  <si>
    <t>Zarina bt mahasan</t>
  </si>
  <si>
    <t>E-4-3 appment sri melati bandar sri putra 43000 kajang selangor</t>
  </si>
  <si>
    <t>NVMY49024000003293</t>
  </si>
  <si>
    <t>NVMY49024000003434</t>
  </si>
  <si>
    <t>Samri Muhamad</t>
  </si>
  <si>
    <t xml:space="preserve">No 47 Jalan kemboja  Taman Wangi  18300 Gua Musang  Kelantan </t>
  </si>
  <si>
    <t>NVMY49024000003333</t>
  </si>
  <si>
    <t>THINESRRAJ RAMOMURTHY</t>
  </si>
  <si>
    <t xml:space="preserve">HR OFFICER  QDOS Flexcircuits Sdn Bhd, 99, Lebuhraya Kampung Jawa, Bayan Lepas, 11900 Penang Malaysia </t>
  </si>
  <si>
    <t>NVMY49024000003522</t>
  </si>
  <si>
    <t>SITI NOOR SYAFIZA BINTI CHE MOKHTAR</t>
  </si>
  <si>
    <t>Tower 2-12-23 utropolis suites 2 , jalan kontraktor persiaran kerjaya 40150 shah alam selangor.</t>
  </si>
  <si>
    <t>NVMY49024000003468</t>
  </si>
  <si>
    <t>Sabri dolphin</t>
  </si>
  <si>
    <t>Lot 277 depan futsal pantai 22300 Kuala besut  Terengganu</t>
  </si>
  <si>
    <t>NVMY49024000003386</t>
  </si>
  <si>
    <t>Ika</t>
  </si>
  <si>
    <t>No 7, JALAN SAMARINDA 27, TAMAN MEWAH JAYA 41000 KLANG</t>
  </si>
  <si>
    <t>NVMY49024000003359</t>
  </si>
  <si>
    <t>Azmirah.Sarli</t>
  </si>
  <si>
    <t xml:space="preserve">Lorong Sabariman Kampung Parit Semerah 82000 Pontian Johor </t>
  </si>
  <si>
    <t>NVMY49024000003349</t>
  </si>
  <si>
    <t>ANITA BT PARAMAN</t>
  </si>
  <si>
    <t>NO 21 JALAN IMPIAN NURI 1 TAMAN IMPIAN JAYA 73200 GEMENCHEH NEGERI SEMBILAN</t>
  </si>
  <si>
    <t>NVMY49024000003479</t>
  </si>
  <si>
    <t>NVMY49024000003525</t>
  </si>
  <si>
    <t>FAIZAH BT MOHAMED NAWI</t>
  </si>
  <si>
    <t>KG SEBOI KUALA KRAU 28050 TEMERLOH  PAHANG</t>
  </si>
  <si>
    <t>NVMY49024000003469</t>
  </si>
  <si>
    <t>NVMY49024000003463</t>
  </si>
  <si>
    <t>MOHAMAD FADHIL BIN RAHIM</t>
  </si>
  <si>
    <t>LOT 2782 JALAN KLINIK KAMPUNG BUKIT NAGA BATU 6 SEKSYEN 32 SHAH ALAM 40460 SELANGOR</t>
  </si>
  <si>
    <t>NVMY49024000003429</t>
  </si>
  <si>
    <t>Kedai stakir(Wahab)</t>
  </si>
  <si>
    <t>3941, Kampung Kubang Bujuk 21200, Belara Kuala Terengganu, Terengganu, 21200</t>
  </si>
  <si>
    <t>NVMY49024000003451</t>
  </si>
  <si>
    <t>NVMY49024000003435</t>
  </si>
  <si>
    <t>Mohd helmi bin che mohamad</t>
  </si>
  <si>
    <t>305 felda kota gelanggi 03.27000 jerantut Pahang darul makmur</t>
  </si>
  <si>
    <t>NVMY49024000003534</t>
  </si>
  <si>
    <t>Rosazira Afiqah Binti Rosli</t>
  </si>
  <si>
    <t>No 197 Lorong Lengkok Kanan 6, Tanah Putih Baru 25150 Kuantan Pahang</t>
  </si>
  <si>
    <t>NVMY49024000003515</t>
  </si>
  <si>
    <t>alisya admi</t>
  </si>
  <si>
    <t>Sekolah Menengah  Kebangsaan Kuala Gris 18200 Dabong Kelantan</t>
  </si>
  <si>
    <t>NVMY49024000003428</t>
  </si>
  <si>
    <t>Aniq Arjuna</t>
  </si>
  <si>
    <t>117 Blok 6 Jengka 21 26400 Bandar Jengka Pahang Darul Makmur</t>
  </si>
  <si>
    <t>NVMY49024000003520</t>
  </si>
  <si>
    <t>yanamaneh</t>
  </si>
  <si>
    <t>Bi Technologies Corporation Sdn Bhd, Hostel A31 Tingkat 1, A 1445,Jalan Tanjung Api ,25050 Kuantan Pahang</t>
  </si>
  <si>
    <t>NVMY49024000003506</t>
  </si>
  <si>
    <t>sofea</t>
  </si>
  <si>
    <t>AINNIN SOFEA, A24A3589, B7-GF-18 Bahagian Perumahan Pelajar, Pejabat Hal Ehwal Pelajar, Universiti Malaysia Kelantan Kampus Kota (Taman Bendahara), 16100, PC</t>
  </si>
  <si>
    <t>NVMY49024000003373</t>
  </si>
  <si>
    <t>Suzulina bt Mohamed</t>
  </si>
  <si>
    <t xml:space="preserve">14, Jln. Hang Nadim 35/36, Alam Impian, 40470 Shah Alam, Selangor </t>
  </si>
  <si>
    <t>NVMY49024000003390</t>
  </si>
  <si>
    <t>Nur Farisha Eliza Susila Bt Mohd Nasir</t>
  </si>
  <si>
    <t xml:space="preserve"> PT 5876 B KG PECHAH PELETING HILIR JLN BUKIT TEBU 17500 TANAH MERAH KELANTAN</t>
  </si>
  <si>
    <t>NVMY49024000003347</t>
  </si>
  <si>
    <t>ATHIRAH FAQIHAH BT AHMAD FEKRY</t>
  </si>
  <si>
    <t>NO 29, LORONG DESA SENA 9, TAMAN DESA SENA, 13300 TASEK GELUGOR, PULAU PINANG</t>
  </si>
  <si>
    <t>NVMY49024000003316</t>
  </si>
  <si>
    <t>NVMY49024000003352</t>
  </si>
  <si>
    <t>NAZRAH MAT HASSAN</t>
  </si>
  <si>
    <t>NO 32. PRSIARAN UTAMA 1/18, KULIM UTAMA HI TECH PARK, 09000 KULIM KEDAH</t>
  </si>
  <si>
    <t>NVMY49024000003385</t>
  </si>
  <si>
    <t>Nur dayana aqila</t>
  </si>
  <si>
    <t>No 22A , Jalan Kembojasari 6 , Bandar Sungai Buaya 48010 , Rawang Selangor</t>
  </si>
  <si>
    <t>NVMY49024000003512</t>
  </si>
  <si>
    <t>Siti Rahayu</t>
  </si>
  <si>
    <t>Pt 317,Desa Darul Naim,16150 Kota Bharu,Kelantan</t>
  </si>
  <si>
    <t>NVMY49024000003536</t>
  </si>
  <si>
    <t>AMTAZAL LAILI BT AB RAZAK</t>
  </si>
  <si>
    <t>LOT 705 JLN MASJID MAKMUR KG LATI 17500 PASIR MAS, KELANTAN</t>
  </si>
  <si>
    <t>NVMY49024000003524</t>
  </si>
  <si>
    <t>BALQIS SYUHADA BINTI AZHAR</t>
  </si>
  <si>
    <t xml:space="preserve">KG KUBANG DALAM TAWANG, 16020 BACHOK, KELANTAN </t>
  </si>
  <si>
    <t>NVMY49024000003329</t>
  </si>
  <si>
    <t>Rubiatul Adawiyah Binti Mohd Zulkepli</t>
  </si>
  <si>
    <t>Mahallah Salahuddin. Universiti Islam Antarabangsa Malaysia, Jalan Gombak, 53100, Setapak</t>
  </si>
  <si>
    <t>NVMY49024000003361</t>
  </si>
  <si>
    <t>SITI HAJAR BINTI MOHAMMAD YUSOF</t>
  </si>
  <si>
    <t>NO 1758 UNIT 4 KAMPUNG PADANG BENGGALI, TELUK AIR TAWAR 13050 BUTTETWORTH PENANG</t>
  </si>
  <si>
    <t>NVMY49024000003453</t>
  </si>
  <si>
    <t>Shaari Daud</t>
  </si>
  <si>
    <t xml:space="preserve">No.5, Jalan Sri Puchong 4 Taman Sri Puchong 47160 Puchong Selangor </t>
  </si>
  <si>
    <t>NVMY49024000003368</t>
  </si>
  <si>
    <t>alia maisarah</t>
  </si>
  <si>
    <t xml:space="preserve">no 13 lorong kg sg sungai mulia 1A , kg sg mulia gombak kuala lumpur </t>
  </si>
  <si>
    <t>NVMY49024000003523</t>
  </si>
  <si>
    <t>Faizliza Rozali</t>
  </si>
  <si>
    <t>No.52, Jalan Hijau 1/2, Bandar Tasik Puteri, 48020 Rawang, Selangor</t>
  </si>
  <si>
    <t>NVMY49024000003330</t>
  </si>
  <si>
    <t>Rara</t>
  </si>
  <si>
    <t>LOT E09, TKT 4, BLK LD, MERPATI APARTMENT, TMN KETIAU FASA 1, JLN KETIAU TOMBOVO 88200 KOTA KINABALU.</t>
  </si>
  <si>
    <t>NVMY49024000003257</t>
  </si>
  <si>
    <t>NURHAYATI BINTI AUBI</t>
  </si>
  <si>
    <t xml:space="preserve">LOT 20 , LORONG BAHAGIA 1 TAMAN BAHAGIA FASA 1 JALAN AIRPORT T , 7 90000 SANDAKAN SABAH </t>
  </si>
  <si>
    <t>NVMY49024000003513</t>
  </si>
  <si>
    <t>NVMY49024000003480</t>
  </si>
  <si>
    <t>ERMA FIKRI</t>
  </si>
  <si>
    <t>LOT 1198 TAMAN MUTTAQIN, JLN DATO LUNDANG 15200 KOTA BHARU, KELANTAN</t>
  </si>
  <si>
    <t>NVMY49024000003475</t>
  </si>
  <si>
    <t>Zamri</t>
  </si>
  <si>
    <t>Lot 1681A kg jerek dalam 18300 gua musang kelantan</t>
  </si>
  <si>
    <t>NVMY49024000003507</t>
  </si>
  <si>
    <t>NUR FATIHAH BINTI MOHAMMAD</t>
  </si>
  <si>
    <t>Kolej Kediaman Ketujuh Zaba, Universiti Malaya, Lembah Pantai, 50603, Kuala Lumpur</t>
  </si>
  <si>
    <t>NVMY49024000003314</t>
  </si>
  <si>
    <t>HELMI BIN YUSOP</t>
  </si>
  <si>
    <t>DEPOH IMIGRESEN SEMENTARA MILLENNIUM,JALAN KG SUNGAI SEMATAR ,KG KUALA PAJAM,43700 BERANANG,SELANGO</t>
  </si>
  <si>
    <t>NVMY49024000003488</t>
  </si>
  <si>
    <t>KHADIJAH BT IBRAHIM</t>
  </si>
  <si>
    <t>SK LABOK 18500 MACHANG KELANTAN</t>
  </si>
  <si>
    <t>NVMY49024000003371</t>
  </si>
  <si>
    <t>sharifah emylia</t>
  </si>
  <si>
    <t>b-3-10, flat taman casurina, persiaran tok dagang 70400 seremban</t>
  </si>
  <si>
    <t>NVMY49024000003422</t>
  </si>
  <si>
    <t>NVMY49024000003465</t>
  </si>
  <si>
    <t>MOHD EZRI SHAH BIN TENGAH</t>
  </si>
  <si>
    <t>LOT 5402 JALAN TANJUNG 1/5 TAMAN DESA BAROH TANJUNG DAMAI 21300 KUALA NERUS TERNGGANU</t>
  </si>
  <si>
    <t>NVMY49024000003540</t>
  </si>
  <si>
    <t>Norhayati kassim</t>
  </si>
  <si>
    <t>No 42 Jln Meranti Putih 4 , off Jln Meru , Taman Permai 2 , 41050 Klang . Selangor</t>
  </si>
  <si>
    <t>NVMY49024000003492</t>
  </si>
  <si>
    <t>NVMY49024000003470</t>
  </si>
  <si>
    <t>AIN AZIM</t>
  </si>
  <si>
    <t xml:space="preserve">C-20-06 , H20 RESIDENCE ARA DAMANSARA , NO 1 , JALAN PJU 1A/4A , ARA DAMANSARA 47301 PETALING JAYA SELANGOR </t>
  </si>
  <si>
    <t>NVMY49024000003317</t>
  </si>
  <si>
    <t>Siti Syahirah bt Abdul Wahid</t>
  </si>
  <si>
    <t>Jalan Balai Raya, Kampung Hulu Chuchoh, 43950 Sungai Pelek, Sepang Selangor</t>
  </si>
  <si>
    <t>NVMY49024000003260</t>
  </si>
  <si>
    <t>MASNIAH BINTI HUSSIN</t>
  </si>
  <si>
    <t xml:space="preserve">SK KABONGAN PETI SURAT 95 , 91308 SEMPORNA SABAH </t>
  </si>
  <si>
    <t>NVMY49024000003312</t>
  </si>
  <si>
    <t>MOHD SOFI BIN ILIAS</t>
  </si>
  <si>
    <t xml:space="preserve">KG ULU BAKAI MALAU 09020 KULIM KEDAH </t>
  </si>
  <si>
    <t>NVMY49024000003437</t>
  </si>
  <si>
    <t>Khairul Amri</t>
  </si>
  <si>
    <t xml:space="preserve">Kopi Street char kuey Teaw  Lot 2677 Jalan Kopi Persiaran Hamzah Alang,Kapar 42200 Klang Selangor </t>
  </si>
  <si>
    <t>NVMY49024000003467</t>
  </si>
  <si>
    <t>SOON</t>
  </si>
  <si>
    <t>NO 15 JALAN MAHKOTA 2A/4, BANDAR MAHKOTA BANTING 42700 BANTING SELANGOR</t>
  </si>
  <si>
    <t>NVMY49024000003417</t>
  </si>
  <si>
    <t>Azizul Haqim</t>
  </si>
  <si>
    <t xml:space="preserve">Residensi Mutiara,  A-07-09, Jln Zamrud Utama, Sungai Tangkas, Kajang 2, 43000 Kajang Selangor </t>
  </si>
  <si>
    <t>NVMY49024000003445</t>
  </si>
  <si>
    <t>MUHAMMAD FAIZI B SA’AKDAN@SA’DAN,</t>
  </si>
  <si>
    <t>NVMY49024000003452</t>
  </si>
  <si>
    <t>NVMY49024000003335</t>
  </si>
  <si>
    <t>NVMY49024000003419</t>
  </si>
  <si>
    <t>NVMY49024000003433</t>
  </si>
  <si>
    <t>Bakti Malaysia Sdn.Bhd. Wakaf tengah,batu rakit 21020 Kuala Terengganu</t>
  </si>
  <si>
    <t>NVMY49024000003411</t>
  </si>
  <si>
    <t>NUR AMIRAH AMIR</t>
  </si>
  <si>
    <t>TB 23, PEKAN TANJONG PIANDANG, 34250 TANJONG PIANDANG PERAK</t>
  </si>
  <si>
    <t>NVMY49024000003495</t>
  </si>
  <si>
    <t>AMIRA BINTI RUSRAN</t>
  </si>
  <si>
    <t>C 05-04 BLOCK C, KUARTERS HOSPITAL TANJONG KARANG, KM 8 SUNGAI TERAP 45500 TANJONG KARANG, SELANGOR.</t>
  </si>
  <si>
    <t>NVMY49024000003444</t>
  </si>
  <si>
    <t>Mohd hafizan b abdullah</t>
  </si>
  <si>
    <t>No 38 taman sepakat indah 26800 Kuala Rompin Pahang</t>
  </si>
  <si>
    <t>NVMY49024000003430</t>
  </si>
  <si>
    <t>Mohd Rozmi Bin Yaacob</t>
  </si>
  <si>
    <t>SMK Pusat Bandar Puchong (1), jalan wawasan 2/23, pusat bandar puchong, Puchong, 47160, Selangor.</t>
  </si>
  <si>
    <t>NVMY49024000003416</t>
  </si>
  <si>
    <t>nurul atikah mohd jamal</t>
  </si>
  <si>
    <t>no 12,jalan kekatong,taman kekatong,sg sekawang,71250 port dickson,negeri sembilan</t>
  </si>
  <si>
    <t>NVMY49024000003519</t>
  </si>
  <si>
    <t>NurMaghfirah binti Mokhtar</t>
  </si>
  <si>
    <t>No 205 blok 1 jalan 3/4G 43650 bandar baru bangi selangor</t>
  </si>
  <si>
    <t>NVMY49024000003510</t>
  </si>
  <si>
    <t>rasyiqah</t>
  </si>
  <si>
    <t xml:space="preserve">no 38 , jalan desa tropika 6 ,        taman desa tropika , parit besar , 83000 batu pahat , johor </t>
  </si>
  <si>
    <t>NVMY49024000003583</t>
  </si>
  <si>
    <t>Zabidi Ismail</t>
  </si>
  <si>
    <t>Kedai Makan Kakbah Kg Mentara Lama 18300 Gua Musang Kelantan</t>
  </si>
  <si>
    <t>NVMY49024000003508</t>
  </si>
  <si>
    <t>Tasha</t>
  </si>
  <si>
    <t>1488, Jalan semarak 40, Taman Panchor Jaya, 70400, Seremban, N. Sembilan</t>
  </si>
  <si>
    <t>NVMY49024000003553</t>
  </si>
  <si>
    <t>1 LORONG 14/47B, 46100 PETALING JAYA SELANGOR</t>
  </si>
  <si>
    <t>NVMY49024000003543</t>
  </si>
  <si>
    <t>NADZERI MAT HUSIN</t>
  </si>
  <si>
    <t>CIMB SG BAKAP, NO 1308 JLN BESAR, 14200 SG BAKAP SBRG PERAI SELATAN</t>
  </si>
  <si>
    <t>NVMY49024000003321</t>
  </si>
  <si>
    <t>Marzatul Nabila</t>
  </si>
  <si>
    <t>Lorong 3, Jalan Bukit Ranting 3, Permatang Duyong</t>
  </si>
  <si>
    <t>75460,</t>
  </si>
  <si>
    <t>NVMY49024000003436</t>
  </si>
  <si>
    <t>NVMY49024000003497</t>
  </si>
  <si>
    <t>Lily Suliana binti Azmi</t>
  </si>
  <si>
    <t>1467-1, Jalan Kampung Bukit Datuk A, Bukit rambai 75250 Melaka. (Teratak Kasih Bonda)</t>
  </si>
  <si>
    <t>NVMY49024000003446</t>
  </si>
  <si>
    <t>NVMY49024000003461</t>
  </si>
  <si>
    <t>NIK HASBULLAH</t>
  </si>
  <si>
    <t>NVMY49024000003584</t>
  </si>
  <si>
    <t>PT 5087 PEJABAT NINJAVAN JALAN KEMPAS BANDAR UTAMA 18300 GUA MUSANG,KELANTAN.</t>
  </si>
  <si>
    <t>NVMY49024000003383</t>
  </si>
  <si>
    <t>NUR FARADINI ABD WAHID</t>
  </si>
  <si>
    <t>Lot 109D Jalan 8, Selayang Pandang, 68100 Batu Caves, Selangor</t>
  </si>
  <si>
    <t>NVMY49024000003420</t>
  </si>
  <si>
    <t>NVMY49024000003489</t>
  </si>
  <si>
    <t>RUZIAN KAMARUDIN</t>
  </si>
  <si>
    <t>NO 13A JALAN SERI MEWAH 12, TAMAN SERI MEWAH 85010 BULOH KASAP SEGAMAT, JOHOR</t>
  </si>
  <si>
    <t>NVMY49024000003450</t>
  </si>
  <si>
    <t>NVMY49024000003391</t>
  </si>
  <si>
    <t>nurul adilah</t>
  </si>
  <si>
    <t>295, Lorong Kurau 5/2, Taman Permai Jaya, 70200 Seremban, Negeri Sembilan</t>
  </si>
  <si>
    <t>NVMY49024000003504</t>
  </si>
  <si>
    <t>Mohamad Azim Bin Mohamad</t>
  </si>
  <si>
    <t>Kampung Charok Kelian,08200 Sik,Kedah</t>
  </si>
  <si>
    <t>NVMY49024000003484</t>
  </si>
  <si>
    <t>K.NOR</t>
  </si>
  <si>
    <t>NO 172 JALAN DESARIA 8, TAMAN DESARIA 71800 NILAI, NEGERI SEMBILAN</t>
  </si>
  <si>
    <t>NVMY49024000003477</t>
  </si>
  <si>
    <t>NVMY49024000003491</t>
  </si>
  <si>
    <t>MUHD KHAI RULZAKWAN</t>
  </si>
  <si>
    <t xml:space="preserve">NO214 , BLOK30 , APARTMENT BUNGA NEGARA , JALAN SELAYANG SATU 27/27a , SEKSYEN 27 , 40000 SHAH ALAM SELANGOR </t>
  </si>
  <si>
    <t>NVMY49024000003237</t>
  </si>
  <si>
    <t>SHARINA BT OSMAN</t>
  </si>
  <si>
    <t xml:space="preserve">NO 21 JALAN PUTRA 1/44 BANDAR PUTRA ( IOI  ) 85000 SEGAMAT JOHOR </t>
  </si>
  <si>
    <t>NVMY49024000003611</t>
  </si>
  <si>
    <t>MUHAIMIN</t>
  </si>
  <si>
    <t xml:space="preserve">NO 13A LORONG ELMINA 2 SBCR SAUJANA UTAMA , PETALING JAYA 47000 SELANGOR </t>
  </si>
  <si>
    <t>NVMY49024000003606</t>
  </si>
  <si>
    <t>AIFAA BT ABDUL RAHIM</t>
  </si>
  <si>
    <t xml:space="preserve">2-12-4 PANGSAPURI DE PALMA PERSIARAN SETIA MAKMUR , SETIU ALAM , SEKSYEN U13 , 40170 SHAH ALAM </t>
  </si>
  <si>
    <t>NVMY49024000003387</t>
  </si>
  <si>
    <t>marissa</t>
  </si>
  <si>
    <t>No.575A Jalan Setia, Lorong Aman Kg Serdang 32000 Sitiawan Perak</t>
  </si>
  <si>
    <t>NVMY49024000003340</t>
  </si>
  <si>
    <t>LAAVANYAHARI</t>
  </si>
  <si>
    <t xml:space="preserve">NO 60 JALAN PULAI PERDANA,81300 skudai ,johor bahru </t>
  </si>
  <si>
    <t>NVMY49024000003573</t>
  </si>
  <si>
    <t>Wan Nurulindawaty Binti Wan Zukipli</t>
  </si>
  <si>
    <t xml:space="preserve"> F - 03-22 Jalan CU/1a Taman Cheras Utama,56000 Cheras, KL.</t>
  </si>
  <si>
    <t>NVMY49024000003516</t>
  </si>
  <si>
    <t>nur syahadah</t>
  </si>
  <si>
    <t xml:space="preserve">no.44 jalan jambu 9, tmn kota masai, 81700 pasir gudang, johor. </t>
  </si>
  <si>
    <t>NVMY49024000003466</t>
  </si>
  <si>
    <t>SYIRA RASID</t>
  </si>
  <si>
    <t>897, JALAN MASJID AULONG 34000 TAIPING PERAK</t>
  </si>
  <si>
    <t>NVMY49024000003388</t>
  </si>
  <si>
    <t>Rosilawati</t>
  </si>
  <si>
    <t xml:space="preserve">No 43, Persiaran Lada 11, Taman Changkat Lada Raya,  36800 Kg Gajah, Perak. </t>
  </si>
  <si>
    <t>NVMY49024000003425</t>
  </si>
  <si>
    <t>No 69, Blok C, Taman Seri Selinsing, 34400, Simpang Empat, Semanggol, Perak</t>
  </si>
  <si>
    <t>NVMY49024000003538</t>
  </si>
  <si>
    <t>G26, KG FELDA SENDAYAN 71950 SEREMBAN, NEGERI SEMBILAN</t>
  </si>
  <si>
    <t>NVMY49024000003575</t>
  </si>
  <si>
    <t>Nurul sakinah bt kaharuddin</t>
  </si>
  <si>
    <t>No 216,jalan serting  utama 4/3,pusat perniagaan bandar seri jempol,72120 bahau n.sembilan</t>
  </si>
  <si>
    <t>NVMY49024000003590</t>
  </si>
  <si>
    <t>SITI AFIQAH</t>
  </si>
  <si>
    <t xml:space="preserve">SK BATU 9 JALAN BOMBA 45500 TANJONG KARANG SELANGOR </t>
  </si>
  <si>
    <t>NVMY49024000003502</t>
  </si>
  <si>
    <t>ROSE FARAH AZNIE AHMAD PAKARUDIN</t>
  </si>
  <si>
    <t>533 C KAMPUNG HUTAN GELAM TIKAM BATU 08600 SUNGAI PETANI KEDAH</t>
  </si>
  <si>
    <t>NVMY49024000003561</t>
  </si>
  <si>
    <t>SALMI HARUN</t>
  </si>
  <si>
    <t xml:space="preserve">NO 11 JALAN PUTRA BAHAGIA 8/3G , PUTRA HEIGHT , 47650 SUBANG JAYA SELANGOR </t>
  </si>
  <si>
    <t>NVMY49024000003447</t>
  </si>
  <si>
    <t>Zul 81(Mohd Zulkarnain bin wan chik)</t>
  </si>
  <si>
    <t>G 01 FCC , Citrine Residences , Sunway Iskandar , Persiaran Medini 3, Iskandar Puteri 79250 Johor.</t>
  </si>
  <si>
    <t>NVMY49024000003438</t>
  </si>
  <si>
    <t>SAPUAN BIN ADNAN</t>
  </si>
  <si>
    <t>18 PERSIARAN ISKANDAR PERDANA 9 SEKSYEN 2  32610 SERI ISKANDAR PERAK</t>
  </si>
  <si>
    <t>NVMY49024000003610</t>
  </si>
  <si>
    <t>NUR HANISAH BT HUSIN</t>
  </si>
  <si>
    <t xml:space="preserve">D/A HJ ARIP BIN HJ SAID BATU 19 3/4 JALAN HJ LIMIN KG RIM , 77000 JASIN MELAKA </t>
  </si>
  <si>
    <t>NVMY49024000003384</t>
  </si>
  <si>
    <t>NURMASHITAH BINTI MARZUKI</t>
  </si>
  <si>
    <t>3962 JALAN SISWA 9, TAMAN SISWA 2, 06000 JITRA, KEDAH</t>
  </si>
  <si>
    <t>NVMY49024000003505</t>
  </si>
  <si>
    <t>KHAIZURIDA BINTI ABDUL AZIZ</t>
  </si>
  <si>
    <t xml:space="preserve">PEJABAT FELDA JELAI 3, 73480 GEMAS, NEGERI SEMBILAN </t>
  </si>
  <si>
    <t>NVMY49024000003509</t>
  </si>
  <si>
    <t>NUR SYAKIRA BINTI RAZAK</t>
  </si>
  <si>
    <t>T/L 83, JALAN ABDUL RAHIM, KAMPUNG SERI BUNIAN, 82000 PONTIAN, JOHOR</t>
  </si>
  <si>
    <t>NVMY49024000003498</t>
  </si>
  <si>
    <t>t/I no 7 kg parit haji ahmad mukim 18, sri medan 83400 batu pahat johor</t>
  </si>
  <si>
    <t>NVMY49024000003542</t>
  </si>
  <si>
    <t>Muhammad ammar ridza</t>
  </si>
  <si>
    <t>NO 70 TAMAN ORKID FASA 3 SUNGAI LAYAR, 08000 SUNGAI PETANI KEDAH KUALA MUDA</t>
  </si>
  <si>
    <t>NVMY49024000003442</t>
  </si>
  <si>
    <t>NVMY49024000003587</t>
  </si>
  <si>
    <t>EN IZZAT</t>
  </si>
  <si>
    <t>RADICARE (M) SDN BHD, PASIR PUTEH HOSPITAL TENGKU ANIS 16800 PASIR PUTEH KELANTAN</t>
  </si>
  <si>
    <t>NVMY49024000003535</t>
  </si>
  <si>
    <t>NORHAIDA BINTI ZAINOL</t>
  </si>
  <si>
    <t>9193 KG LEMBAH RAJA PINANG TUNGGAL 13210 KEPALA BATAS SEBERANG PERAI UTARA PULAU PINANG</t>
  </si>
  <si>
    <t>NVMY49024000003382</t>
  </si>
  <si>
    <t>Nur Umaira Nadira Binti Muhammad</t>
  </si>
  <si>
    <t>NO 15 LORONG 1 , JALAN BBP3 TAMAN BATU BERENDAM PUTRA 75350 MELAKA</t>
  </si>
  <si>
    <t>NVMY49024000003595</t>
  </si>
  <si>
    <t>KHAIRIAH BT HASIBY</t>
  </si>
  <si>
    <t xml:space="preserve">PT 490 KG KUBANG KAWAH 16300 BACHOK KELANTAN </t>
  </si>
  <si>
    <t>NVMY49024000002795</t>
  </si>
  <si>
    <t>NUR MASIRA BINTI MASUARI</t>
  </si>
  <si>
    <t xml:space="preserve">14/334 CL 72 BATU 7 JALAN GAMBANG 25150 KUANTAN PAHANG </t>
  </si>
  <si>
    <t>NVMY49024000003544</t>
  </si>
  <si>
    <t>MARCO SERVICE CENTER</t>
  </si>
  <si>
    <t xml:space="preserve">2ND FLOOR , NO 8 &amp; 10 , JALAN SEGAMBUT , SEGAMBUT , 51200 KUALA LUMPUR </t>
  </si>
  <si>
    <t>NVMY49024000003493</t>
  </si>
  <si>
    <t>ANNA (RESTORAN HAZIRAH)</t>
  </si>
  <si>
    <t>NO 16 JLN IDAMAN 2 TAMAN LARKIN IDAMAN 80350 JOHOR BAHRU JOHOR</t>
  </si>
  <si>
    <t>NVMY49024000003563</t>
  </si>
  <si>
    <t>NURUL FADHILAH BINTI ZAKARIA</t>
  </si>
  <si>
    <t xml:space="preserve">33A KAMPUNG NYIUR TUJUH DALAM , 22000 JERTEH BESUT TERENGGANU </t>
  </si>
  <si>
    <t>NVMY49024000003494</t>
  </si>
  <si>
    <t>husnina</t>
  </si>
  <si>
    <t>no 4, jalan bukit rimau 4, taman bukit kemuning, seksyen 32, 40460 shah alam selangor</t>
  </si>
  <si>
    <t>NVMY49024000003421</t>
  </si>
  <si>
    <t>MOHD ROSLI SEMAN</t>
  </si>
  <si>
    <t>06-02-03, PANGSAPURI MUTIARA JALAN UTARID U5/9 SEKSYEN U5, 40150 SHAH ALAM SELANGOR</t>
  </si>
  <si>
    <t>NVMY49024000003462</t>
  </si>
  <si>
    <t>MOHD KHAIRUL ANWAR</t>
  </si>
  <si>
    <t>16 JALAN TPP 1/2 TAMAN PINGGIRAN PELANGI 48000 RAWANG SELANGOR</t>
  </si>
  <si>
    <t>NVMY49024000003565</t>
  </si>
  <si>
    <t>KEMBAR GLOBAL WORKSHOP ( CIKZA )</t>
  </si>
  <si>
    <t xml:space="preserve">PT 6353 TAMAN MAJLIS DAERAH DEPAN LOJI AIR KG PAHI , 18000 KUALA KRAI , KELANTAN </t>
  </si>
  <si>
    <t>NVMY49024000003511</t>
  </si>
  <si>
    <t>Siti NorSyahirah Binti Zainuddin</t>
  </si>
  <si>
    <t>No 690 Jalan Mahsuri 10/A Taman Mahsuri Padang Serai Kulim 09400 Kedah</t>
  </si>
  <si>
    <t>NVMY49024000003393</t>
  </si>
  <si>
    <t>amirah</t>
  </si>
  <si>
    <t>no 1260 jalan 4/2 taman nusari bayu 2 sendayan 71950 seremban negeri sembilan</t>
  </si>
  <si>
    <t>NVMY49024000003389</t>
  </si>
  <si>
    <t>Joko</t>
  </si>
  <si>
    <t>Blk C4 larkin idaman taman larkin 80350 johor bahru 12-01</t>
  </si>
  <si>
    <t>NVMY49024000003440</t>
  </si>
  <si>
    <t>HAZLIANA KAMILIA BINTI AZMI</t>
  </si>
  <si>
    <t xml:space="preserve">74 PERUMAHAN AWAM , 06600 KUALA KEDAH , KEDAH </t>
  </si>
  <si>
    <t>NVMY49024000003476</t>
  </si>
  <si>
    <t xml:space="preserve">No3/1B Tapak Kedai Mara Felda Sungai Nerek 28030 Temerloh Pahang </t>
  </si>
  <si>
    <t>NVMY49024000003490</t>
  </si>
  <si>
    <t>NOR ATIKAH BINTI ABDUL KADER</t>
  </si>
  <si>
    <t>PT 15306, JLN CEMPAKA 28 DESA CEMPAKA 2, 71800 NILAI, NEGERI SEMBILAN</t>
  </si>
  <si>
    <t>NVMY49024000003432</t>
  </si>
  <si>
    <t>MUHAMMAD HAIKAL BIN MD YAMAN</t>
  </si>
  <si>
    <t>19,PERSIARAN LAPANGAN 1/17,TAMAN LAPANGAN JAYA,31350 IPOH,PERAK.</t>
  </si>
  <si>
    <t>NVMY49024000003399</t>
  </si>
  <si>
    <t>Nur Nabilah Othman</t>
  </si>
  <si>
    <t>01-06-12, Pangsapuri De Cemara, No 3 Persiaran Setia Makmur, Setia Alam, Seksyen U13, 40170 Shah Alam, Selangor</t>
  </si>
  <si>
    <t>NVMY49024000003424</t>
  </si>
  <si>
    <t>Mohd Faisa Khairizal Jumah</t>
  </si>
  <si>
    <t>SME Bank (M) Berhad No 16 Jalan Padi Emas 5/2  Pusat Bandar Tampoi 81200 Johor Bahru Johor</t>
  </si>
  <si>
    <t>NVMY49024000003448</t>
  </si>
  <si>
    <t>Md tahir bin abu hassan</t>
  </si>
  <si>
    <t>C/5/7 apt puchong permata Jln permai 4 puchong permai, 47100 puchong  Selangor.</t>
  </si>
  <si>
    <t>NVMY49024000003381</t>
  </si>
  <si>
    <t>Najiha Zainodin</t>
  </si>
  <si>
    <t>11, Jalan Pinang Hijau 4, Taman Sayong Pinang, Bandar Tenggara, 81440, Kulai, Johor.</t>
  </si>
  <si>
    <t>NVMY49024000003586</t>
  </si>
  <si>
    <t>NUUR AIN</t>
  </si>
  <si>
    <t xml:space="preserve">NO 32 , JALAN TELIPOT 3a/8 , BS9 , BUKIT SENTOSA 48300 WARANG SELANGOR </t>
  </si>
  <si>
    <t>NVMY49024000003588</t>
  </si>
  <si>
    <t>TCSOFFICIALSTORE</t>
  </si>
  <si>
    <t>NO 35-51 JALAN EMAS 3, BANDAR SUNGAI EMAS, SUNGAI MAGGIS, 42700 BANTING, SELANGOR</t>
  </si>
  <si>
    <t>NVMY49024000003526</t>
  </si>
  <si>
    <t>Hazwani zulkifli</t>
  </si>
  <si>
    <t>Kg bukit pauh gual ipoh 17500 tanah merah , kelantan.</t>
  </si>
  <si>
    <t>NVMY49024000003483</t>
  </si>
  <si>
    <t>NAZRAH BT MAT HASSAN</t>
  </si>
  <si>
    <t>NO 32, PERSIARAN UTAMA 1/18 KULIM UTAMA HI TECH PARK 09000 KULIM, KEDAH</t>
  </si>
  <si>
    <t>NVMY49024000003396</t>
  </si>
  <si>
    <t>ANIS SHAHIRAH</t>
  </si>
  <si>
    <t xml:space="preserve">PT1804, JALAN BUNGA MELOR, TAMAN EHSANIBU, 48000 RAWANG, SELANGOR. </t>
  </si>
  <si>
    <t>NVMY49024000003397</t>
  </si>
  <si>
    <t>Nur Farah Wahida Binti Shahrolnizam</t>
  </si>
  <si>
    <t>NO 28, LINTANG PRIMA 5, RESIDENSI PRIMA BAGAN SERAI, 34300 BAGAN SERAI, PERAK</t>
  </si>
  <si>
    <t>NVMY49024000003518</t>
  </si>
  <si>
    <t>ZULAIKHA BINTI ZULKIFLI</t>
  </si>
  <si>
    <t>NO 4, KAMPUNG BUKIT HIJAU, MUKIM DERANG, 06400, POKOK SENA, KEDAH</t>
  </si>
  <si>
    <t>NVMY49024000003579</t>
  </si>
  <si>
    <t>CHE SITI SAHARA BTE CHE HUSIN</t>
  </si>
  <si>
    <t xml:space="preserve">NO 65 JALAN BERSATU 3 , TAMAN BERSATU , 48000 RAWANG SELANGOR </t>
  </si>
  <si>
    <t>NVMY49024000003472</t>
  </si>
  <si>
    <t>Shahabudin bin Mohd</t>
  </si>
  <si>
    <t>2113 jalan mutiara 7/4 taman mutiara 09700 karangan Kedah.</t>
  </si>
  <si>
    <t>NVMY49024000003577</t>
  </si>
  <si>
    <t>FARISHA BINTI MAHASHIM</t>
  </si>
  <si>
    <t>NO 32 JALAN 6F/KU4 JALAN SUNGAI SAIM TAMAN SERI RANTAU, RANTAU PANJANG 42100 KLANG SELANGOR</t>
  </si>
  <si>
    <t>NVMY49024000003454</t>
  </si>
  <si>
    <t>Rezlan Mohd</t>
  </si>
  <si>
    <t>No.29, Jalan Nong Chik Heights 3, Nong Chik Heights, 80100 Johor Bahru, Johor</t>
  </si>
  <si>
    <t>NVMY49024000003500</t>
  </si>
  <si>
    <t>Nurul Nabilla Binti Khairulnizam</t>
  </si>
  <si>
    <t>Km5,Sebelah Balai Raya,Kampung Padang Temu,75050,Melaka</t>
  </si>
  <si>
    <t>NVMY49024000003443</t>
  </si>
  <si>
    <t>MOHD NOOR RIDZUAN BIN HUSIN</t>
  </si>
  <si>
    <t>NO 28, LORONG CERIA 1, TAMAN CERIA, KAMPUNG BAHAGIA, 36000 TELUK INTAN, PERAK</t>
  </si>
  <si>
    <t>NVMY49024000003572</t>
  </si>
  <si>
    <t>SALIMAH</t>
  </si>
  <si>
    <t>Teratai 1 Lot 107 E Sungai Buluh 15 KG Paya Jaras 47000 Sungai Buloh Selangor 56100 Kuala Lumpur Selangor</t>
  </si>
  <si>
    <t>NVMY49024000003545</t>
  </si>
  <si>
    <t>Fahmin Aiman</t>
  </si>
  <si>
    <t xml:space="preserve"> No. 6, JD 3/2, Taman Jenderam Damai, 43800, Dengkil Sepang, Selangor.</t>
  </si>
  <si>
    <t>NVMY49024000003532</t>
  </si>
  <si>
    <t>Dewi</t>
  </si>
  <si>
    <t>Rumah pangsa orkid,Taman desa cemerlang  blok A4 TK 3_14,81800 ulu tiram,Johor bahru</t>
  </si>
  <si>
    <t>NVMY49024000003482</t>
  </si>
  <si>
    <t>2289, JLN KEMBOJA 36/3 BANDAR INDERA PUTRA 81000 KULAI JOHOR</t>
  </si>
  <si>
    <t>NVMY49024000003392</t>
  </si>
  <si>
    <t>Nurul Ernie Shafiqah</t>
  </si>
  <si>
    <t xml:space="preserve">T2-18-11, D'Pristine Condo, Iskandar Puteri, 79100, Johor </t>
  </si>
  <si>
    <t>NVMY49024000003400</t>
  </si>
  <si>
    <t>hana aziz</t>
  </si>
  <si>
    <t xml:space="preserve">NO 196 JALAN SCIENTEX UTAMA 1, TAMAN SCIENTEX UTAMA SENAI 81400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</si>
</sst>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6" borderId="0" xfId="0" applyFill="1"/>
    <xf numFmtId="22" fontId="0" fillId="0" borderId="0" xfId="0" applyNumberFormat="1"/>
    <xf numFmtId="14" fontId="0" fillId="0" borderId="0" xfId="0" applyNumberFormat="1"/>
    <xf numFmtId="43" fontId="0" fillId="7" borderId="0" xfId="1" applyFont="1" applyFill="1" applyBorder="1" applyAlignment="1" applyProtection="1"/>
    <xf numFmtId="43" fontId="0" fillId="8" borderId="0" xfId="0" applyNumberFormat="1" applyFill="1"/>
    <xf numFmtId="43" fontId="0" fillId="8" borderId="0" xfId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39E6-FB42-4D4C-8D35-4BD6958A8C94}">
  <dimension ref="A1:AJ1895"/>
  <sheetViews>
    <sheetView tabSelected="1" workbookViewId="0">
      <selection sqref="A1:AJ1893"/>
    </sheetView>
  </sheetViews>
  <sheetFormatPr defaultRowHeight="14.5" x14ac:dyDescent="0.35"/>
  <cols>
    <col min="1" max="36" width="9.08984375" customWidth="1"/>
  </cols>
  <sheetData>
    <row r="1" spans="1:36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 spans="1:36" ht="15" customHeight="1" x14ac:dyDescent="0.35">
      <c r="A2">
        <v>10428918</v>
      </c>
      <c r="B2" t="s">
        <v>36</v>
      </c>
      <c r="C2" t="s">
        <v>37</v>
      </c>
      <c r="D2" s="6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2</v>
      </c>
      <c r="K2" t="s">
        <v>44</v>
      </c>
      <c r="L2" t="s">
        <v>45</v>
      </c>
      <c r="M2" t="s">
        <v>46</v>
      </c>
      <c r="N2" s="7">
        <v>1</v>
      </c>
      <c r="O2" s="8">
        <v>45638.452465277776</v>
      </c>
      <c r="P2" s="9">
        <v>45640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>
        <v>89150</v>
      </c>
      <c r="W2" t="s">
        <v>52</v>
      </c>
      <c r="X2" t="s">
        <v>53</v>
      </c>
      <c r="Y2" t="s">
        <v>54</v>
      </c>
      <c r="Z2" s="10">
        <f>IF(N2&lt;=1,13,IF(N2&lt;=2,23,IF(N2&lt;=3,35,IF(N2&lt;=4,43,IF(N2&lt;=5,53,IF(N2&lt;=6,63,IF(N2&lt;=7,71,IF(N2&lt;=8,79,IF(N2&lt;=9,87,IF(N2&lt;=10,95,IF(N2&lt;=11,105,IF(N2&lt;=12,114,IF(N2&lt;=13,119,IF(N2&lt;=14,127,IF(N2&lt;=15,135,IF(N2&lt;=16,143,IF(N2&lt;=17,153,IF(N2&lt;=18,163,IF(N2&lt;=19,171,IF(N2&lt;=20,185,IF(N2&lt;=21,193,IF(N2&lt;=22,201,IF(N2&lt;=23,210,IF(N2&lt;=24,220,IF(N2&lt;=25,230,IF(N2&lt;=26,240,IF(N2&lt;=27,250,IF(N2&lt;=28,260,IF(N2&lt;=29,270,IF(N2&lt;=30,280,280+10*ROUNDUP(N2-30,0)))))))))))))))))))))))))))))))</f>
        <v>13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(Z2+AA2+AC2+AE2)*6%</f>
        <v>0.78</v>
      </c>
      <c r="AG2" s="11">
        <f t="shared" ref="AG2:AG65" si="1">Z2+AA2+AC2+AE2+AF2</f>
        <v>13.78</v>
      </c>
      <c r="AH2" s="11">
        <v>0</v>
      </c>
      <c r="AI2" s="11">
        <f t="shared" ref="AI2:AI65" si="2">AG2+AH2</f>
        <v>13.78</v>
      </c>
      <c r="AJ2" t="s">
        <v>55</v>
      </c>
    </row>
    <row r="3" spans="1:36" ht="15" customHeight="1" x14ac:dyDescent="0.35">
      <c r="A3">
        <v>10428918</v>
      </c>
      <c r="B3" t="s">
        <v>36</v>
      </c>
      <c r="C3" t="s">
        <v>37</v>
      </c>
      <c r="D3" s="6" t="s">
        <v>38</v>
      </c>
      <c r="E3" t="s">
        <v>56</v>
      </c>
      <c r="F3" t="s">
        <v>40</v>
      </c>
      <c r="G3" t="s">
        <v>41</v>
      </c>
      <c r="H3" t="s">
        <v>57</v>
      </c>
      <c r="I3" t="s">
        <v>43</v>
      </c>
      <c r="J3">
        <v>2</v>
      </c>
      <c r="K3" t="s">
        <v>44</v>
      </c>
      <c r="L3" t="s">
        <v>45</v>
      </c>
      <c r="M3" t="s">
        <v>46</v>
      </c>
      <c r="N3" s="7">
        <v>1</v>
      </c>
      <c r="O3" s="8">
        <v>45638.821145833332</v>
      </c>
      <c r="P3" s="9">
        <v>45641</v>
      </c>
      <c r="Q3" t="s">
        <v>58</v>
      </c>
      <c r="R3" t="s">
        <v>48</v>
      </c>
      <c r="S3" t="s">
        <v>49</v>
      </c>
      <c r="T3" t="s">
        <v>59</v>
      </c>
      <c r="U3" t="s">
        <v>60</v>
      </c>
      <c r="V3">
        <v>16200</v>
      </c>
      <c r="W3" t="s">
        <v>48</v>
      </c>
      <c r="X3" t="s">
        <v>61</v>
      </c>
      <c r="Y3" t="s">
        <v>54</v>
      </c>
      <c r="Z3" s="12">
        <f>IF(N3&lt;=1,9,9+0.8*ROUNDUP(N3-1,0))</f>
        <v>9</v>
      </c>
      <c r="AA3" s="11">
        <v>-2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s="11">
        <v>0</v>
      </c>
      <c r="AI3" s="11">
        <f t="shared" si="2"/>
        <v>7.42</v>
      </c>
      <c r="AJ3" t="s">
        <v>62</v>
      </c>
    </row>
    <row r="4" spans="1:36" ht="15" customHeight="1" x14ac:dyDescent="0.35">
      <c r="A4">
        <v>10428918</v>
      </c>
      <c r="B4" t="s">
        <v>36</v>
      </c>
      <c r="C4" t="s">
        <v>37</v>
      </c>
      <c r="D4" s="6" t="s">
        <v>38</v>
      </c>
      <c r="E4" t="s">
        <v>63</v>
      </c>
      <c r="F4" t="s">
        <v>40</v>
      </c>
      <c r="G4" t="s">
        <v>41</v>
      </c>
      <c r="H4" t="s">
        <v>64</v>
      </c>
      <c r="I4" t="s">
        <v>43</v>
      </c>
      <c r="J4">
        <v>2</v>
      </c>
      <c r="K4" t="s">
        <v>44</v>
      </c>
      <c r="L4" t="s">
        <v>45</v>
      </c>
      <c r="M4" t="s">
        <v>46</v>
      </c>
      <c r="N4" s="7">
        <v>2</v>
      </c>
      <c r="O4" s="8">
        <v>45638.788854166669</v>
      </c>
      <c r="P4" s="9">
        <v>45641</v>
      </c>
      <c r="Q4" t="s">
        <v>58</v>
      </c>
      <c r="R4" t="s">
        <v>48</v>
      </c>
      <c r="S4" t="s">
        <v>49</v>
      </c>
      <c r="T4" t="s">
        <v>65</v>
      </c>
      <c r="U4" t="s">
        <v>66</v>
      </c>
      <c r="V4">
        <v>77200</v>
      </c>
      <c r="W4" t="s">
        <v>48</v>
      </c>
      <c r="X4" t="s">
        <v>53</v>
      </c>
      <c r="Y4" t="s">
        <v>54</v>
      </c>
      <c r="Z4" s="12">
        <f>IF(N4&lt;=1,9,9+0.8*ROUNDUP(N4-1,0))</f>
        <v>9.8000000000000007</v>
      </c>
      <c r="AA4" s="11">
        <v>-2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0.46800000000000003</v>
      </c>
      <c r="AG4" s="11">
        <f t="shared" si="1"/>
        <v>8.2680000000000007</v>
      </c>
      <c r="AH4" s="11">
        <v>0</v>
      </c>
      <c r="AI4" s="11">
        <f t="shared" si="2"/>
        <v>8.2680000000000007</v>
      </c>
      <c r="AJ4" t="s">
        <v>62</v>
      </c>
    </row>
    <row r="5" spans="1:36" ht="15" customHeight="1" x14ac:dyDescent="0.35">
      <c r="A5">
        <v>10428918</v>
      </c>
      <c r="B5" t="s">
        <v>36</v>
      </c>
      <c r="C5" t="s">
        <v>37</v>
      </c>
      <c r="D5" s="6" t="s">
        <v>38</v>
      </c>
      <c r="E5" t="s">
        <v>67</v>
      </c>
      <c r="F5" t="s">
        <v>40</v>
      </c>
      <c r="G5" t="s">
        <v>41</v>
      </c>
      <c r="H5" t="s">
        <v>68</v>
      </c>
      <c r="I5" t="s">
        <v>43</v>
      </c>
      <c r="J5">
        <v>2</v>
      </c>
      <c r="K5" t="s">
        <v>44</v>
      </c>
      <c r="L5" t="s">
        <v>45</v>
      </c>
      <c r="M5" t="s">
        <v>46</v>
      </c>
      <c r="N5" s="7">
        <v>1</v>
      </c>
      <c r="O5" s="8">
        <v>45638.806828703702</v>
      </c>
      <c r="P5" s="9">
        <v>45641</v>
      </c>
      <c r="Q5" t="s">
        <v>58</v>
      </c>
      <c r="R5" t="s">
        <v>48</v>
      </c>
      <c r="S5" t="s">
        <v>49</v>
      </c>
      <c r="T5" t="s">
        <v>69</v>
      </c>
      <c r="U5" t="s">
        <v>70</v>
      </c>
      <c r="V5">
        <v>83300</v>
      </c>
      <c r="W5" t="s">
        <v>48</v>
      </c>
      <c r="X5" t="s">
        <v>71</v>
      </c>
      <c r="Y5" t="s">
        <v>54</v>
      </c>
      <c r="Z5" s="12">
        <f>IF(N5&lt;=1,9,9+0.8*ROUNDUP(N5-1,0))</f>
        <v>9</v>
      </c>
      <c r="AA5" s="11">
        <v>-2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s="11">
        <v>0</v>
      </c>
      <c r="AI5" s="11">
        <f t="shared" si="2"/>
        <v>7.42</v>
      </c>
      <c r="AJ5" t="s">
        <v>62</v>
      </c>
    </row>
    <row r="6" spans="1:36" ht="15" customHeight="1" x14ac:dyDescent="0.35">
      <c r="A6">
        <v>10428918</v>
      </c>
      <c r="B6" t="s">
        <v>36</v>
      </c>
      <c r="C6" t="s">
        <v>37</v>
      </c>
      <c r="D6" s="6" t="s">
        <v>38</v>
      </c>
      <c r="E6" t="s">
        <v>72</v>
      </c>
      <c r="F6" t="s">
        <v>40</v>
      </c>
      <c r="G6" t="s">
        <v>41</v>
      </c>
      <c r="H6" t="s">
        <v>73</v>
      </c>
      <c r="I6" t="s">
        <v>43</v>
      </c>
      <c r="J6">
        <v>2</v>
      </c>
      <c r="K6" t="s">
        <v>44</v>
      </c>
      <c r="L6" t="s">
        <v>45</v>
      </c>
      <c r="M6" t="s">
        <v>46</v>
      </c>
      <c r="N6" s="7">
        <v>1</v>
      </c>
      <c r="O6" s="8">
        <v>45640.76734953704</v>
      </c>
      <c r="P6" s="9">
        <v>45641</v>
      </c>
      <c r="Q6" t="s">
        <v>74</v>
      </c>
      <c r="R6" t="s">
        <v>48</v>
      </c>
      <c r="S6" t="s">
        <v>49</v>
      </c>
      <c r="T6" t="s">
        <v>75</v>
      </c>
      <c r="U6" t="s">
        <v>76</v>
      </c>
      <c r="V6">
        <v>26400</v>
      </c>
      <c r="W6" t="s">
        <v>48</v>
      </c>
      <c r="X6" t="s">
        <v>77</v>
      </c>
      <c r="Y6" t="s">
        <v>54</v>
      </c>
      <c r="Z6" s="12">
        <f>IF(N6&lt;=1,9,9+0.8*ROUNDUP(N6-1,0))</f>
        <v>9</v>
      </c>
      <c r="AA6" s="11">
        <v>-2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s="11">
        <v>0</v>
      </c>
      <c r="AI6" s="11">
        <f t="shared" si="2"/>
        <v>7.42</v>
      </c>
      <c r="AJ6" t="s">
        <v>62</v>
      </c>
    </row>
    <row r="7" spans="1:36" ht="15" customHeight="1" x14ac:dyDescent="0.35">
      <c r="A7">
        <v>10428918</v>
      </c>
      <c r="B7" t="s">
        <v>36</v>
      </c>
      <c r="C7" t="s">
        <v>37</v>
      </c>
      <c r="D7" s="6" t="s">
        <v>38</v>
      </c>
      <c r="E7" t="s">
        <v>78</v>
      </c>
      <c r="F7" t="s">
        <v>40</v>
      </c>
      <c r="G7" t="s">
        <v>41</v>
      </c>
      <c r="H7" t="s">
        <v>79</v>
      </c>
      <c r="I7" t="s">
        <v>43</v>
      </c>
      <c r="J7">
        <v>2</v>
      </c>
      <c r="K7" t="s">
        <v>44</v>
      </c>
      <c r="L7" t="s">
        <v>45</v>
      </c>
      <c r="M7" t="s">
        <v>46</v>
      </c>
      <c r="N7" s="7">
        <v>1</v>
      </c>
      <c r="O7" s="8">
        <v>45638.795729166668</v>
      </c>
      <c r="P7" s="9">
        <v>45641</v>
      </c>
      <c r="Q7" t="s">
        <v>58</v>
      </c>
      <c r="R7" t="s">
        <v>48</v>
      </c>
      <c r="S7" t="s">
        <v>49</v>
      </c>
      <c r="T7" t="s">
        <v>80</v>
      </c>
      <c r="U7" t="s">
        <v>81</v>
      </c>
      <c r="V7">
        <v>8200</v>
      </c>
      <c r="W7" t="s">
        <v>48</v>
      </c>
      <c r="X7" t="s">
        <v>82</v>
      </c>
      <c r="Y7" t="s">
        <v>54</v>
      </c>
      <c r="Z7" s="12">
        <f>IF(N7&lt;=1,9,9+0.8*ROUNDUP(N7-1,0))</f>
        <v>9</v>
      </c>
      <c r="AA7" s="11">
        <v>-2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0.42</v>
      </c>
      <c r="AG7" s="11">
        <f t="shared" si="1"/>
        <v>7.42</v>
      </c>
      <c r="AH7" s="11">
        <v>0</v>
      </c>
      <c r="AI7" s="11">
        <f t="shared" si="2"/>
        <v>7.42</v>
      </c>
      <c r="AJ7" t="s">
        <v>62</v>
      </c>
    </row>
    <row r="8" spans="1:36" ht="15" customHeight="1" x14ac:dyDescent="0.35">
      <c r="A8">
        <v>10428918</v>
      </c>
      <c r="B8" t="s">
        <v>36</v>
      </c>
      <c r="C8" t="s">
        <v>37</v>
      </c>
      <c r="D8" s="6" t="s">
        <v>38</v>
      </c>
      <c r="E8" t="s">
        <v>83</v>
      </c>
      <c r="F8" t="s">
        <v>40</v>
      </c>
      <c r="G8" t="s">
        <v>41</v>
      </c>
      <c r="H8" t="s">
        <v>84</v>
      </c>
      <c r="I8" t="s">
        <v>43</v>
      </c>
      <c r="J8">
        <v>2</v>
      </c>
      <c r="K8" t="s">
        <v>44</v>
      </c>
      <c r="L8" t="s">
        <v>45</v>
      </c>
      <c r="M8" t="s">
        <v>46</v>
      </c>
      <c r="N8" s="7">
        <v>1</v>
      </c>
      <c r="O8" s="8">
        <v>45640.757384259261</v>
      </c>
      <c r="P8" s="9">
        <v>45641</v>
      </c>
      <c r="Q8" t="s">
        <v>74</v>
      </c>
      <c r="R8" t="s">
        <v>48</v>
      </c>
      <c r="S8" t="s">
        <v>49</v>
      </c>
      <c r="T8" t="s">
        <v>85</v>
      </c>
      <c r="U8" t="s">
        <v>86</v>
      </c>
      <c r="V8">
        <v>71010</v>
      </c>
      <c r="W8" t="s">
        <v>48</v>
      </c>
      <c r="X8" t="s">
        <v>87</v>
      </c>
      <c r="Y8" t="s">
        <v>54</v>
      </c>
      <c r="Z8" s="12">
        <f>IF(N8&lt;=1,9,9+0.8*ROUNDUP(N8-1,0))</f>
        <v>9</v>
      </c>
      <c r="AA8" s="11">
        <v>-2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s="11">
        <v>0</v>
      </c>
      <c r="AI8" s="11">
        <f t="shared" si="2"/>
        <v>7.42</v>
      </c>
      <c r="AJ8" t="s">
        <v>62</v>
      </c>
    </row>
    <row r="9" spans="1:36" ht="15" customHeight="1" x14ac:dyDescent="0.35">
      <c r="A9">
        <v>10428918</v>
      </c>
      <c r="B9" t="s">
        <v>36</v>
      </c>
      <c r="C9" t="s">
        <v>37</v>
      </c>
      <c r="D9" s="6" t="s">
        <v>38</v>
      </c>
      <c r="E9" t="s">
        <v>88</v>
      </c>
      <c r="F9" t="s">
        <v>40</v>
      </c>
      <c r="G9" t="s">
        <v>41</v>
      </c>
      <c r="H9" t="s">
        <v>89</v>
      </c>
      <c r="I9" t="s">
        <v>43</v>
      </c>
      <c r="J9">
        <v>2</v>
      </c>
      <c r="K9" t="s">
        <v>44</v>
      </c>
      <c r="L9" t="s">
        <v>45</v>
      </c>
      <c r="M9" t="s">
        <v>46</v>
      </c>
      <c r="N9" s="7">
        <v>2</v>
      </c>
      <c r="O9" s="8">
        <v>45638.647430555553</v>
      </c>
      <c r="P9" s="9">
        <v>45641</v>
      </c>
      <c r="Q9" t="s">
        <v>74</v>
      </c>
      <c r="R9" t="s">
        <v>48</v>
      </c>
      <c r="S9" t="s">
        <v>49</v>
      </c>
      <c r="T9" t="s">
        <v>90</v>
      </c>
      <c r="U9" t="s">
        <v>91</v>
      </c>
      <c r="V9">
        <v>22100</v>
      </c>
      <c r="W9" t="s">
        <v>48</v>
      </c>
      <c r="X9" t="s">
        <v>92</v>
      </c>
      <c r="Y9" t="s">
        <v>54</v>
      </c>
      <c r="Z9" s="12">
        <f>IF(N9&lt;=1,9,9+0.8*ROUNDUP(N9-1,0))</f>
        <v>9.8000000000000007</v>
      </c>
      <c r="AA9" s="11">
        <v>-2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0.46800000000000003</v>
      </c>
      <c r="AG9" s="11">
        <f t="shared" si="1"/>
        <v>8.2680000000000007</v>
      </c>
      <c r="AH9" s="11">
        <v>0</v>
      </c>
      <c r="AI9" s="11">
        <f t="shared" si="2"/>
        <v>8.2680000000000007</v>
      </c>
      <c r="AJ9" t="s">
        <v>62</v>
      </c>
    </row>
    <row r="10" spans="1:36" ht="15" customHeight="1" x14ac:dyDescent="0.35">
      <c r="A10">
        <v>10428918</v>
      </c>
      <c r="B10" t="s">
        <v>36</v>
      </c>
      <c r="C10" t="s">
        <v>37</v>
      </c>
      <c r="D10" s="6" t="s">
        <v>38</v>
      </c>
      <c r="E10" t="s">
        <v>93</v>
      </c>
      <c r="F10" t="s">
        <v>40</v>
      </c>
      <c r="G10" t="s">
        <v>41</v>
      </c>
      <c r="H10" t="s">
        <v>94</v>
      </c>
      <c r="I10" t="s">
        <v>43</v>
      </c>
      <c r="J10">
        <v>2</v>
      </c>
      <c r="K10" t="s">
        <v>44</v>
      </c>
      <c r="L10" t="s">
        <v>45</v>
      </c>
      <c r="M10" t="s">
        <v>46</v>
      </c>
      <c r="N10" s="7">
        <v>1</v>
      </c>
      <c r="O10" s="8">
        <v>45640.668182870373</v>
      </c>
      <c r="P10" s="9">
        <v>45641</v>
      </c>
      <c r="Q10" t="s">
        <v>74</v>
      </c>
      <c r="R10" t="s">
        <v>48</v>
      </c>
      <c r="S10" t="s">
        <v>49</v>
      </c>
      <c r="T10" t="s">
        <v>75</v>
      </c>
      <c r="U10" t="s">
        <v>95</v>
      </c>
      <c r="V10">
        <v>25200</v>
      </c>
      <c r="W10" t="s">
        <v>48</v>
      </c>
      <c r="X10" t="s">
        <v>77</v>
      </c>
      <c r="Y10" t="s">
        <v>54</v>
      </c>
      <c r="Z10" s="12">
        <f>IF(N10&lt;=1,9,9+0.8*ROUNDUP(N10-1,0))</f>
        <v>9</v>
      </c>
      <c r="AA10" s="11">
        <v>-2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s="11">
        <v>0</v>
      </c>
      <c r="AI10" s="11">
        <f t="shared" si="2"/>
        <v>7.42</v>
      </c>
      <c r="AJ10" t="s">
        <v>62</v>
      </c>
    </row>
    <row r="11" spans="1:36" ht="15" customHeight="1" x14ac:dyDescent="0.35">
      <c r="A11">
        <v>10428918</v>
      </c>
      <c r="B11" t="s">
        <v>36</v>
      </c>
      <c r="C11" t="s">
        <v>37</v>
      </c>
      <c r="D11" s="6" t="s">
        <v>38</v>
      </c>
      <c r="E11" t="s">
        <v>96</v>
      </c>
      <c r="F11" t="s">
        <v>40</v>
      </c>
      <c r="G11" t="s">
        <v>41</v>
      </c>
      <c r="H11" t="s">
        <v>97</v>
      </c>
      <c r="I11" t="s">
        <v>43</v>
      </c>
      <c r="J11">
        <v>2</v>
      </c>
      <c r="K11" t="s">
        <v>44</v>
      </c>
      <c r="L11" t="s">
        <v>45</v>
      </c>
      <c r="M11" t="s">
        <v>46</v>
      </c>
      <c r="N11" s="7">
        <v>1</v>
      </c>
      <c r="O11" s="8">
        <v>45640.468101851853</v>
      </c>
      <c r="P11" s="9">
        <v>45641</v>
      </c>
      <c r="Q11" t="s">
        <v>74</v>
      </c>
      <c r="R11" t="s">
        <v>48</v>
      </c>
      <c r="S11" t="s">
        <v>49</v>
      </c>
      <c r="T11" t="s">
        <v>75</v>
      </c>
      <c r="U11" t="s">
        <v>98</v>
      </c>
      <c r="V11">
        <v>25300</v>
      </c>
      <c r="W11" t="s">
        <v>48</v>
      </c>
      <c r="X11" t="s">
        <v>77</v>
      </c>
      <c r="Y11" t="s">
        <v>54</v>
      </c>
      <c r="Z11" s="12">
        <f>IF(N11&lt;=1,9,9+0.8*ROUNDUP(N11-1,0))</f>
        <v>9</v>
      </c>
      <c r="AA11" s="11">
        <v>-2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s="11">
        <v>0</v>
      </c>
      <c r="AI11" s="11">
        <f t="shared" si="2"/>
        <v>7.42</v>
      </c>
      <c r="AJ11" t="s">
        <v>62</v>
      </c>
    </row>
    <row r="12" spans="1:36" ht="15" customHeight="1" x14ac:dyDescent="0.35">
      <c r="A12">
        <v>10428918</v>
      </c>
      <c r="B12" t="s">
        <v>36</v>
      </c>
      <c r="C12" t="s">
        <v>37</v>
      </c>
      <c r="D12" s="6" t="s">
        <v>38</v>
      </c>
      <c r="E12" t="s">
        <v>99</v>
      </c>
      <c r="F12" t="s">
        <v>40</v>
      </c>
      <c r="G12" t="s">
        <v>41</v>
      </c>
      <c r="H12" t="s">
        <v>100</v>
      </c>
      <c r="I12" t="s">
        <v>43</v>
      </c>
      <c r="J12">
        <v>2</v>
      </c>
      <c r="K12" t="s">
        <v>44</v>
      </c>
      <c r="L12" t="s">
        <v>45</v>
      </c>
      <c r="M12" t="s">
        <v>46</v>
      </c>
      <c r="N12" s="7">
        <v>1</v>
      </c>
      <c r="O12" s="8">
        <v>45638.795671296299</v>
      </c>
      <c r="P12" s="9">
        <v>45641</v>
      </c>
      <c r="Q12" t="s">
        <v>58</v>
      </c>
      <c r="R12" t="s">
        <v>48</v>
      </c>
      <c r="S12" t="s">
        <v>49</v>
      </c>
      <c r="T12" t="s">
        <v>101</v>
      </c>
      <c r="U12" t="s">
        <v>102</v>
      </c>
      <c r="V12">
        <v>31100</v>
      </c>
      <c r="W12" t="s">
        <v>48</v>
      </c>
      <c r="X12" t="s">
        <v>103</v>
      </c>
      <c r="Y12" t="s">
        <v>54</v>
      </c>
      <c r="Z12" s="12">
        <f>IF(N12&lt;=1,9,9+0.8*ROUNDUP(N12-1,0))</f>
        <v>9</v>
      </c>
      <c r="AA12" s="11">
        <v>-2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s="11">
        <v>0</v>
      </c>
      <c r="AI12" s="11">
        <f t="shared" si="2"/>
        <v>7.42</v>
      </c>
      <c r="AJ12" t="s">
        <v>62</v>
      </c>
    </row>
    <row r="13" spans="1:36" ht="15" customHeight="1" x14ac:dyDescent="0.35">
      <c r="A13">
        <v>10428918</v>
      </c>
      <c r="B13" t="s">
        <v>36</v>
      </c>
      <c r="C13" t="s">
        <v>37</v>
      </c>
      <c r="D13" s="6" t="s">
        <v>38</v>
      </c>
      <c r="E13" t="s">
        <v>104</v>
      </c>
      <c r="F13" t="s">
        <v>40</v>
      </c>
      <c r="G13" t="s">
        <v>41</v>
      </c>
      <c r="H13" t="s">
        <v>105</v>
      </c>
      <c r="I13" t="s">
        <v>43</v>
      </c>
      <c r="J13">
        <v>2</v>
      </c>
      <c r="K13" t="s">
        <v>44</v>
      </c>
      <c r="L13" t="s">
        <v>45</v>
      </c>
      <c r="M13" t="s">
        <v>46</v>
      </c>
      <c r="N13" s="7">
        <v>3</v>
      </c>
      <c r="O13" s="8">
        <v>45640.567013888889</v>
      </c>
      <c r="P13" s="9">
        <v>45641</v>
      </c>
      <c r="Q13" t="s">
        <v>74</v>
      </c>
      <c r="R13" t="s">
        <v>48</v>
      </c>
      <c r="S13" t="s">
        <v>49</v>
      </c>
      <c r="T13" t="s">
        <v>75</v>
      </c>
      <c r="U13" t="s">
        <v>106</v>
      </c>
      <c r="V13">
        <v>26060</v>
      </c>
      <c r="W13" t="s">
        <v>48</v>
      </c>
      <c r="X13" t="s">
        <v>77</v>
      </c>
      <c r="Y13" t="s">
        <v>54</v>
      </c>
      <c r="Z13" s="12">
        <f>IF(N13&lt;=1,9,9+0.8*ROUNDUP(N13-1,0))</f>
        <v>10.6</v>
      </c>
      <c r="AA13" s="11">
        <v>-2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0.51600000000000001</v>
      </c>
      <c r="AG13" s="11">
        <f t="shared" si="1"/>
        <v>9.1159999999999997</v>
      </c>
      <c r="AH13" s="11">
        <v>0</v>
      </c>
      <c r="AI13" s="11">
        <f t="shared" si="2"/>
        <v>9.1159999999999997</v>
      </c>
      <c r="AJ13" t="s">
        <v>62</v>
      </c>
    </row>
    <row r="14" spans="1:36" ht="15" customHeight="1" x14ac:dyDescent="0.35">
      <c r="A14">
        <v>10428918</v>
      </c>
      <c r="B14" t="s">
        <v>36</v>
      </c>
      <c r="C14" t="s">
        <v>37</v>
      </c>
      <c r="D14" s="6" t="s">
        <v>38</v>
      </c>
      <c r="E14" t="s">
        <v>107</v>
      </c>
      <c r="F14" t="s">
        <v>40</v>
      </c>
      <c r="G14" t="s">
        <v>41</v>
      </c>
      <c r="H14" t="s">
        <v>108</v>
      </c>
      <c r="I14" t="s">
        <v>43</v>
      </c>
      <c r="J14">
        <v>2</v>
      </c>
      <c r="K14" t="s">
        <v>44</v>
      </c>
      <c r="L14" t="s">
        <v>45</v>
      </c>
      <c r="M14" t="s">
        <v>46</v>
      </c>
      <c r="N14" s="7">
        <v>1</v>
      </c>
      <c r="O14" s="8">
        <v>45638.813344907408</v>
      </c>
      <c r="P14" s="9">
        <v>45641</v>
      </c>
      <c r="Q14" t="s">
        <v>58</v>
      </c>
      <c r="R14" t="s">
        <v>48</v>
      </c>
      <c r="S14" t="s">
        <v>49</v>
      </c>
      <c r="T14" t="s">
        <v>101</v>
      </c>
      <c r="U14" t="s">
        <v>109</v>
      </c>
      <c r="V14">
        <v>35500</v>
      </c>
      <c r="W14" t="s">
        <v>48</v>
      </c>
      <c r="X14" t="s">
        <v>110</v>
      </c>
      <c r="Y14" t="s">
        <v>54</v>
      </c>
      <c r="Z14" s="12">
        <f>IF(N14&lt;=1,9,9+0.8*ROUNDUP(N14-1,0))</f>
        <v>9</v>
      </c>
      <c r="AA14" s="11">
        <v>-2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s="11">
        <v>0</v>
      </c>
      <c r="AI14" s="11">
        <f t="shared" si="2"/>
        <v>7.42</v>
      </c>
      <c r="AJ14" t="s">
        <v>62</v>
      </c>
    </row>
    <row r="15" spans="1:36" ht="15" customHeight="1" x14ac:dyDescent="0.35">
      <c r="A15">
        <v>10428918</v>
      </c>
      <c r="B15" t="s">
        <v>36</v>
      </c>
      <c r="C15" t="s">
        <v>37</v>
      </c>
      <c r="D15" s="6" t="s">
        <v>38</v>
      </c>
      <c r="E15" t="s">
        <v>111</v>
      </c>
      <c r="F15" t="s">
        <v>40</v>
      </c>
      <c r="G15" t="s">
        <v>41</v>
      </c>
      <c r="H15" t="s">
        <v>112</v>
      </c>
      <c r="I15" t="s">
        <v>43</v>
      </c>
      <c r="J15">
        <v>2</v>
      </c>
      <c r="K15" t="s">
        <v>44</v>
      </c>
      <c r="L15" t="s">
        <v>45</v>
      </c>
      <c r="M15" t="s">
        <v>46</v>
      </c>
      <c r="N15" s="7">
        <v>1</v>
      </c>
      <c r="O15" s="8">
        <v>45638.795729166668</v>
      </c>
      <c r="P15" s="9">
        <v>45641</v>
      </c>
      <c r="Q15" t="s">
        <v>58</v>
      </c>
      <c r="R15" t="s">
        <v>48</v>
      </c>
      <c r="S15" t="s">
        <v>49</v>
      </c>
      <c r="T15" t="s">
        <v>85</v>
      </c>
      <c r="U15" t="s">
        <v>113</v>
      </c>
      <c r="V15">
        <v>71450</v>
      </c>
      <c r="W15" t="s">
        <v>48</v>
      </c>
      <c r="X15" t="s">
        <v>114</v>
      </c>
      <c r="Y15" t="s">
        <v>54</v>
      </c>
      <c r="Z15" s="12">
        <f>IF(N15&lt;=1,9,9+0.8*ROUNDUP(N15-1,0))</f>
        <v>9</v>
      </c>
      <c r="AA15" s="11">
        <v>-2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s="11">
        <v>0</v>
      </c>
      <c r="AI15" s="11">
        <f t="shared" si="2"/>
        <v>7.42</v>
      </c>
      <c r="AJ15" t="s">
        <v>62</v>
      </c>
    </row>
    <row r="16" spans="1:36" ht="15" customHeight="1" x14ac:dyDescent="0.35">
      <c r="A16">
        <v>10428918</v>
      </c>
      <c r="B16" t="s">
        <v>36</v>
      </c>
      <c r="C16" t="s">
        <v>37</v>
      </c>
      <c r="D16" s="6" t="s">
        <v>38</v>
      </c>
      <c r="E16" t="s">
        <v>115</v>
      </c>
      <c r="F16" t="s">
        <v>40</v>
      </c>
      <c r="G16" t="s">
        <v>41</v>
      </c>
      <c r="H16" t="s">
        <v>116</v>
      </c>
      <c r="I16" t="s">
        <v>43</v>
      </c>
      <c r="J16">
        <v>2</v>
      </c>
      <c r="K16" t="s">
        <v>44</v>
      </c>
      <c r="L16" t="s">
        <v>45</v>
      </c>
      <c r="M16" t="s">
        <v>46</v>
      </c>
      <c r="N16" s="7">
        <v>15</v>
      </c>
      <c r="O16" s="8">
        <v>45640.436168981483</v>
      </c>
      <c r="P16" s="9">
        <v>45641</v>
      </c>
      <c r="Q16" t="s">
        <v>74</v>
      </c>
      <c r="R16" t="s">
        <v>48</v>
      </c>
      <c r="S16" t="s">
        <v>49</v>
      </c>
      <c r="T16" t="s">
        <v>117</v>
      </c>
      <c r="U16" t="s">
        <v>118</v>
      </c>
      <c r="V16">
        <v>43000</v>
      </c>
      <c r="W16" t="s">
        <v>48</v>
      </c>
      <c r="X16" t="s">
        <v>53</v>
      </c>
      <c r="Y16" t="s">
        <v>54</v>
      </c>
      <c r="Z16" s="12">
        <f>IF(N16&lt;=1,9,9+0.8*ROUNDUP(N16-1,0))</f>
        <v>20.200000000000003</v>
      </c>
      <c r="AA16" s="11">
        <v>-2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1.0920000000000001</v>
      </c>
      <c r="AG16" s="11">
        <f t="shared" si="1"/>
        <v>19.292000000000002</v>
      </c>
      <c r="AH16" s="11">
        <v>0</v>
      </c>
      <c r="AI16" s="11">
        <f t="shared" si="2"/>
        <v>19.292000000000002</v>
      </c>
      <c r="AJ16" t="s">
        <v>62</v>
      </c>
    </row>
    <row r="17" spans="1:36" ht="15" customHeight="1" x14ac:dyDescent="0.35">
      <c r="A17">
        <v>10428918</v>
      </c>
      <c r="B17" t="s">
        <v>36</v>
      </c>
      <c r="C17" t="s">
        <v>37</v>
      </c>
      <c r="D17" s="6" t="s">
        <v>38</v>
      </c>
      <c r="E17" t="s">
        <v>119</v>
      </c>
      <c r="F17" t="s">
        <v>40</v>
      </c>
      <c r="G17" t="s">
        <v>41</v>
      </c>
      <c r="H17" t="s">
        <v>120</v>
      </c>
      <c r="I17" t="s">
        <v>43</v>
      </c>
      <c r="J17">
        <v>2</v>
      </c>
      <c r="K17" t="s">
        <v>44</v>
      </c>
      <c r="L17" t="s">
        <v>45</v>
      </c>
      <c r="M17" t="s">
        <v>46</v>
      </c>
      <c r="N17" s="7">
        <v>1</v>
      </c>
      <c r="O17" s="8">
        <v>45638.806840277779</v>
      </c>
      <c r="P17" s="9">
        <v>45641</v>
      </c>
      <c r="Q17" t="s">
        <v>58</v>
      </c>
      <c r="R17" t="s">
        <v>48</v>
      </c>
      <c r="S17" t="s">
        <v>49</v>
      </c>
      <c r="T17" t="s">
        <v>69</v>
      </c>
      <c r="U17" t="s">
        <v>121</v>
      </c>
      <c r="V17">
        <v>81900</v>
      </c>
      <c r="W17" t="s">
        <v>48</v>
      </c>
      <c r="X17" t="s">
        <v>122</v>
      </c>
      <c r="Y17" t="s">
        <v>54</v>
      </c>
      <c r="Z17" s="12">
        <f>IF(N17&lt;=1,9,9+0.8*ROUNDUP(N17-1,0))</f>
        <v>9</v>
      </c>
      <c r="AA17" s="11">
        <v>-2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0.42</v>
      </c>
      <c r="AG17" s="11">
        <f t="shared" si="1"/>
        <v>7.42</v>
      </c>
      <c r="AH17" s="11">
        <v>0</v>
      </c>
      <c r="AI17" s="11">
        <f t="shared" si="2"/>
        <v>7.42</v>
      </c>
      <c r="AJ17" t="s">
        <v>62</v>
      </c>
    </row>
    <row r="18" spans="1:36" ht="15" customHeight="1" x14ac:dyDescent="0.35">
      <c r="A18">
        <v>10428918</v>
      </c>
      <c r="B18" t="s">
        <v>36</v>
      </c>
      <c r="C18" t="s">
        <v>37</v>
      </c>
      <c r="D18" s="6" t="s">
        <v>38</v>
      </c>
      <c r="E18" t="s">
        <v>123</v>
      </c>
      <c r="F18" t="s">
        <v>40</v>
      </c>
      <c r="G18" t="s">
        <v>41</v>
      </c>
      <c r="H18" t="s">
        <v>124</v>
      </c>
      <c r="I18" t="s">
        <v>43</v>
      </c>
      <c r="J18">
        <v>2</v>
      </c>
      <c r="K18" t="s">
        <v>44</v>
      </c>
      <c r="L18" t="s">
        <v>45</v>
      </c>
      <c r="M18" t="s">
        <v>46</v>
      </c>
      <c r="N18" s="7">
        <v>18</v>
      </c>
      <c r="O18" s="8">
        <v>45640.436168981483</v>
      </c>
      <c r="P18" s="9">
        <v>45641</v>
      </c>
      <c r="Q18" t="s">
        <v>74</v>
      </c>
      <c r="R18" t="s">
        <v>48</v>
      </c>
      <c r="S18" t="s">
        <v>49</v>
      </c>
      <c r="T18" t="s">
        <v>117</v>
      </c>
      <c r="U18" t="s">
        <v>118</v>
      </c>
      <c r="V18">
        <v>43000</v>
      </c>
      <c r="W18" t="s">
        <v>48</v>
      </c>
      <c r="X18" t="s">
        <v>53</v>
      </c>
      <c r="Y18" t="s">
        <v>54</v>
      </c>
      <c r="Z18" s="12">
        <f>IF(N18&lt;=1,9,9+0.8*ROUNDUP(N18-1,0))</f>
        <v>22.6</v>
      </c>
      <c r="AA18" s="11">
        <v>-2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1.236</v>
      </c>
      <c r="AG18" s="11">
        <f t="shared" si="1"/>
        <v>21.836000000000002</v>
      </c>
      <c r="AH18" s="11">
        <v>0</v>
      </c>
      <c r="AI18" s="11">
        <f t="shared" si="2"/>
        <v>21.836000000000002</v>
      </c>
      <c r="AJ18" t="s">
        <v>62</v>
      </c>
    </row>
    <row r="19" spans="1:36" ht="15" customHeight="1" x14ac:dyDescent="0.35">
      <c r="A19">
        <v>10428918</v>
      </c>
      <c r="B19" t="s">
        <v>36</v>
      </c>
      <c r="C19" t="s">
        <v>37</v>
      </c>
      <c r="D19" s="6" t="s">
        <v>38</v>
      </c>
      <c r="E19" t="s">
        <v>125</v>
      </c>
      <c r="F19" t="s">
        <v>40</v>
      </c>
      <c r="G19" t="s">
        <v>41</v>
      </c>
      <c r="H19" t="s">
        <v>126</v>
      </c>
      <c r="I19" t="s">
        <v>43</v>
      </c>
      <c r="J19">
        <v>2</v>
      </c>
      <c r="K19" t="s">
        <v>44</v>
      </c>
      <c r="L19" t="s">
        <v>45</v>
      </c>
      <c r="M19" t="s">
        <v>46</v>
      </c>
      <c r="N19" s="7">
        <v>1</v>
      </c>
      <c r="O19" s="8">
        <v>45640.73746527778</v>
      </c>
      <c r="P19" s="9">
        <v>45641</v>
      </c>
      <c r="Q19" t="s">
        <v>74</v>
      </c>
      <c r="R19" t="s">
        <v>48</v>
      </c>
      <c r="S19" t="s">
        <v>49</v>
      </c>
      <c r="T19" t="s">
        <v>59</v>
      </c>
      <c r="U19" t="s">
        <v>127</v>
      </c>
      <c r="V19">
        <v>16400</v>
      </c>
      <c r="W19" t="s">
        <v>48</v>
      </c>
      <c r="X19" t="s">
        <v>61</v>
      </c>
      <c r="Y19" t="s">
        <v>54</v>
      </c>
      <c r="Z19" s="12">
        <f>IF(N19&lt;=1,9,9+0.8*ROUNDUP(N19-1,0))</f>
        <v>9</v>
      </c>
      <c r="AA19" s="11">
        <v>-2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s="11">
        <v>0</v>
      </c>
      <c r="AI19" s="11">
        <f t="shared" si="2"/>
        <v>7.42</v>
      </c>
      <c r="AJ19" t="s">
        <v>62</v>
      </c>
    </row>
    <row r="20" spans="1:36" ht="15" customHeight="1" x14ac:dyDescent="0.35">
      <c r="A20">
        <v>10428918</v>
      </c>
      <c r="B20" t="s">
        <v>36</v>
      </c>
      <c r="C20" t="s">
        <v>37</v>
      </c>
      <c r="D20" s="6" t="s">
        <v>38</v>
      </c>
      <c r="E20" t="s">
        <v>128</v>
      </c>
      <c r="F20" t="s">
        <v>40</v>
      </c>
      <c r="G20" t="s">
        <v>41</v>
      </c>
      <c r="H20" t="s">
        <v>129</v>
      </c>
      <c r="I20" t="s">
        <v>43</v>
      </c>
      <c r="J20">
        <v>2</v>
      </c>
      <c r="K20" t="s">
        <v>44</v>
      </c>
      <c r="L20" t="s">
        <v>45</v>
      </c>
      <c r="M20" t="s">
        <v>46</v>
      </c>
      <c r="N20" s="7">
        <v>1</v>
      </c>
      <c r="O20" s="8">
        <v>45640.506643518522</v>
      </c>
      <c r="P20" s="9">
        <v>45641</v>
      </c>
      <c r="Q20" t="s">
        <v>74</v>
      </c>
      <c r="R20" t="s">
        <v>48</v>
      </c>
      <c r="S20" t="s">
        <v>49</v>
      </c>
      <c r="T20" t="s">
        <v>90</v>
      </c>
      <c r="U20" t="s">
        <v>130</v>
      </c>
      <c r="V20">
        <v>21300</v>
      </c>
      <c r="W20" t="s">
        <v>48</v>
      </c>
      <c r="X20" t="s">
        <v>92</v>
      </c>
      <c r="Y20" t="s">
        <v>54</v>
      </c>
      <c r="Z20" s="12">
        <f>IF(N20&lt;=1,9,9+0.8*ROUNDUP(N20-1,0))</f>
        <v>9</v>
      </c>
      <c r="AA20" s="11">
        <v>-2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0.42</v>
      </c>
      <c r="AG20" s="11">
        <f t="shared" si="1"/>
        <v>7.42</v>
      </c>
      <c r="AH20" s="11">
        <v>0</v>
      </c>
      <c r="AI20" s="11">
        <f t="shared" si="2"/>
        <v>7.42</v>
      </c>
      <c r="AJ20" t="s">
        <v>62</v>
      </c>
    </row>
    <row r="21" spans="1:36" ht="15" customHeight="1" x14ac:dyDescent="0.35">
      <c r="A21">
        <v>10428918</v>
      </c>
      <c r="B21" t="s">
        <v>36</v>
      </c>
      <c r="C21" t="s">
        <v>37</v>
      </c>
      <c r="D21" s="6" t="s">
        <v>38</v>
      </c>
      <c r="E21" t="s">
        <v>131</v>
      </c>
      <c r="F21" t="s">
        <v>40</v>
      </c>
      <c r="G21" t="s">
        <v>41</v>
      </c>
      <c r="H21" t="s">
        <v>132</v>
      </c>
      <c r="I21" t="s">
        <v>43</v>
      </c>
      <c r="J21">
        <v>2</v>
      </c>
      <c r="K21" t="s">
        <v>44</v>
      </c>
      <c r="L21" t="s">
        <v>45</v>
      </c>
      <c r="M21" t="s">
        <v>46</v>
      </c>
      <c r="N21" s="7">
        <v>1</v>
      </c>
      <c r="O21" s="8">
        <v>45638.829074074078</v>
      </c>
      <c r="P21" s="9">
        <v>45641</v>
      </c>
      <c r="Q21" t="s">
        <v>58</v>
      </c>
      <c r="R21" t="s">
        <v>48</v>
      </c>
      <c r="S21" t="s">
        <v>49</v>
      </c>
      <c r="T21" t="s">
        <v>85</v>
      </c>
      <c r="U21" t="s">
        <v>133</v>
      </c>
      <c r="V21">
        <v>71950</v>
      </c>
      <c r="W21" t="s">
        <v>48</v>
      </c>
      <c r="X21" t="s">
        <v>53</v>
      </c>
      <c r="Y21" t="s">
        <v>54</v>
      </c>
      <c r="Z21" s="12">
        <f>IF(N21&lt;=1,9,9+0.8*ROUNDUP(N21-1,0))</f>
        <v>9</v>
      </c>
      <c r="AA21" s="11">
        <v>-2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s="11">
        <v>0</v>
      </c>
      <c r="AI21" s="11">
        <f t="shared" si="2"/>
        <v>7.42</v>
      </c>
      <c r="AJ21" t="s">
        <v>62</v>
      </c>
    </row>
    <row r="22" spans="1:36" ht="15" customHeight="1" x14ac:dyDescent="0.35">
      <c r="A22">
        <v>10428918</v>
      </c>
      <c r="B22" t="s">
        <v>36</v>
      </c>
      <c r="C22" t="s">
        <v>37</v>
      </c>
      <c r="D22" s="6" t="s">
        <v>38</v>
      </c>
      <c r="E22" t="s">
        <v>134</v>
      </c>
      <c r="F22" t="s">
        <v>40</v>
      </c>
      <c r="G22" t="s">
        <v>41</v>
      </c>
      <c r="H22" t="s">
        <v>135</v>
      </c>
      <c r="I22" t="s">
        <v>43</v>
      </c>
      <c r="J22">
        <v>2</v>
      </c>
      <c r="K22" t="s">
        <v>44</v>
      </c>
      <c r="L22" t="s">
        <v>45</v>
      </c>
      <c r="M22" t="s">
        <v>46</v>
      </c>
      <c r="N22" s="7">
        <v>2</v>
      </c>
      <c r="O22" s="8">
        <v>45638.795717592591</v>
      </c>
      <c r="P22" s="9">
        <v>45641</v>
      </c>
      <c r="Q22" t="s">
        <v>58</v>
      </c>
      <c r="R22" t="s">
        <v>48</v>
      </c>
      <c r="S22" t="s">
        <v>49</v>
      </c>
      <c r="T22" t="s">
        <v>80</v>
      </c>
      <c r="U22" t="s">
        <v>136</v>
      </c>
      <c r="V22">
        <v>6600</v>
      </c>
      <c r="W22" t="s">
        <v>48</v>
      </c>
      <c r="X22" t="s">
        <v>137</v>
      </c>
      <c r="Y22" t="s">
        <v>54</v>
      </c>
      <c r="Z22" s="12">
        <f>IF(N22&lt;=1,9,9+0.8*ROUNDUP(N22-1,0))</f>
        <v>9.8000000000000007</v>
      </c>
      <c r="AA22" s="11">
        <v>-2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0.46800000000000003</v>
      </c>
      <c r="AG22" s="11">
        <f t="shared" si="1"/>
        <v>8.2680000000000007</v>
      </c>
      <c r="AH22" s="11">
        <v>0</v>
      </c>
      <c r="AI22" s="11">
        <f t="shared" si="2"/>
        <v>8.2680000000000007</v>
      </c>
      <c r="AJ22" t="s">
        <v>62</v>
      </c>
    </row>
    <row r="23" spans="1:36" ht="15" customHeight="1" x14ac:dyDescent="0.35">
      <c r="A23">
        <v>10428918</v>
      </c>
      <c r="B23" t="s">
        <v>36</v>
      </c>
      <c r="C23" t="s">
        <v>37</v>
      </c>
      <c r="D23" s="6" t="s">
        <v>38</v>
      </c>
      <c r="E23" t="s">
        <v>138</v>
      </c>
      <c r="F23" t="s">
        <v>40</v>
      </c>
      <c r="G23" t="s">
        <v>41</v>
      </c>
      <c r="H23" t="s">
        <v>139</v>
      </c>
      <c r="I23" t="s">
        <v>43</v>
      </c>
      <c r="J23">
        <v>2</v>
      </c>
      <c r="K23" t="s">
        <v>44</v>
      </c>
      <c r="L23" t="s">
        <v>45</v>
      </c>
      <c r="M23" t="s">
        <v>46</v>
      </c>
      <c r="N23" s="7">
        <v>1</v>
      </c>
      <c r="O23" s="8">
        <v>45638.795729166668</v>
      </c>
      <c r="P23" s="9">
        <v>45641</v>
      </c>
      <c r="Q23" t="s">
        <v>58</v>
      </c>
      <c r="R23" t="s">
        <v>48</v>
      </c>
      <c r="S23" t="s">
        <v>49</v>
      </c>
      <c r="T23" t="s">
        <v>80</v>
      </c>
      <c r="U23" t="s">
        <v>140</v>
      </c>
      <c r="V23">
        <v>8000</v>
      </c>
      <c r="W23" t="s">
        <v>48</v>
      </c>
      <c r="X23" t="s">
        <v>141</v>
      </c>
      <c r="Y23" t="s">
        <v>54</v>
      </c>
      <c r="Z23" s="12">
        <f>IF(N23&lt;=1,9,9+0.8*ROUNDUP(N23-1,0))</f>
        <v>9</v>
      </c>
      <c r="AA23" s="11">
        <v>-2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0.42</v>
      </c>
      <c r="AG23" s="11">
        <f t="shared" si="1"/>
        <v>7.42</v>
      </c>
      <c r="AH23" s="11">
        <v>0</v>
      </c>
      <c r="AI23" s="11">
        <f t="shared" si="2"/>
        <v>7.42</v>
      </c>
      <c r="AJ23" t="s">
        <v>62</v>
      </c>
    </row>
    <row r="24" spans="1:36" ht="15" customHeight="1" x14ac:dyDescent="0.35">
      <c r="A24">
        <v>10428918</v>
      </c>
      <c r="B24" t="s">
        <v>36</v>
      </c>
      <c r="C24" t="s">
        <v>37</v>
      </c>
      <c r="D24" s="6" t="s">
        <v>38</v>
      </c>
      <c r="E24" t="s">
        <v>142</v>
      </c>
      <c r="F24" t="s">
        <v>40</v>
      </c>
      <c r="G24" t="s">
        <v>41</v>
      </c>
      <c r="H24" t="s">
        <v>143</v>
      </c>
      <c r="I24" t="s">
        <v>43</v>
      </c>
      <c r="J24">
        <v>2</v>
      </c>
      <c r="K24" t="s">
        <v>44</v>
      </c>
      <c r="L24" t="s">
        <v>45</v>
      </c>
      <c r="M24" t="s">
        <v>46</v>
      </c>
      <c r="N24" s="7">
        <v>1</v>
      </c>
      <c r="O24" s="8">
        <v>45638.788854166669</v>
      </c>
      <c r="P24" s="9">
        <v>45641</v>
      </c>
      <c r="Q24" t="s">
        <v>58</v>
      </c>
      <c r="R24" t="s">
        <v>48</v>
      </c>
      <c r="S24" t="s">
        <v>49</v>
      </c>
      <c r="T24" t="s">
        <v>80</v>
      </c>
      <c r="U24" t="s">
        <v>144</v>
      </c>
      <c r="V24">
        <v>8000</v>
      </c>
      <c r="W24" t="s">
        <v>48</v>
      </c>
      <c r="X24" t="s">
        <v>145</v>
      </c>
      <c r="Y24" t="s">
        <v>54</v>
      </c>
      <c r="Z24" s="12">
        <f>IF(N24&lt;=1,9,9+0.8*ROUNDUP(N24-1,0))</f>
        <v>9</v>
      </c>
      <c r="AA24" s="11">
        <v>-2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s="11">
        <v>0</v>
      </c>
      <c r="AI24" s="11">
        <f t="shared" si="2"/>
        <v>7.42</v>
      </c>
      <c r="AJ24" t="s">
        <v>62</v>
      </c>
    </row>
    <row r="25" spans="1:36" ht="15" customHeight="1" x14ac:dyDescent="0.35">
      <c r="A25">
        <v>10428918</v>
      </c>
      <c r="B25" t="s">
        <v>36</v>
      </c>
      <c r="C25" t="s">
        <v>37</v>
      </c>
      <c r="D25" s="6" t="s">
        <v>38</v>
      </c>
      <c r="E25" t="s">
        <v>146</v>
      </c>
      <c r="F25" t="s">
        <v>40</v>
      </c>
      <c r="G25" t="s">
        <v>41</v>
      </c>
      <c r="H25" t="s">
        <v>147</v>
      </c>
      <c r="I25" t="s">
        <v>43</v>
      </c>
      <c r="J25">
        <v>2</v>
      </c>
      <c r="K25" t="s">
        <v>44</v>
      </c>
      <c r="L25" t="s">
        <v>45</v>
      </c>
      <c r="M25" t="s">
        <v>46</v>
      </c>
      <c r="N25" s="7">
        <v>1</v>
      </c>
      <c r="O25" s="8">
        <v>45640.673252314817</v>
      </c>
      <c r="P25" s="9">
        <v>45641</v>
      </c>
      <c r="Q25" t="s">
        <v>74</v>
      </c>
      <c r="R25" t="s">
        <v>48</v>
      </c>
      <c r="S25" t="s">
        <v>49</v>
      </c>
      <c r="T25" t="s">
        <v>117</v>
      </c>
      <c r="U25" t="s">
        <v>148</v>
      </c>
      <c r="V25">
        <v>41250</v>
      </c>
      <c r="W25" t="s">
        <v>48</v>
      </c>
      <c r="X25" t="s">
        <v>149</v>
      </c>
      <c r="Y25" t="s">
        <v>54</v>
      </c>
      <c r="Z25" s="12">
        <f>IF(N25&lt;=1,9,9+0.8*ROUNDUP(N25-1,0))</f>
        <v>9</v>
      </c>
      <c r="AA25" s="11">
        <v>-2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s="11">
        <v>0</v>
      </c>
      <c r="AI25" s="11">
        <f t="shared" si="2"/>
        <v>7.42</v>
      </c>
      <c r="AJ25" t="s">
        <v>62</v>
      </c>
    </row>
    <row r="26" spans="1:36" ht="15" customHeight="1" x14ac:dyDescent="0.35">
      <c r="A26">
        <v>10428918</v>
      </c>
      <c r="B26" t="s">
        <v>36</v>
      </c>
      <c r="C26" t="s">
        <v>37</v>
      </c>
      <c r="D26" s="6" t="s">
        <v>38</v>
      </c>
      <c r="E26" t="s">
        <v>150</v>
      </c>
      <c r="F26" t="s">
        <v>40</v>
      </c>
      <c r="G26" t="s">
        <v>41</v>
      </c>
      <c r="H26" t="s">
        <v>151</v>
      </c>
      <c r="I26" t="s">
        <v>43</v>
      </c>
      <c r="J26">
        <v>2</v>
      </c>
      <c r="K26" t="s">
        <v>44</v>
      </c>
      <c r="L26" t="s">
        <v>45</v>
      </c>
      <c r="M26" t="s">
        <v>46</v>
      </c>
      <c r="N26" s="7">
        <v>1</v>
      </c>
      <c r="O26" s="8">
        <v>45636.434398148151</v>
      </c>
      <c r="P26" s="9">
        <v>45641</v>
      </c>
      <c r="Q26" t="s">
        <v>74</v>
      </c>
      <c r="R26" t="s">
        <v>48</v>
      </c>
      <c r="S26" t="s">
        <v>49</v>
      </c>
      <c r="T26" t="s">
        <v>80</v>
      </c>
      <c r="U26" t="s">
        <v>152</v>
      </c>
      <c r="V26">
        <v>7000</v>
      </c>
      <c r="W26" t="s">
        <v>48</v>
      </c>
      <c r="X26" t="s">
        <v>53</v>
      </c>
      <c r="Y26" t="s">
        <v>54</v>
      </c>
      <c r="Z26" s="12">
        <f>IF(N26&lt;=1,9,9+0.8*ROUNDUP(N26-1,0))</f>
        <v>9</v>
      </c>
      <c r="AA26" s="11">
        <v>-2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s="11">
        <v>0</v>
      </c>
      <c r="AI26" s="11">
        <f t="shared" si="2"/>
        <v>7.42</v>
      </c>
      <c r="AJ26" t="s">
        <v>62</v>
      </c>
    </row>
    <row r="27" spans="1:36" ht="15" customHeight="1" x14ac:dyDescent="0.35">
      <c r="A27">
        <v>10428918</v>
      </c>
      <c r="B27" t="s">
        <v>36</v>
      </c>
      <c r="C27" t="s">
        <v>37</v>
      </c>
      <c r="D27" s="6" t="s">
        <v>38</v>
      </c>
      <c r="E27" t="s">
        <v>153</v>
      </c>
      <c r="F27" t="s">
        <v>40</v>
      </c>
      <c r="G27" t="s">
        <v>41</v>
      </c>
      <c r="H27" t="s">
        <v>154</v>
      </c>
      <c r="I27" t="s">
        <v>43</v>
      </c>
      <c r="J27">
        <v>2</v>
      </c>
      <c r="K27" t="s">
        <v>44</v>
      </c>
      <c r="L27" t="s">
        <v>45</v>
      </c>
      <c r="M27" t="s">
        <v>46</v>
      </c>
      <c r="N27" s="7">
        <v>1</v>
      </c>
      <c r="O27" s="8">
        <v>45640.754062499997</v>
      </c>
      <c r="P27" s="9">
        <v>45641</v>
      </c>
      <c r="Q27" t="s">
        <v>74</v>
      </c>
      <c r="R27" t="s">
        <v>48</v>
      </c>
      <c r="S27" t="s">
        <v>49</v>
      </c>
      <c r="T27" t="s">
        <v>90</v>
      </c>
      <c r="U27" t="s">
        <v>155</v>
      </c>
      <c r="V27">
        <v>22020</v>
      </c>
      <c r="W27" t="s">
        <v>48</v>
      </c>
      <c r="X27" t="s">
        <v>92</v>
      </c>
      <c r="Y27" t="s">
        <v>54</v>
      </c>
      <c r="Z27" s="12">
        <f>IF(N27&lt;=1,9,9+0.8*ROUNDUP(N27-1,0))</f>
        <v>9</v>
      </c>
      <c r="AA27" s="11">
        <v>-2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0.42</v>
      </c>
      <c r="AG27" s="11">
        <f t="shared" si="1"/>
        <v>7.42</v>
      </c>
      <c r="AH27" s="11">
        <v>0</v>
      </c>
      <c r="AI27" s="11">
        <f t="shared" si="2"/>
        <v>7.42</v>
      </c>
      <c r="AJ27" t="s">
        <v>62</v>
      </c>
    </row>
    <row r="28" spans="1:36" ht="15" customHeight="1" x14ac:dyDescent="0.35">
      <c r="A28">
        <v>10428918</v>
      </c>
      <c r="B28" t="s">
        <v>36</v>
      </c>
      <c r="C28" t="s">
        <v>37</v>
      </c>
      <c r="D28" s="6" t="s">
        <v>38</v>
      </c>
      <c r="E28" t="s">
        <v>156</v>
      </c>
      <c r="F28" t="s">
        <v>40</v>
      </c>
      <c r="G28" t="s">
        <v>41</v>
      </c>
      <c r="H28" t="s">
        <v>157</v>
      </c>
      <c r="I28" t="s">
        <v>43</v>
      </c>
      <c r="J28">
        <v>2</v>
      </c>
      <c r="K28" t="s">
        <v>44</v>
      </c>
      <c r="L28" t="s">
        <v>45</v>
      </c>
      <c r="M28" t="s">
        <v>46</v>
      </c>
      <c r="N28" s="7">
        <v>2</v>
      </c>
      <c r="O28" s="8">
        <v>45639.450289351851</v>
      </c>
      <c r="P28" s="9">
        <v>45641</v>
      </c>
      <c r="Q28" t="s">
        <v>58</v>
      </c>
      <c r="R28" t="s">
        <v>48</v>
      </c>
      <c r="S28" t="s">
        <v>49</v>
      </c>
      <c r="T28" t="s">
        <v>80</v>
      </c>
      <c r="U28" t="s">
        <v>158</v>
      </c>
      <c r="V28">
        <v>5400</v>
      </c>
      <c r="W28" t="s">
        <v>48</v>
      </c>
      <c r="X28" t="s">
        <v>137</v>
      </c>
      <c r="Y28" t="s">
        <v>54</v>
      </c>
      <c r="Z28" s="12">
        <f>IF(N28&lt;=1,9,9+0.8*ROUNDUP(N28-1,0))</f>
        <v>9.8000000000000007</v>
      </c>
      <c r="AA28" s="11">
        <v>-2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0.46800000000000003</v>
      </c>
      <c r="AG28" s="11">
        <f t="shared" si="1"/>
        <v>8.2680000000000007</v>
      </c>
      <c r="AH28" s="11">
        <v>0</v>
      </c>
      <c r="AI28" s="11">
        <f t="shared" si="2"/>
        <v>8.2680000000000007</v>
      </c>
      <c r="AJ28" t="s">
        <v>62</v>
      </c>
    </row>
    <row r="29" spans="1:36" ht="15" customHeight="1" x14ac:dyDescent="0.35">
      <c r="A29">
        <v>10428918</v>
      </c>
      <c r="B29" t="s">
        <v>36</v>
      </c>
      <c r="C29" t="s">
        <v>37</v>
      </c>
      <c r="D29" s="6" t="s">
        <v>38</v>
      </c>
      <c r="E29" t="s">
        <v>159</v>
      </c>
      <c r="F29" t="s">
        <v>40</v>
      </c>
      <c r="G29" t="s">
        <v>41</v>
      </c>
      <c r="H29" t="s">
        <v>160</v>
      </c>
      <c r="I29" t="s">
        <v>43</v>
      </c>
      <c r="J29">
        <v>2</v>
      </c>
      <c r="K29" t="s">
        <v>44</v>
      </c>
      <c r="L29" t="s">
        <v>45</v>
      </c>
      <c r="M29" t="s">
        <v>46</v>
      </c>
      <c r="N29" s="7">
        <v>2</v>
      </c>
      <c r="O29" s="8">
        <v>45638.788854166669</v>
      </c>
      <c r="P29" s="9">
        <v>45641</v>
      </c>
      <c r="Q29" t="s">
        <v>58</v>
      </c>
      <c r="R29" t="s">
        <v>48</v>
      </c>
      <c r="S29" t="s">
        <v>49</v>
      </c>
      <c r="T29" t="s">
        <v>161</v>
      </c>
      <c r="U29" t="s">
        <v>162</v>
      </c>
      <c r="V29">
        <v>10150</v>
      </c>
      <c r="W29" t="s">
        <v>48</v>
      </c>
      <c r="X29" t="s">
        <v>163</v>
      </c>
      <c r="Y29" t="s">
        <v>54</v>
      </c>
      <c r="Z29" s="12">
        <f>IF(N29&lt;=1,9,9+0.8*ROUNDUP(N29-1,0))</f>
        <v>9.8000000000000007</v>
      </c>
      <c r="AA29" s="11">
        <v>-2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0.46800000000000003</v>
      </c>
      <c r="AG29" s="11">
        <f t="shared" si="1"/>
        <v>8.2680000000000007</v>
      </c>
      <c r="AH29" s="11">
        <v>0</v>
      </c>
      <c r="AI29" s="11">
        <f t="shared" si="2"/>
        <v>8.2680000000000007</v>
      </c>
      <c r="AJ29" t="s">
        <v>62</v>
      </c>
    </row>
    <row r="30" spans="1:36" ht="15" customHeight="1" x14ac:dyDescent="0.35">
      <c r="A30">
        <v>10428918</v>
      </c>
      <c r="B30" t="s">
        <v>36</v>
      </c>
      <c r="C30" t="s">
        <v>37</v>
      </c>
      <c r="D30" s="6" t="s">
        <v>38</v>
      </c>
      <c r="E30" t="s">
        <v>164</v>
      </c>
      <c r="F30" t="s">
        <v>40</v>
      </c>
      <c r="G30" t="s">
        <v>41</v>
      </c>
      <c r="H30" t="s">
        <v>165</v>
      </c>
      <c r="I30" t="s">
        <v>43</v>
      </c>
      <c r="J30">
        <v>2</v>
      </c>
      <c r="K30" t="s">
        <v>44</v>
      </c>
      <c r="L30" t="s">
        <v>45</v>
      </c>
      <c r="M30" t="s">
        <v>46</v>
      </c>
      <c r="N30" s="7">
        <v>3</v>
      </c>
      <c r="O30" s="8">
        <v>45640.799027777779</v>
      </c>
      <c r="P30" s="9">
        <v>45642</v>
      </c>
      <c r="Q30" t="s">
        <v>74</v>
      </c>
      <c r="R30" t="s">
        <v>48</v>
      </c>
      <c r="S30" t="s">
        <v>49</v>
      </c>
      <c r="T30" t="s">
        <v>65</v>
      </c>
      <c r="U30" t="s">
        <v>166</v>
      </c>
      <c r="V30">
        <v>75150</v>
      </c>
      <c r="W30" t="s">
        <v>48</v>
      </c>
      <c r="X30" t="s">
        <v>167</v>
      </c>
      <c r="Y30" t="s">
        <v>54</v>
      </c>
      <c r="Z30" s="12">
        <f>IF(N30&lt;=1,9,9+0.8*ROUNDUP(N30-1,0))</f>
        <v>10.6</v>
      </c>
      <c r="AA30" s="11">
        <v>-2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0.51600000000000001</v>
      </c>
      <c r="AG30" s="11">
        <f t="shared" si="1"/>
        <v>9.1159999999999997</v>
      </c>
      <c r="AH30" s="11">
        <v>0</v>
      </c>
      <c r="AI30" s="11">
        <f t="shared" si="2"/>
        <v>9.1159999999999997</v>
      </c>
      <c r="AJ30" t="s">
        <v>62</v>
      </c>
    </row>
    <row r="31" spans="1:36" ht="15" customHeight="1" x14ac:dyDescent="0.35">
      <c r="A31">
        <v>10428918</v>
      </c>
      <c r="B31" t="s">
        <v>36</v>
      </c>
      <c r="C31" t="s">
        <v>37</v>
      </c>
      <c r="D31" s="6" t="s">
        <v>38</v>
      </c>
      <c r="E31" t="s">
        <v>168</v>
      </c>
      <c r="F31" t="s">
        <v>40</v>
      </c>
      <c r="G31" t="s">
        <v>41</v>
      </c>
      <c r="H31" t="s">
        <v>169</v>
      </c>
      <c r="I31" t="s">
        <v>43</v>
      </c>
      <c r="J31">
        <v>2</v>
      </c>
      <c r="K31" t="s">
        <v>44</v>
      </c>
      <c r="L31" t="s">
        <v>45</v>
      </c>
      <c r="M31" t="s">
        <v>46</v>
      </c>
      <c r="N31" s="7">
        <v>2</v>
      </c>
      <c r="O31" s="8">
        <v>45640.820127314815</v>
      </c>
      <c r="P31" s="9">
        <v>45642</v>
      </c>
      <c r="Q31" t="s">
        <v>74</v>
      </c>
      <c r="R31" t="s">
        <v>48</v>
      </c>
      <c r="S31" t="s">
        <v>49</v>
      </c>
      <c r="T31" t="s">
        <v>170</v>
      </c>
      <c r="U31" t="s">
        <v>171</v>
      </c>
      <c r="V31">
        <v>55100</v>
      </c>
      <c r="W31" t="s">
        <v>48</v>
      </c>
      <c r="X31" t="s">
        <v>172</v>
      </c>
      <c r="Y31" t="s">
        <v>54</v>
      </c>
      <c r="Z31" s="12">
        <f>IF(N31&lt;=1,9,9+0.8*ROUNDUP(N31-1,0))</f>
        <v>9.8000000000000007</v>
      </c>
      <c r="AA31" s="11">
        <v>-2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0.46800000000000003</v>
      </c>
      <c r="AG31" s="11">
        <f t="shared" si="1"/>
        <v>8.2680000000000007</v>
      </c>
      <c r="AH31" s="11">
        <v>0</v>
      </c>
      <c r="AI31" s="11">
        <f t="shared" si="2"/>
        <v>8.2680000000000007</v>
      </c>
      <c r="AJ31" t="s">
        <v>62</v>
      </c>
    </row>
    <row r="32" spans="1:36" ht="15" customHeight="1" x14ac:dyDescent="0.35">
      <c r="A32">
        <v>10428918</v>
      </c>
      <c r="B32" t="s">
        <v>36</v>
      </c>
      <c r="C32" t="s">
        <v>37</v>
      </c>
      <c r="D32" s="6" t="s">
        <v>38</v>
      </c>
      <c r="E32" t="s">
        <v>173</v>
      </c>
      <c r="F32" t="s">
        <v>40</v>
      </c>
      <c r="G32" t="s">
        <v>41</v>
      </c>
      <c r="H32" t="s">
        <v>174</v>
      </c>
      <c r="I32" t="s">
        <v>43</v>
      </c>
      <c r="J32">
        <v>2</v>
      </c>
      <c r="K32" t="s">
        <v>44</v>
      </c>
      <c r="L32" t="s">
        <v>45</v>
      </c>
      <c r="M32" t="s">
        <v>46</v>
      </c>
      <c r="N32" s="7">
        <v>1</v>
      </c>
      <c r="O32" s="8">
        <v>45640.820115740738</v>
      </c>
      <c r="P32" s="9">
        <v>45642</v>
      </c>
      <c r="Q32" t="s">
        <v>74</v>
      </c>
      <c r="R32" t="s">
        <v>48</v>
      </c>
      <c r="S32" t="s">
        <v>49</v>
      </c>
      <c r="T32" t="s">
        <v>75</v>
      </c>
      <c r="U32" t="s">
        <v>175</v>
      </c>
      <c r="V32">
        <v>28700</v>
      </c>
      <c r="W32" t="s">
        <v>48</v>
      </c>
      <c r="X32" t="s">
        <v>77</v>
      </c>
      <c r="Y32" t="s">
        <v>54</v>
      </c>
      <c r="Z32" s="12">
        <f>IF(N32&lt;=1,9,9+0.8*ROUNDUP(N32-1,0))</f>
        <v>9</v>
      </c>
      <c r="AA32" s="11">
        <v>-2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s="11">
        <v>0</v>
      </c>
      <c r="AI32" s="11">
        <f t="shared" si="2"/>
        <v>7.42</v>
      </c>
      <c r="AJ32" t="s">
        <v>62</v>
      </c>
    </row>
    <row r="33" spans="1:36" ht="15" customHeight="1" x14ac:dyDescent="0.35">
      <c r="A33">
        <v>10428918</v>
      </c>
      <c r="B33" t="s">
        <v>36</v>
      </c>
      <c r="C33" t="s">
        <v>37</v>
      </c>
      <c r="D33" s="6" t="s">
        <v>38</v>
      </c>
      <c r="E33" t="s">
        <v>176</v>
      </c>
      <c r="F33" t="s">
        <v>40</v>
      </c>
      <c r="G33" t="s">
        <v>41</v>
      </c>
      <c r="H33" t="s">
        <v>177</v>
      </c>
      <c r="I33" t="s">
        <v>43</v>
      </c>
      <c r="J33">
        <v>2</v>
      </c>
      <c r="K33" t="s">
        <v>44</v>
      </c>
      <c r="L33" t="s">
        <v>45</v>
      </c>
      <c r="M33" t="s">
        <v>46</v>
      </c>
      <c r="N33" s="7">
        <v>1</v>
      </c>
      <c r="O33" s="8">
        <v>45639.676828703705</v>
      </c>
      <c r="P33" s="9">
        <v>45642</v>
      </c>
      <c r="Q33" t="s">
        <v>74</v>
      </c>
      <c r="R33" t="s">
        <v>48</v>
      </c>
      <c r="S33" t="s">
        <v>49</v>
      </c>
      <c r="T33" t="s">
        <v>170</v>
      </c>
      <c r="U33" t="s">
        <v>178</v>
      </c>
      <c r="V33">
        <v>52100</v>
      </c>
      <c r="W33" t="s">
        <v>48</v>
      </c>
      <c r="X33" t="s">
        <v>179</v>
      </c>
      <c r="Y33" t="s">
        <v>54</v>
      </c>
      <c r="Z33" s="12">
        <f>IF(N33&lt;=1,9,9+0.8*ROUNDUP(N33-1,0))</f>
        <v>9</v>
      </c>
      <c r="AA33" s="11">
        <v>-2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s="11">
        <v>0</v>
      </c>
      <c r="AI33" s="11">
        <f t="shared" si="2"/>
        <v>7.42</v>
      </c>
      <c r="AJ33" t="s">
        <v>62</v>
      </c>
    </row>
    <row r="34" spans="1:36" ht="15" customHeight="1" x14ac:dyDescent="0.35">
      <c r="A34">
        <v>10428918</v>
      </c>
      <c r="B34" t="s">
        <v>36</v>
      </c>
      <c r="C34" t="s">
        <v>37</v>
      </c>
      <c r="D34" s="6" t="s">
        <v>38</v>
      </c>
      <c r="E34" t="s">
        <v>180</v>
      </c>
      <c r="F34" t="s">
        <v>40</v>
      </c>
      <c r="G34" t="s">
        <v>41</v>
      </c>
      <c r="H34" t="s">
        <v>181</v>
      </c>
      <c r="I34" t="s">
        <v>43</v>
      </c>
      <c r="J34">
        <v>2</v>
      </c>
      <c r="K34" t="s">
        <v>44</v>
      </c>
      <c r="L34" t="s">
        <v>45</v>
      </c>
      <c r="M34" t="s">
        <v>46</v>
      </c>
      <c r="N34" s="7">
        <v>1</v>
      </c>
      <c r="O34" s="8">
        <v>45636.440370370372</v>
      </c>
      <c r="P34" s="9">
        <v>45642</v>
      </c>
      <c r="Q34" t="s">
        <v>74</v>
      </c>
      <c r="R34" t="s">
        <v>48</v>
      </c>
      <c r="S34" t="s">
        <v>49</v>
      </c>
      <c r="T34" t="s">
        <v>65</v>
      </c>
      <c r="U34" t="s">
        <v>182</v>
      </c>
      <c r="V34">
        <v>78000</v>
      </c>
      <c r="W34" t="s">
        <v>48</v>
      </c>
      <c r="X34" t="s">
        <v>183</v>
      </c>
      <c r="Y34" t="s">
        <v>54</v>
      </c>
      <c r="Z34" s="12">
        <f>IF(N34&lt;=1,9,9+0.8*ROUNDUP(N34-1,0))</f>
        <v>9</v>
      </c>
      <c r="AA34" s="11">
        <v>-2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s="11">
        <v>0</v>
      </c>
      <c r="AI34" s="11">
        <f t="shared" si="2"/>
        <v>7.42</v>
      </c>
      <c r="AJ34" t="s">
        <v>62</v>
      </c>
    </row>
    <row r="35" spans="1:36" ht="15" customHeight="1" x14ac:dyDescent="0.35">
      <c r="A35">
        <v>10428918</v>
      </c>
      <c r="B35" t="s">
        <v>36</v>
      </c>
      <c r="C35" t="s">
        <v>37</v>
      </c>
      <c r="D35" s="6" t="s">
        <v>38</v>
      </c>
      <c r="E35" t="s">
        <v>184</v>
      </c>
      <c r="F35" t="s">
        <v>40</v>
      </c>
      <c r="G35" t="s">
        <v>41</v>
      </c>
      <c r="H35" t="s">
        <v>185</v>
      </c>
      <c r="I35" t="s">
        <v>43</v>
      </c>
      <c r="J35">
        <v>2</v>
      </c>
      <c r="K35" t="s">
        <v>44</v>
      </c>
      <c r="L35" t="s">
        <v>45</v>
      </c>
      <c r="M35" t="s">
        <v>46</v>
      </c>
      <c r="N35" s="7">
        <v>1</v>
      </c>
      <c r="O35" s="8">
        <v>45641.734722222223</v>
      </c>
      <c r="P35" s="9">
        <v>45642</v>
      </c>
      <c r="Q35" t="s">
        <v>74</v>
      </c>
      <c r="R35" t="s">
        <v>48</v>
      </c>
      <c r="S35" t="s">
        <v>49</v>
      </c>
      <c r="T35" t="s">
        <v>117</v>
      </c>
      <c r="U35" t="s">
        <v>186</v>
      </c>
      <c r="V35">
        <v>47810</v>
      </c>
      <c r="W35" t="s">
        <v>48</v>
      </c>
      <c r="X35" t="s">
        <v>187</v>
      </c>
      <c r="Y35" t="s">
        <v>54</v>
      </c>
      <c r="Z35" s="12">
        <f>IF(N35&lt;=1,9,9+0.8*ROUNDUP(N35-1,0))</f>
        <v>9</v>
      </c>
      <c r="AA35" s="11">
        <v>-2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s="11">
        <v>0</v>
      </c>
      <c r="AI35" s="11">
        <f t="shared" si="2"/>
        <v>7.42</v>
      </c>
      <c r="AJ35" t="s">
        <v>62</v>
      </c>
    </row>
    <row r="36" spans="1:36" ht="15" customHeight="1" x14ac:dyDescent="0.35">
      <c r="A36">
        <v>10428918</v>
      </c>
      <c r="B36" t="s">
        <v>36</v>
      </c>
      <c r="C36" t="s">
        <v>37</v>
      </c>
      <c r="D36" s="6" t="s">
        <v>38</v>
      </c>
      <c r="E36" t="s">
        <v>188</v>
      </c>
      <c r="F36" t="s">
        <v>40</v>
      </c>
      <c r="G36" t="s">
        <v>41</v>
      </c>
      <c r="H36" t="s">
        <v>189</v>
      </c>
      <c r="I36" t="s">
        <v>43</v>
      </c>
      <c r="J36">
        <v>2</v>
      </c>
      <c r="K36" t="s">
        <v>44</v>
      </c>
      <c r="L36" t="s">
        <v>45</v>
      </c>
      <c r="M36" t="s">
        <v>46</v>
      </c>
      <c r="N36" s="7">
        <v>4</v>
      </c>
      <c r="O36" s="8">
        <v>45640.820127314815</v>
      </c>
      <c r="P36" s="9">
        <v>45642</v>
      </c>
      <c r="Q36" t="s">
        <v>74</v>
      </c>
      <c r="R36" t="s">
        <v>48</v>
      </c>
      <c r="S36" t="s">
        <v>49</v>
      </c>
      <c r="T36" t="s">
        <v>117</v>
      </c>
      <c r="U36" t="s">
        <v>190</v>
      </c>
      <c r="V36">
        <v>43650</v>
      </c>
      <c r="W36" t="s">
        <v>48</v>
      </c>
      <c r="X36" t="s">
        <v>191</v>
      </c>
      <c r="Y36" t="s">
        <v>54</v>
      </c>
      <c r="Z36" s="12">
        <f>IF(N36&lt;=1,9,9+0.8*ROUNDUP(N36-1,0))</f>
        <v>11.4</v>
      </c>
      <c r="AA36" s="11">
        <v>-2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0.56399999999999995</v>
      </c>
      <c r="AG36" s="11">
        <f t="shared" si="1"/>
        <v>9.9640000000000004</v>
      </c>
      <c r="AH36" s="11">
        <v>0</v>
      </c>
      <c r="AI36" s="11">
        <f t="shared" si="2"/>
        <v>9.9640000000000004</v>
      </c>
      <c r="AJ36" t="s">
        <v>62</v>
      </c>
    </row>
    <row r="37" spans="1:36" ht="15" customHeight="1" x14ac:dyDescent="0.35">
      <c r="A37">
        <v>10428918</v>
      </c>
      <c r="B37" t="s">
        <v>36</v>
      </c>
      <c r="C37" t="s">
        <v>37</v>
      </c>
      <c r="D37" s="6" t="s">
        <v>38</v>
      </c>
      <c r="E37" t="s">
        <v>192</v>
      </c>
      <c r="F37" t="s">
        <v>40</v>
      </c>
      <c r="G37" t="s">
        <v>41</v>
      </c>
      <c r="H37" t="s">
        <v>193</v>
      </c>
      <c r="I37" t="s">
        <v>43</v>
      </c>
      <c r="J37">
        <v>2</v>
      </c>
      <c r="K37" t="s">
        <v>44</v>
      </c>
      <c r="L37" t="s">
        <v>45</v>
      </c>
      <c r="M37" t="s">
        <v>46</v>
      </c>
      <c r="N37" s="7">
        <v>1</v>
      </c>
      <c r="O37" s="8">
        <v>45640.825509259259</v>
      </c>
      <c r="P37" s="9">
        <v>45642</v>
      </c>
      <c r="Q37" t="s">
        <v>74</v>
      </c>
      <c r="R37" t="s">
        <v>48</v>
      </c>
      <c r="S37" t="s">
        <v>49</v>
      </c>
      <c r="T37" t="s">
        <v>59</v>
      </c>
      <c r="U37" t="s">
        <v>194</v>
      </c>
      <c r="V37">
        <v>18300</v>
      </c>
      <c r="W37" t="s">
        <v>48</v>
      </c>
      <c r="X37" t="s">
        <v>61</v>
      </c>
      <c r="Y37" t="s">
        <v>54</v>
      </c>
      <c r="Z37" s="12">
        <f>IF(N37&lt;=1,9,9+0.8*ROUNDUP(N37-1,0))</f>
        <v>9</v>
      </c>
      <c r="AA37" s="11">
        <v>-2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s="11">
        <v>0</v>
      </c>
      <c r="AI37" s="11">
        <f t="shared" si="2"/>
        <v>7.42</v>
      </c>
      <c r="AJ37" t="s">
        <v>62</v>
      </c>
    </row>
    <row r="38" spans="1:36" ht="15" customHeight="1" x14ac:dyDescent="0.35">
      <c r="A38">
        <v>10428918</v>
      </c>
      <c r="B38" t="s">
        <v>36</v>
      </c>
      <c r="C38" t="s">
        <v>37</v>
      </c>
      <c r="D38" s="6" t="s">
        <v>38</v>
      </c>
      <c r="E38" t="s">
        <v>195</v>
      </c>
      <c r="F38" t="s">
        <v>40</v>
      </c>
      <c r="G38" t="s">
        <v>41</v>
      </c>
      <c r="H38" t="s">
        <v>196</v>
      </c>
      <c r="I38" t="s">
        <v>43</v>
      </c>
      <c r="J38">
        <v>2</v>
      </c>
      <c r="K38" t="s">
        <v>44</v>
      </c>
      <c r="L38" t="s">
        <v>45</v>
      </c>
      <c r="M38" t="s">
        <v>46</v>
      </c>
      <c r="N38" s="7">
        <v>3</v>
      </c>
      <c r="O38" s="8">
        <v>45640.825520833336</v>
      </c>
      <c r="P38" s="9">
        <v>45642</v>
      </c>
      <c r="Q38" t="s">
        <v>74</v>
      </c>
      <c r="R38" t="s">
        <v>48</v>
      </c>
      <c r="S38" t="s">
        <v>49</v>
      </c>
      <c r="T38" t="s">
        <v>75</v>
      </c>
      <c r="U38" t="s">
        <v>197</v>
      </c>
      <c r="V38">
        <v>25150</v>
      </c>
      <c r="W38" t="s">
        <v>48</v>
      </c>
      <c r="X38" t="s">
        <v>77</v>
      </c>
      <c r="Y38" t="s">
        <v>54</v>
      </c>
      <c r="Z38" s="12">
        <f>IF(N38&lt;=1,9,9+0.8*ROUNDUP(N38-1,0))</f>
        <v>10.6</v>
      </c>
      <c r="AA38" s="11">
        <v>-2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0.51600000000000001</v>
      </c>
      <c r="AG38" s="11">
        <f t="shared" si="1"/>
        <v>9.1159999999999997</v>
      </c>
      <c r="AH38" s="11">
        <v>0</v>
      </c>
      <c r="AI38" s="11">
        <f t="shared" si="2"/>
        <v>9.1159999999999997</v>
      </c>
      <c r="AJ38" t="s">
        <v>62</v>
      </c>
    </row>
    <row r="39" spans="1:36" ht="15" customHeight="1" x14ac:dyDescent="0.35">
      <c r="A39">
        <v>10428918</v>
      </c>
      <c r="B39" t="s">
        <v>36</v>
      </c>
      <c r="C39" t="s">
        <v>37</v>
      </c>
      <c r="D39" s="6" t="s">
        <v>38</v>
      </c>
      <c r="E39" t="s">
        <v>198</v>
      </c>
      <c r="F39" t="s">
        <v>40</v>
      </c>
      <c r="G39" t="s">
        <v>41</v>
      </c>
      <c r="H39" t="s">
        <v>199</v>
      </c>
      <c r="I39" t="s">
        <v>43</v>
      </c>
      <c r="J39">
        <v>2</v>
      </c>
      <c r="K39" t="s">
        <v>44</v>
      </c>
      <c r="L39" t="s">
        <v>45</v>
      </c>
      <c r="M39" t="s">
        <v>46</v>
      </c>
      <c r="N39" s="7">
        <v>1</v>
      </c>
      <c r="O39" s="8">
        <v>45640.811018518521</v>
      </c>
      <c r="P39" s="9">
        <v>45642</v>
      </c>
      <c r="Q39" t="s">
        <v>74</v>
      </c>
      <c r="R39" t="s">
        <v>48</v>
      </c>
      <c r="S39" t="s">
        <v>49</v>
      </c>
      <c r="T39" t="s">
        <v>90</v>
      </c>
      <c r="U39" t="s">
        <v>200</v>
      </c>
      <c r="V39">
        <v>21400</v>
      </c>
      <c r="W39" t="s">
        <v>48</v>
      </c>
      <c r="X39" t="s">
        <v>92</v>
      </c>
      <c r="Y39" t="s">
        <v>54</v>
      </c>
      <c r="Z39" s="12">
        <f>IF(N39&lt;=1,9,9+0.8*ROUNDUP(N39-1,0))</f>
        <v>9</v>
      </c>
      <c r="AA39" s="11">
        <v>-2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0.42</v>
      </c>
      <c r="AG39" s="11">
        <f t="shared" si="1"/>
        <v>7.42</v>
      </c>
      <c r="AH39" s="11">
        <v>0</v>
      </c>
      <c r="AI39" s="11">
        <f t="shared" si="2"/>
        <v>7.42</v>
      </c>
      <c r="AJ39" t="s">
        <v>62</v>
      </c>
    </row>
    <row r="40" spans="1:36" ht="15" customHeight="1" x14ac:dyDescent="0.35">
      <c r="A40">
        <v>10428918</v>
      </c>
      <c r="B40" t="s">
        <v>36</v>
      </c>
      <c r="C40" t="s">
        <v>37</v>
      </c>
      <c r="D40" s="6" t="s">
        <v>38</v>
      </c>
      <c r="E40" t="s">
        <v>201</v>
      </c>
      <c r="F40" t="s">
        <v>40</v>
      </c>
      <c r="G40" t="s">
        <v>41</v>
      </c>
      <c r="H40" t="s">
        <v>202</v>
      </c>
      <c r="I40" t="s">
        <v>43</v>
      </c>
      <c r="J40">
        <v>2</v>
      </c>
      <c r="K40" t="s">
        <v>44</v>
      </c>
      <c r="L40" t="s">
        <v>45</v>
      </c>
      <c r="M40" t="s">
        <v>46</v>
      </c>
      <c r="N40" s="7">
        <v>1</v>
      </c>
      <c r="O40" s="8">
        <v>45640.799039351848</v>
      </c>
      <c r="P40" s="9">
        <v>45642</v>
      </c>
      <c r="Q40" t="s">
        <v>74</v>
      </c>
      <c r="R40" t="s">
        <v>48</v>
      </c>
      <c r="S40" t="s">
        <v>49</v>
      </c>
      <c r="T40" t="s">
        <v>117</v>
      </c>
      <c r="U40" t="s">
        <v>203</v>
      </c>
      <c r="V40">
        <v>47810</v>
      </c>
      <c r="W40" t="s">
        <v>48</v>
      </c>
      <c r="X40" t="s">
        <v>187</v>
      </c>
      <c r="Y40" t="s">
        <v>54</v>
      </c>
      <c r="Z40" s="12">
        <f>IF(N40&lt;=1,9,9+0.8*ROUNDUP(N40-1,0))</f>
        <v>9</v>
      </c>
      <c r="AA40" s="11">
        <v>-2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s="11">
        <v>0</v>
      </c>
      <c r="AI40" s="11">
        <f t="shared" si="2"/>
        <v>7.42</v>
      </c>
      <c r="AJ40" t="s">
        <v>62</v>
      </c>
    </row>
    <row r="41" spans="1:36" ht="15" customHeight="1" x14ac:dyDescent="0.35">
      <c r="A41">
        <v>10428918</v>
      </c>
      <c r="B41" t="s">
        <v>36</v>
      </c>
      <c r="C41" t="s">
        <v>37</v>
      </c>
      <c r="D41" s="6" t="s">
        <v>38</v>
      </c>
      <c r="E41" t="s">
        <v>204</v>
      </c>
      <c r="F41" t="s">
        <v>40</v>
      </c>
      <c r="G41" t="s">
        <v>41</v>
      </c>
      <c r="H41" t="s">
        <v>205</v>
      </c>
      <c r="I41" t="s">
        <v>43</v>
      </c>
      <c r="J41">
        <v>2</v>
      </c>
      <c r="K41" t="s">
        <v>44</v>
      </c>
      <c r="L41" t="s">
        <v>45</v>
      </c>
      <c r="M41" t="s">
        <v>46</v>
      </c>
      <c r="N41" s="7">
        <v>1</v>
      </c>
      <c r="O41" s="8">
        <v>45640.76734953704</v>
      </c>
      <c r="P41" s="9">
        <v>45642</v>
      </c>
      <c r="Q41" t="s">
        <v>74</v>
      </c>
      <c r="R41" t="s">
        <v>48</v>
      </c>
      <c r="S41" t="s">
        <v>49</v>
      </c>
      <c r="T41" t="s">
        <v>85</v>
      </c>
      <c r="U41" t="s">
        <v>206</v>
      </c>
      <c r="V41">
        <v>73200</v>
      </c>
      <c r="W41" t="s">
        <v>48</v>
      </c>
      <c r="X41" t="s">
        <v>207</v>
      </c>
      <c r="Y41" t="s">
        <v>54</v>
      </c>
      <c r="Z41" s="12">
        <f>IF(N41&lt;=1,9,9+0.8*ROUNDUP(N41-1,0))</f>
        <v>9</v>
      </c>
      <c r="AA41" s="11">
        <v>-2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s="11">
        <v>0</v>
      </c>
      <c r="AI41" s="11">
        <f t="shared" si="2"/>
        <v>7.42</v>
      </c>
      <c r="AJ41" t="s">
        <v>62</v>
      </c>
    </row>
    <row r="42" spans="1:36" ht="15" customHeight="1" x14ac:dyDescent="0.35">
      <c r="A42">
        <v>10428918</v>
      </c>
      <c r="B42" t="s">
        <v>36</v>
      </c>
      <c r="C42" t="s">
        <v>37</v>
      </c>
      <c r="D42" s="6" t="s">
        <v>38</v>
      </c>
      <c r="E42" t="s">
        <v>208</v>
      </c>
      <c r="F42" t="s">
        <v>40</v>
      </c>
      <c r="G42" t="s">
        <v>41</v>
      </c>
      <c r="H42" t="s">
        <v>209</v>
      </c>
      <c r="I42" t="s">
        <v>43</v>
      </c>
      <c r="J42">
        <v>2</v>
      </c>
      <c r="K42" t="s">
        <v>44</v>
      </c>
      <c r="L42" t="s">
        <v>45</v>
      </c>
      <c r="M42" t="s">
        <v>46</v>
      </c>
      <c r="N42" s="7">
        <v>1</v>
      </c>
      <c r="O42" s="8">
        <v>45640.567013888889</v>
      </c>
      <c r="P42" s="9">
        <v>45642</v>
      </c>
      <c r="Q42" t="s">
        <v>74</v>
      </c>
      <c r="R42" t="s">
        <v>48</v>
      </c>
      <c r="S42" t="s">
        <v>49</v>
      </c>
      <c r="T42" t="s">
        <v>69</v>
      </c>
      <c r="U42" t="s">
        <v>210</v>
      </c>
      <c r="V42">
        <v>81200</v>
      </c>
      <c r="W42" t="s">
        <v>48</v>
      </c>
      <c r="X42" t="s">
        <v>211</v>
      </c>
      <c r="Y42" t="s">
        <v>54</v>
      </c>
      <c r="Z42" s="12">
        <f>IF(N42&lt;=1,9,9+0.8*ROUNDUP(N42-1,0))</f>
        <v>9</v>
      </c>
      <c r="AA42" s="11">
        <v>-2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0.42</v>
      </c>
      <c r="AG42" s="11">
        <f t="shared" si="1"/>
        <v>7.42</v>
      </c>
      <c r="AH42" s="11">
        <v>0</v>
      </c>
      <c r="AI42" s="11">
        <f t="shared" si="2"/>
        <v>7.42</v>
      </c>
      <c r="AJ42" t="s">
        <v>62</v>
      </c>
    </row>
    <row r="43" spans="1:36" ht="15" customHeight="1" x14ac:dyDescent="0.35">
      <c r="A43">
        <v>10428918</v>
      </c>
      <c r="B43" t="s">
        <v>36</v>
      </c>
      <c r="C43" t="s">
        <v>37</v>
      </c>
      <c r="D43" s="6" t="s">
        <v>38</v>
      </c>
      <c r="E43" t="s">
        <v>212</v>
      </c>
      <c r="F43" t="s">
        <v>40</v>
      </c>
      <c r="G43" t="s">
        <v>41</v>
      </c>
      <c r="H43" t="s">
        <v>213</v>
      </c>
      <c r="I43" t="s">
        <v>43</v>
      </c>
      <c r="J43">
        <v>2</v>
      </c>
      <c r="K43" t="s">
        <v>44</v>
      </c>
      <c r="L43" t="s">
        <v>45</v>
      </c>
      <c r="M43" t="s">
        <v>46</v>
      </c>
      <c r="N43" s="7">
        <v>1</v>
      </c>
      <c r="O43" s="8">
        <v>45640.811018518521</v>
      </c>
      <c r="P43" s="9">
        <v>45642</v>
      </c>
      <c r="Q43" t="s">
        <v>74</v>
      </c>
      <c r="R43" t="s">
        <v>48</v>
      </c>
      <c r="S43" t="s">
        <v>49</v>
      </c>
      <c r="T43" t="s">
        <v>90</v>
      </c>
      <c r="U43" t="s">
        <v>214</v>
      </c>
      <c r="V43">
        <v>24300</v>
      </c>
      <c r="W43" t="s">
        <v>48</v>
      </c>
      <c r="X43" t="s">
        <v>92</v>
      </c>
      <c r="Y43" t="s">
        <v>54</v>
      </c>
      <c r="Z43" s="12">
        <f>IF(N43&lt;=1,9,9+0.8*ROUNDUP(N43-1,0))</f>
        <v>9</v>
      </c>
      <c r="AA43" s="11">
        <v>-2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0.42</v>
      </c>
      <c r="AG43" s="11">
        <f t="shared" si="1"/>
        <v>7.42</v>
      </c>
      <c r="AH43" s="11">
        <v>0</v>
      </c>
      <c r="AI43" s="11">
        <f t="shared" si="2"/>
        <v>7.42</v>
      </c>
      <c r="AJ43" t="s">
        <v>62</v>
      </c>
    </row>
    <row r="44" spans="1:36" ht="15" customHeight="1" x14ac:dyDescent="0.35">
      <c r="A44">
        <v>10428918</v>
      </c>
      <c r="B44" t="s">
        <v>36</v>
      </c>
      <c r="C44" t="s">
        <v>37</v>
      </c>
      <c r="D44" s="6" t="s">
        <v>38</v>
      </c>
      <c r="E44" t="s">
        <v>215</v>
      </c>
      <c r="F44" t="s">
        <v>40</v>
      </c>
      <c r="G44" t="s">
        <v>41</v>
      </c>
      <c r="H44" t="s">
        <v>216</v>
      </c>
      <c r="I44" t="s">
        <v>43</v>
      </c>
      <c r="J44">
        <v>2</v>
      </c>
      <c r="K44" t="s">
        <v>44</v>
      </c>
      <c r="L44" t="s">
        <v>45</v>
      </c>
      <c r="M44" t="s">
        <v>46</v>
      </c>
      <c r="N44" s="7">
        <v>1</v>
      </c>
      <c r="O44" s="8">
        <v>45640.799039351848</v>
      </c>
      <c r="P44" s="9">
        <v>45642</v>
      </c>
      <c r="Q44" t="s">
        <v>74</v>
      </c>
      <c r="R44" t="s">
        <v>48</v>
      </c>
      <c r="S44" t="s">
        <v>49</v>
      </c>
      <c r="T44" t="s">
        <v>75</v>
      </c>
      <c r="U44" t="s">
        <v>217</v>
      </c>
      <c r="V44">
        <v>26050</v>
      </c>
      <c r="W44" t="s">
        <v>48</v>
      </c>
      <c r="X44" t="s">
        <v>77</v>
      </c>
      <c r="Y44" t="s">
        <v>54</v>
      </c>
      <c r="Z44" s="12">
        <f>IF(N44&lt;=1,9,9+0.8*ROUNDUP(N44-1,0))</f>
        <v>9</v>
      </c>
      <c r="AA44" s="11">
        <v>-2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0.42</v>
      </c>
      <c r="AG44" s="11">
        <f t="shared" si="1"/>
        <v>7.42</v>
      </c>
      <c r="AH44" s="11">
        <v>0</v>
      </c>
      <c r="AI44" s="11">
        <f t="shared" si="2"/>
        <v>7.42</v>
      </c>
      <c r="AJ44" t="s">
        <v>62</v>
      </c>
    </row>
    <row r="45" spans="1:36" ht="15" customHeight="1" x14ac:dyDescent="0.35">
      <c r="A45">
        <v>10428918</v>
      </c>
      <c r="B45" t="s">
        <v>36</v>
      </c>
      <c r="C45" t="s">
        <v>37</v>
      </c>
      <c r="D45" s="6" t="s">
        <v>38</v>
      </c>
      <c r="E45" t="s">
        <v>218</v>
      </c>
      <c r="F45" t="s">
        <v>40</v>
      </c>
      <c r="G45" t="s">
        <v>41</v>
      </c>
      <c r="H45" t="s">
        <v>219</v>
      </c>
      <c r="I45" t="s">
        <v>43</v>
      </c>
      <c r="J45">
        <v>2</v>
      </c>
      <c r="K45" t="s">
        <v>44</v>
      </c>
      <c r="L45" t="s">
        <v>45</v>
      </c>
      <c r="M45" t="s">
        <v>46</v>
      </c>
      <c r="N45" s="7">
        <v>1</v>
      </c>
      <c r="O45" s="8">
        <v>45640.811018518521</v>
      </c>
      <c r="P45" s="9">
        <v>45642</v>
      </c>
      <c r="Q45" t="s">
        <v>74</v>
      </c>
      <c r="R45" t="s">
        <v>48</v>
      </c>
      <c r="S45" t="s">
        <v>49</v>
      </c>
      <c r="T45" t="s">
        <v>90</v>
      </c>
      <c r="U45" t="s">
        <v>220</v>
      </c>
      <c r="V45">
        <v>24000</v>
      </c>
      <c r="W45" t="s">
        <v>48</v>
      </c>
      <c r="X45" t="s">
        <v>77</v>
      </c>
      <c r="Y45" t="s">
        <v>54</v>
      </c>
      <c r="Z45" s="12">
        <f>IF(N45&lt;=1,9,9+0.8*ROUNDUP(N45-1,0))</f>
        <v>9</v>
      </c>
      <c r="AA45" s="11">
        <v>-2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s="11">
        <v>0</v>
      </c>
      <c r="AI45" s="11">
        <f t="shared" si="2"/>
        <v>7.42</v>
      </c>
      <c r="AJ45" t="s">
        <v>62</v>
      </c>
    </row>
    <row r="46" spans="1:36" ht="15" customHeight="1" x14ac:dyDescent="0.35">
      <c r="A46">
        <v>10428918</v>
      </c>
      <c r="B46" t="s">
        <v>36</v>
      </c>
      <c r="C46" t="s">
        <v>37</v>
      </c>
      <c r="D46" s="6" t="s">
        <v>38</v>
      </c>
      <c r="E46" t="s">
        <v>221</v>
      </c>
      <c r="F46" t="s">
        <v>40</v>
      </c>
      <c r="G46" t="s">
        <v>41</v>
      </c>
      <c r="H46" t="s">
        <v>222</v>
      </c>
      <c r="I46" t="s">
        <v>43</v>
      </c>
      <c r="J46">
        <v>2</v>
      </c>
      <c r="K46" t="s">
        <v>44</v>
      </c>
      <c r="L46" t="s">
        <v>45</v>
      </c>
      <c r="M46" t="s">
        <v>46</v>
      </c>
      <c r="N46" s="7">
        <v>1</v>
      </c>
      <c r="O46" s="8">
        <v>45640.852511574078</v>
      </c>
      <c r="P46" s="9">
        <v>45642</v>
      </c>
      <c r="Q46" t="s">
        <v>74</v>
      </c>
      <c r="R46" t="s">
        <v>48</v>
      </c>
      <c r="S46" t="s">
        <v>49</v>
      </c>
      <c r="T46" t="s">
        <v>117</v>
      </c>
      <c r="U46" t="s">
        <v>223</v>
      </c>
      <c r="V46">
        <v>63000</v>
      </c>
      <c r="W46" t="s">
        <v>48</v>
      </c>
      <c r="X46" t="s">
        <v>224</v>
      </c>
      <c r="Y46" t="s">
        <v>54</v>
      </c>
      <c r="Z46" s="12">
        <f>IF(N46&lt;=1,9,9+0.8*ROUNDUP(N46-1,0))</f>
        <v>9</v>
      </c>
      <c r="AA46" s="11">
        <v>-2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0.42</v>
      </c>
      <c r="AG46" s="11">
        <f t="shared" si="1"/>
        <v>7.42</v>
      </c>
      <c r="AH46" s="11">
        <v>0</v>
      </c>
      <c r="AI46" s="11">
        <f t="shared" si="2"/>
        <v>7.42</v>
      </c>
      <c r="AJ46" t="s">
        <v>62</v>
      </c>
    </row>
    <row r="47" spans="1:36" ht="15" customHeight="1" x14ac:dyDescent="0.35">
      <c r="A47">
        <v>10428918</v>
      </c>
      <c r="B47" t="s">
        <v>36</v>
      </c>
      <c r="C47" t="s">
        <v>37</v>
      </c>
      <c r="D47" s="6" t="s">
        <v>38</v>
      </c>
      <c r="E47" t="s">
        <v>225</v>
      </c>
      <c r="F47" t="s">
        <v>40</v>
      </c>
      <c r="G47" t="s">
        <v>41</v>
      </c>
      <c r="H47" t="s">
        <v>226</v>
      </c>
      <c r="I47" t="s">
        <v>43</v>
      </c>
      <c r="J47">
        <v>2</v>
      </c>
      <c r="K47" t="s">
        <v>44</v>
      </c>
      <c r="L47" t="s">
        <v>45</v>
      </c>
      <c r="M47" t="s">
        <v>46</v>
      </c>
      <c r="N47" s="7">
        <v>9</v>
      </c>
      <c r="O47" s="8">
        <v>45641.418958333335</v>
      </c>
      <c r="P47" s="9">
        <v>45642</v>
      </c>
      <c r="Q47" t="s">
        <v>74</v>
      </c>
      <c r="R47" t="s">
        <v>48</v>
      </c>
      <c r="S47" t="s">
        <v>49</v>
      </c>
      <c r="T47" t="s">
        <v>117</v>
      </c>
      <c r="U47" t="s">
        <v>227</v>
      </c>
      <c r="V47">
        <v>43000</v>
      </c>
      <c r="W47" t="s">
        <v>48</v>
      </c>
      <c r="X47" t="s">
        <v>228</v>
      </c>
      <c r="Y47" t="s">
        <v>54</v>
      </c>
      <c r="Z47" s="12">
        <f>IF(N47&lt;=1,9,9+0.8*ROUNDUP(N47-1,0))</f>
        <v>15.4</v>
      </c>
      <c r="AA47" s="11">
        <v>-2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0.80399999999999994</v>
      </c>
      <c r="AG47" s="11">
        <f t="shared" si="1"/>
        <v>14.204000000000001</v>
      </c>
      <c r="AH47" s="11">
        <v>0</v>
      </c>
      <c r="AI47" s="11">
        <f t="shared" si="2"/>
        <v>14.204000000000001</v>
      </c>
      <c r="AJ47" t="s">
        <v>62</v>
      </c>
    </row>
    <row r="48" spans="1:36" ht="15" customHeight="1" x14ac:dyDescent="0.35">
      <c r="A48">
        <v>10428918</v>
      </c>
      <c r="B48" t="s">
        <v>36</v>
      </c>
      <c r="C48" t="s">
        <v>37</v>
      </c>
      <c r="D48" s="6" t="s">
        <v>38</v>
      </c>
      <c r="E48" t="s">
        <v>229</v>
      </c>
      <c r="F48" t="s">
        <v>40</v>
      </c>
      <c r="G48" t="s">
        <v>41</v>
      </c>
      <c r="H48" t="s">
        <v>230</v>
      </c>
      <c r="I48" t="s">
        <v>43</v>
      </c>
      <c r="J48">
        <v>2</v>
      </c>
      <c r="K48" t="s">
        <v>44</v>
      </c>
      <c r="L48" t="s">
        <v>45</v>
      </c>
      <c r="M48" t="s">
        <v>46</v>
      </c>
      <c r="N48" s="7">
        <v>2</v>
      </c>
      <c r="O48" s="8">
        <v>45640.799027777779</v>
      </c>
      <c r="P48" s="9">
        <v>45642</v>
      </c>
      <c r="Q48" t="s">
        <v>74</v>
      </c>
      <c r="R48" t="s">
        <v>48</v>
      </c>
      <c r="S48" t="s">
        <v>49</v>
      </c>
      <c r="T48" t="s">
        <v>117</v>
      </c>
      <c r="U48" t="s">
        <v>231</v>
      </c>
      <c r="V48">
        <v>47120</v>
      </c>
      <c r="W48" t="s">
        <v>48</v>
      </c>
      <c r="X48" t="s">
        <v>232</v>
      </c>
      <c r="Y48" t="s">
        <v>54</v>
      </c>
      <c r="Z48" s="12">
        <f>IF(N48&lt;=1,9,9+0.8*ROUNDUP(N48-1,0))</f>
        <v>9.8000000000000007</v>
      </c>
      <c r="AA48" s="11">
        <v>-2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0.46800000000000003</v>
      </c>
      <c r="AG48" s="11">
        <f t="shared" si="1"/>
        <v>8.2680000000000007</v>
      </c>
      <c r="AH48" s="11">
        <v>0</v>
      </c>
      <c r="AI48" s="11">
        <f t="shared" si="2"/>
        <v>8.2680000000000007</v>
      </c>
      <c r="AJ48" t="s">
        <v>62</v>
      </c>
    </row>
    <row r="49" spans="1:36" ht="15" customHeight="1" x14ac:dyDescent="0.35">
      <c r="A49">
        <v>10428918</v>
      </c>
      <c r="B49" t="s">
        <v>36</v>
      </c>
      <c r="C49" t="s">
        <v>37</v>
      </c>
      <c r="D49" s="6" t="s">
        <v>38</v>
      </c>
      <c r="E49" t="s">
        <v>233</v>
      </c>
      <c r="F49" t="s">
        <v>40</v>
      </c>
      <c r="G49" t="s">
        <v>41</v>
      </c>
      <c r="H49" t="s">
        <v>234</v>
      </c>
      <c r="I49" t="s">
        <v>43</v>
      </c>
      <c r="J49">
        <v>2</v>
      </c>
      <c r="K49" t="s">
        <v>44</v>
      </c>
      <c r="L49" t="s">
        <v>45</v>
      </c>
      <c r="M49" t="s">
        <v>46</v>
      </c>
      <c r="N49" s="7">
        <v>1</v>
      </c>
      <c r="O49" s="8">
        <v>45640.820115740738</v>
      </c>
      <c r="P49" s="9">
        <v>45642</v>
      </c>
      <c r="Q49" t="s">
        <v>74</v>
      </c>
      <c r="R49" t="s">
        <v>48</v>
      </c>
      <c r="S49" t="s">
        <v>49</v>
      </c>
      <c r="T49" t="s">
        <v>117</v>
      </c>
      <c r="U49" t="s">
        <v>235</v>
      </c>
      <c r="V49">
        <v>47140</v>
      </c>
      <c r="W49" t="s">
        <v>48</v>
      </c>
      <c r="X49" t="s">
        <v>232</v>
      </c>
      <c r="Y49" t="s">
        <v>54</v>
      </c>
      <c r="Z49" s="12">
        <f>IF(N49&lt;=1,9,9+0.8*ROUNDUP(N49-1,0))</f>
        <v>9</v>
      </c>
      <c r="AA49" s="11">
        <v>-2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s="11">
        <v>0</v>
      </c>
      <c r="AI49" s="11">
        <f t="shared" si="2"/>
        <v>7.42</v>
      </c>
      <c r="AJ49" t="s">
        <v>62</v>
      </c>
    </row>
    <row r="50" spans="1:36" ht="15" customHeight="1" x14ac:dyDescent="0.35">
      <c r="A50">
        <v>10428918</v>
      </c>
      <c r="B50" t="s">
        <v>36</v>
      </c>
      <c r="C50" t="s">
        <v>37</v>
      </c>
      <c r="D50" s="6" t="s">
        <v>38</v>
      </c>
      <c r="E50" t="s">
        <v>236</v>
      </c>
      <c r="F50" t="s">
        <v>40</v>
      </c>
      <c r="G50" t="s">
        <v>41</v>
      </c>
      <c r="H50" t="s">
        <v>237</v>
      </c>
      <c r="I50" t="s">
        <v>43</v>
      </c>
      <c r="J50">
        <v>2</v>
      </c>
      <c r="K50" t="s">
        <v>44</v>
      </c>
      <c r="L50" t="s">
        <v>45</v>
      </c>
      <c r="M50" t="s">
        <v>46</v>
      </c>
      <c r="N50" s="7">
        <v>1</v>
      </c>
      <c r="O50" s="8">
        <v>45641.434814814813</v>
      </c>
      <c r="P50" s="9">
        <v>45642</v>
      </c>
      <c r="Q50" t="s">
        <v>74</v>
      </c>
      <c r="R50" t="s">
        <v>48</v>
      </c>
      <c r="S50" t="s">
        <v>49</v>
      </c>
      <c r="T50" t="s">
        <v>90</v>
      </c>
      <c r="U50" t="s">
        <v>238</v>
      </c>
      <c r="V50">
        <v>21100</v>
      </c>
      <c r="W50" t="s">
        <v>48</v>
      </c>
      <c r="X50" t="s">
        <v>92</v>
      </c>
      <c r="Y50" t="s">
        <v>54</v>
      </c>
      <c r="Z50" s="12">
        <f>IF(N50&lt;=1,9,9+0.8*ROUNDUP(N50-1,0))</f>
        <v>9</v>
      </c>
      <c r="AA50" s="11">
        <v>-2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0.42</v>
      </c>
      <c r="AG50" s="11">
        <f t="shared" si="1"/>
        <v>7.42</v>
      </c>
      <c r="AH50" s="11">
        <v>0</v>
      </c>
      <c r="AI50" s="11">
        <f t="shared" si="2"/>
        <v>7.42</v>
      </c>
      <c r="AJ50" t="s">
        <v>62</v>
      </c>
    </row>
    <row r="51" spans="1:36" ht="15" customHeight="1" x14ac:dyDescent="0.35">
      <c r="A51">
        <v>10428918</v>
      </c>
      <c r="B51" t="s">
        <v>36</v>
      </c>
      <c r="C51" t="s">
        <v>37</v>
      </c>
      <c r="D51" s="6" t="s">
        <v>38</v>
      </c>
      <c r="E51" t="s">
        <v>239</v>
      </c>
      <c r="F51" t="s">
        <v>40</v>
      </c>
      <c r="G51" t="s">
        <v>41</v>
      </c>
      <c r="H51" t="s">
        <v>226</v>
      </c>
      <c r="I51" t="s">
        <v>43</v>
      </c>
      <c r="J51">
        <v>2</v>
      </c>
      <c r="K51" t="s">
        <v>44</v>
      </c>
      <c r="L51" t="s">
        <v>45</v>
      </c>
      <c r="M51" t="s">
        <v>46</v>
      </c>
      <c r="N51" s="7">
        <v>9</v>
      </c>
      <c r="O51" s="8">
        <v>45641.418958333335</v>
      </c>
      <c r="P51" s="9">
        <v>45642</v>
      </c>
      <c r="Q51" t="s">
        <v>74</v>
      </c>
      <c r="R51" t="s">
        <v>48</v>
      </c>
      <c r="S51" t="s">
        <v>49</v>
      </c>
      <c r="T51" t="s">
        <v>117</v>
      </c>
      <c r="U51" t="s">
        <v>227</v>
      </c>
      <c r="V51">
        <v>43000</v>
      </c>
      <c r="W51" t="s">
        <v>48</v>
      </c>
      <c r="X51" t="s">
        <v>228</v>
      </c>
      <c r="Y51" t="s">
        <v>54</v>
      </c>
      <c r="Z51" s="12">
        <f>IF(N51&lt;=1,9,9+0.8*ROUNDUP(N51-1,0))</f>
        <v>15.4</v>
      </c>
      <c r="AA51" s="11">
        <v>-2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0.80399999999999994</v>
      </c>
      <c r="AG51" s="11">
        <f t="shared" si="1"/>
        <v>14.204000000000001</v>
      </c>
      <c r="AH51" s="11">
        <v>0</v>
      </c>
      <c r="AI51" s="11">
        <f t="shared" si="2"/>
        <v>14.204000000000001</v>
      </c>
      <c r="AJ51" t="s">
        <v>62</v>
      </c>
    </row>
    <row r="52" spans="1:36" ht="15" customHeight="1" x14ac:dyDescent="0.35">
      <c r="A52">
        <v>10428918</v>
      </c>
      <c r="B52" t="s">
        <v>36</v>
      </c>
      <c r="C52" t="s">
        <v>37</v>
      </c>
      <c r="D52" s="6" t="s">
        <v>38</v>
      </c>
      <c r="E52" t="s">
        <v>240</v>
      </c>
      <c r="F52" t="s">
        <v>40</v>
      </c>
      <c r="G52" t="s">
        <v>41</v>
      </c>
      <c r="H52" t="s">
        <v>241</v>
      </c>
      <c r="I52" t="s">
        <v>43</v>
      </c>
      <c r="J52">
        <v>2</v>
      </c>
      <c r="K52" t="s">
        <v>44</v>
      </c>
      <c r="L52" t="s">
        <v>45</v>
      </c>
      <c r="M52" t="s">
        <v>46</v>
      </c>
      <c r="N52" s="7">
        <v>3</v>
      </c>
      <c r="O52" s="8">
        <v>45641.434814814813</v>
      </c>
      <c r="P52" s="9">
        <v>45642</v>
      </c>
      <c r="Q52" t="s">
        <v>74</v>
      </c>
      <c r="R52" t="s">
        <v>48</v>
      </c>
      <c r="S52" t="s">
        <v>49</v>
      </c>
      <c r="T52" t="s">
        <v>85</v>
      </c>
      <c r="U52" t="s">
        <v>242</v>
      </c>
      <c r="V52">
        <v>72000</v>
      </c>
      <c r="W52" t="s">
        <v>48</v>
      </c>
      <c r="X52" t="s">
        <v>243</v>
      </c>
      <c r="Y52" t="s">
        <v>54</v>
      </c>
      <c r="Z52" s="12">
        <f>IF(N52&lt;=1,9,9+0.8*ROUNDUP(N52-1,0))</f>
        <v>10.6</v>
      </c>
      <c r="AA52" s="11">
        <v>-2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0.51600000000000001</v>
      </c>
      <c r="AG52" s="11">
        <f t="shared" si="1"/>
        <v>9.1159999999999997</v>
      </c>
      <c r="AH52" s="11">
        <v>0</v>
      </c>
      <c r="AI52" s="11">
        <f t="shared" si="2"/>
        <v>9.1159999999999997</v>
      </c>
      <c r="AJ52" t="s">
        <v>62</v>
      </c>
    </row>
    <row r="53" spans="1:36" ht="15" customHeight="1" x14ac:dyDescent="0.35">
      <c r="A53">
        <v>10428918</v>
      </c>
      <c r="B53" t="s">
        <v>36</v>
      </c>
      <c r="C53" t="s">
        <v>37</v>
      </c>
      <c r="D53" s="6" t="s">
        <v>38</v>
      </c>
      <c r="E53" t="s">
        <v>244</v>
      </c>
      <c r="F53" t="s">
        <v>40</v>
      </c>
      <c r="G53" t="s">
        <v>41</v>
      </c>
      <c r="H53" t="s">
        <v>57</v>
      </c>
      <c r="I53" t="s">
        <v>43</v>
      </c>
      <c r="J53">
        <v>2</v>
      </c>
      <c r="K53" t="s">
        <v>44</v>
      </c>
      <c r="L53" t="s">
        <v>45</v>
      </c>
      <c r="M53" t="s">
        <v>46</v>
      </c>
      <c r="N53" s="7">
        <v>1</v>
      </c>
      <c r="O53" s="8">
        <v>45641.434814814813</v>
      </c>
      <c r="P53" s="9">
        <v>45642</v>
      </c>
      <c r="Q53" t="s">
        <v>74</v>
      </c>
      <c r="R53" t="s">
        <v>48</v>
      </c>
      <c r="S53" t="s">
        <v>49</v>
      </c>
      <c r="T53" t="s">
        <v>59</v>
      </c>
      <c r="U53" t="s">
        <v>60</v>
      </c>
      <c r="V53">
        <v>16200</v>
      </c>
      <c r="W53" t="s">
        <v>48</v>
      </c>
      <c r="X53" t="s">
        <v>61</v>
      </c>
      <c r="Y53" t="s">
        <v>54</v>
      </c>
      <c r="Z53" s="12">
        <f>IF(N53&lt;=1,9,9+0.8*ROUNDUP(N53-1,0))</f>
        <v>9</v>
      </c>
      <c r="AA53" s="11">
        <v>-2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s="11">
        <v>0</v>
      </c>
      <c r="AI53" s="11">
        <f t="shared" si="2"/>
        <v>7.42</v>
      </c>
      <c r="AJ53" t="s">
        <v>62</v>
      </c>
    </row>
    <row r="54" spans="1:36" ht="15" customHeight="1" x14ac:dyDescent="0.35">
      <c r="A54">
        <v>10428918</v>
      </c>
      <c r="B54" t="s">
        <v>36</v>
      </c>
      <c r="C54" t="s">
        <v>37</v>
      </c>
      <c r="D54" s="6" t="s">
        <v>38</v>
      </c>
      <c r="E54" t="s">
        <v>245</v>
      </c>
      <c r="F54" t="s">
        <v>40</v>
      </c>
      <c r="G54" t="s">
        <v>41</v>
      </c>
      <c r="H54" t="s">
        <v>246</v>
      </c>
      <c r="I54" t="s">
        <v>43</v>
      </c>
      <c r="J54">
        <v>2</v>
      </c>
      <c r="K54" t="s">
        <v>44</v>
      </c>
      <c r="L54" t="s">
        <v>45</v>
      </c>
      <c r="M54" t="s">
        <v>46</v>
      </c>
      <c r="N54" s="7">
        <v>2</v>
      </c>
      <c r="O54" s="8">
        <v>45635.410694444443</v>
      </c>
      <c r="P54" s="9">
        <v>45642</v>
      </c>
      <c r="Q54" t="s">
        <v>74</v>
      </c>
      <c r="R54" t="s">
        <v>48</v>
      </c>
      <c r="S54" t="s">
        <v>49</v>
      </c>
      <c r="T54" t="s">
        <v>50</v>
      </c>
      <c r="U54" t="s">
        <v>247</v>
      </c>
      <c r="V54">
        <v>91100</v>
      </c>
      <c r="W54" t="s">
        <v>52</v>
      </c>
      <c r="X54" t="s">
        <v>53</v>
      </c>
      <c r="Y54" t="s">
        <v>54</v>
      </c>
      <c r="Z54" s="10">
        <f>IF(N54&lt;=1,13,IF(N54&lt;=2,23,IF(N54&lt;=3,35,IF(N54&lt;=4,43,IF(N54&lt;=5,53,IF(N54&lt;=6,63,IF(N54&lt;=7,71,IF(N54&lt;=8,79,IF(N54&lt;=9,87,IF(N54&lt;=10,95,IF(N54&lt;=11,105,IF(N54&lt;=12,114,IF(N54&lt;=13,119,IF(N54&lt;=14,127,IF(N54&lt;=15,135,IF(N54&lt;=16,143,IF(N54&lt;=17,153,IF(N54&lt;=18,163,IF(N54&lt;=19,171,IF(N54&lt;=20,185,IF(N54&lt;=21,193,IF(N54&lt;=22,201,IF(N54&lt;=23,210,IF(N54&lt;=24,220,IF(N54&lt;=25,230,IF(N54&lt;=26,240,IF(N54&lt;=27,250,IF(N54&lt;=28,260,IF(N54&lt;=29,270,IF(N54&lt;=30,280,280+10*ROUNDUP(N54-30,0)))))))))))))))))))))))))))))))</f>
        <v>23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1.38</v>
      </c>
      <c r="AG54" s="11">
        <f t="shared" si="1"/>
        <v>24.38</v>
      </c>
      <c r="AH54" s="11">
        <v>0</v>
      </c>
      <c r="AI54" s="11">
        <f t="shared" si="2"/>
        <v>24.38</v>
      </c>
      <c r="AJ54" t="s">
        <v>55</v>
      </c>
    </row>
    <row r="55" spans="1:36" ht="15" customHeight="1" x14ac:dyDescent="0.35">
      <c r="A55">
        <v>10428918</v>
      </c>
      <c r="B55" t="s">
        <v>36</v>
      </c>
      <c r="C55" t="s">
        <v>37</v>
      </c>
      <c r="D55" s="6" t="s">
        <v>38</v>
      </c>
      <c r="E55" t="s">
        <v>248</v>
      </c>
      <c r="F55" t="s">
        <v>40</v>
      </c>
      <c r="G55" t="s">
        <v>41</v>
      </c>
      <c r="H55" t="s">
        <v>249</v>
      </c>
      <c r="I55" t="s">
        <v>43</v>
      </c>
      <c r="J55">
        <v>2</v>
      </c>
      <c r="K55" t="s">
        <v>44</v>
      </c>
      <c r="L55" t="s">
        <v>45</v>
      </c>
      <c r="M55" t="s">
        <v>46</v>
      </c>
      <c r="N55" s="7">
        <v>1</v>
      </c>
      <c r="O55" s="8">
        <v>45640.844942129632</v>
      </c>
      <c r="P55" s="9">
        <v>45642</v>
      </c>
      <c r="Q55" t="s">
        <v>74</v>
      </c>
      <c r="R55" t="s">
        <v>48</v>
      </c>
      <c r="S55" t="s">
        <v>49</v>
      </c>
      <c r="T55" t="s">
        <v>59</v>
      </c>
      <c r="U55" t="s">
        <v>250</v>
      </c>
      <c r="V55">
        <v>16070</v>
      </c>
      <c r="W55" t="s">
        <v>48</v>
      </c>
      <c r="X55" t="s">
        <v>61</v>
      </c>
      <c r="Y55" t="s">
        <v>54</v>
      </c>
      <c r="Z55" s="12">
        <f>IF(N55&lt;=1,9,9+0.8*ROUNDUP(N55-1,0))</f>
        <v>9</v>
      </c>
      <c r="AA55" s="11">
        <v>-2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0.42</v>
      </c>
      <c r="AG55" s="11">
        <f t="shared" si="1"/>
        <v>7.42</v>
      </c>
      <c r="AH55" s="11">
        <v>0</v>
      </c>
      <c r="AI55" s="11">
        <f t="shared" si="2"/>
        <v>7.42</v>
      </c>
      <c r="AJ55" t="s">
        <v>62</v>
      </c>
    </row>
    <row r="56" spans="1:36" ht="15" customHeight="1" x14ac:dyDescent="0.35">
      <c r="A56">
        <v>10428918</v>
      </c>
      <c r="B56" t="s">
        <v>36</v>
      </c>
      <c r="C56" t="s">
        <v>37</v>
      </c>
      <c r="D56" s="6" t="s">
        <v>38</v>
      </c>
      <c r="E56" t="s">
        <v>251</v>
      </c>
      <c r="F56" t="s">
        <v>40</v>
      </c>
      <c r="G56" t="s">
        <v>41</v>
      </c>
      <c r="H56" t="s">
        <v>252</v>
      </c>
      <c r="I56" t="s">
        <v>43</v>
      </c>
      <c r="J56">
        <v>2</v>
      </c>
      <c r="K56" t="s">
        <v>44</v>
      </c>
      <c r="L56" t="s">
        <v>45</v>
      </c>
      <c r="M56" t="s">
        <v>46</v>
      </c>
      <c r="N56" s="7">
        <v>1</v>
      </c>
      <c r="O56" s="8">
        <v>45640.811018518521</v>
      </c>
      <c r="P56" s="9">
        <v>45642</v>
      </c>
      <c r="Q56" t="s">
        <v>74</v>
      </c>
      <c r="R56" t="s">
        <v>48</v>
      </c>
      <c r="S56" t="s">
        <v>49</v>
      </c>
      <c r="T56" t="s">
        <v>117</v>
      </c>
      <c r="U56" t="s">
        <v>253</v>
      </c>
      <c r="V56">
        <v>48000</v>
      </c>
      <c r="W56" t="s">
        <v>48</v>
      </c>
      <c r="X56" t="s">
        <v>254</v>
      </c>
      <c r="Y56" t="s">
        <v>54</v>
      </c>
      <c r="Z56" s="12">
        <f>IF(N56&lt;=1,9,9+0.8*ROUNDUP(N56-1,0))</f>
        <v>9</v>
      </c>
      <c r="AA56" s="11">
        <v>-2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s="11">
        <v>0</v>
      </c>
      <c r="AI56" s="11">
        <f t="shared" si="2"/>
        <v>7.42</v>
      </c>
      <c r="AJ56" t="s">
        <v>62</v>
      </c>
    </row>
    <row r="57" spans="1:36" ht="15" customHeight="1" x14ac:dyDescent="0.35">
      <c r="A57">
        <v>10428918</v>
      </c>
      <c r="B57" t="s">
        <v>36</v>
      </c>
      <c r="C57" t="s">
        <v>37</v>
      </c>
      <c r="D57" s="6" t="s">
        <v>38</v>
      </c>
      <c r="E57" t="s">
        <v>255</v>
      </c>
      <c r="F57" t="s">
        <v>40</v>
      </c>
      <c r="G57" t="s">
        <v>41</v>
      </c>
      <c r="H57" t="s">
        <v>256</v>
      </c>
      <c r="I57" t="s">
        <v>43</v>
      </c>
      <c r="J57">
        <v>2</v>
      </c>
      <c r="K57" t="s">
        <v>44</v>
      </c>
      <c r="L57" t="s">
        <v>45</v>
      </c>
      <c r="M57" t="s">
        <v>46</v>
      </c>
      <c r="N57" s="7">
        <v>1</v>
      </c>
      <c r="O57" s="8">
        <v>45640.652083333334</v>
      </c>
      <c r="P57" s="9">
        <v>45642</v>
      </c>
      <c r="Q57" t="s">
        <v>74</v>
      </c>
      <c r="R57" t="s">
        <v>48</v>
      </c>
      <c r="S57" t="s">
        <v>49</v>
      </c>
      <c r="T57" t="s">
        <v>117</v>
      </c>
      <c r="U57" t="s">
        <v>257</v>
      </c>
      <c r="V57">
        <v>45400</v>
      </c>
      <c r="W57" t="s">
        <v>48</v>
      </c>
      <c r="X57" t="s">
        <v>258</v>
      </c>
      <c r="Y57" t="s">
        <v>54</v>
      </c>
      <c r="Z57" s="12">
        <f>IF(N57&lt;=1,9,9+0.8*ROUNDUP(N57-1,0))</f>
        <v>9</v>
      </c>
      <c r="AA57" s="11">
        <v>-2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s="11">
        <v>0</v>
      </c>
      <c r="AI57" s="11">
        <f t="shared" si="2"/>
        <v>7.42</v>
      </c>
      <c r="AJ57" t="s">
        <v>62</v>
      </c>
    </row>
    <row r="58" spans="1:36" ht="15" customHeight="1" x14ac:dyDescent="0.35">
      <c r="A58">
        <v>10428918</v>
      </c>
      <c r="B58" t="s">
        <v>36</v>
      </c>
      <c r="C58" t="s">
        <v>37</v>
      </c>
      <c r="D58" s="6" t="s">
        <v>38</v>
      </c>
      <c r="E58" t="s">
        <v>259</v>
      </c>
      <c r="F58" t="s">
        <v>40</v>
      </c>
      <c r="G58" t="s">
        <v>41</v>
      </c>
      <c r="H58" t="s">
        <v>226</v>
      </c>
      <c r="I58" t="s">
        <v>43</v>
      </c>
      <c r="J58">
        <v>2</v>
      </c>
      <c r="K58" t="s">
        <v>44</v>
      </c>
      <c r="L58" t="s">
        <v>45</v>
      </c>
      <c r="M58" t="s">
        <v>46</v>
      </c>
      <c r="N58" s="7">
        <v>9</v>
      </c>
      <c r="O58" s="8">
        <v>45641.418958333335</v>
      </c>
      <c r="P58" s="9">
        <v>45642</v>
      </c>
      <c r="Q58" t="s">
        <v>74</v>
      </c>
      <c r="R58" t="s">
        <v>48</v>
      </c>
      <c r="S58" t="s">
        <v>49</v>
      </c>
      <c r="T58" t="s">
        <v>117</v>
      </c>
      <c r="U58" t="s">
        <v>227</v>
      </c>
      <c r="V58">
        <v>43000</v>
      </c>
      <c r="W58" t="s">
        <v>48</v>
      </c>
      <c r="X58" t="s">
        <v>228</v>
      </c>
      <c r="Y58" t="s">
        <v>54</v>
      </c>
      <c r="Z58" s="12">
        <f>IF(N58&lt;=1,9,9+0.8*ROUNDUP(N58-1,0))</f>
        <v>15.4</v>
      </c>
      <c r="AA58" s="11">
        <v>-2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0.80399999999999994</v>
      </c>
      <c r="AG58" s="11">
        <f t="shared" si="1"/>
        <v>14.204000000000001</v>
      </c>
      <c r="AH58" s="11">
        <v>0</v>
      </c>
      <c r="AI58" s="11">
        <f t="shared" si="2"/>
        <v>14.204000000000001</v>
      </c>
      <c r="AJ58" t="s">
        <v>62</v>
      </c>
    </row>
    <row r="59" spans="1:36" ht="15" customHeight="1" x14ac:dyDescent="0.35">
      <c r="A59">
        <v>10428918</v>
      </c>
      <c r="B59" t="s">
        <v>36</v>
      </c>
      <c r="C59" t="s">
        <v>37</v>
      </c>
      <c r="D59" s="6" t="s">
        <v>38</v>
      </c>
      <c r="E59" t="s">
        <v>260</v>
      </c>
      <c r="F59" t="s">
        <v>40</v>
      </c>
      <c r="G59" t="s">
        <v>41</v>
      </c>
      <c r="H59" t="s">
        <v>261</v>
      </c>
      <c r="I59" t="s">
        <v>43</v>
      </c>
      <c r="J59">
        <v>2</v>
      </c>
      <c r="K59" t="s">
        <v>44</v>
      </c>
      <c r="L59" t="s">
        <v>45</v>
      </c>
      <c r="M59" t="s">
        <v>46</v>
      </c>
      <c r="N59" s="7">
        <v>1</v>
      </c>
      <c r="O59" s="8">
        <v>45636.440381944441</v>
      </c>
      <c r="P59" s="9">
        <v>45642</v>
      </c>
      <c r="Q59" t="s">
        <v>74</v>
      </c>
      <c r="R59" t="s">
        <v>48</v>
      </c>
      <c r="S59" t="s">
        <v>49</v>
      </c>
      <c r="T59" t="s">
        <v>85</v>
      </c>
      <c r="U59" t="s">
        <v>262</v>
      </c>
      <c r="V59">
        <v>71300</v>
      </c>
      <c r="W59" t="s">
        <v>48</v>
      </c>
      <c r="X59" t="s">
        <v>53</v>
      </c>
      <c r="Y59" t="s">
        <v>54</v>
      </c>
      <c r="Z59" s="12">
        <f>IF(N59&lt;=1,9,9+0.8*ROUNDUP(N59-1,0))</f>
        <v>9</v>
      </c>
      <c r="AA59" s="11">
        <v>-2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0.42</v>
      </c>
      <c r="AG59" s="11">
        <f t="shared" si="1"/>
        <v>7.42</v>
      </c>
      <c r="AH59" s="11">
        <v>0</v>
      </c>
      <c r="AI59" s="11">
        <f t="shared" si="2"/>
        <v>7.42</v>
      </c>
      <c r="AJ59" t="s">
        <v>62</v>
      </c>
    </row>
    <row r="60" spans="1:36" ht="15" customHeight="1" x14ac:dyDescent="0.35">
      <c r="A60">
        <v>10428918</v>
      </c>
      <c r="B60" t="s">
        <v>36</v>
      </c>
      <c r="C60" t="s">
        <v>37</v>
      </c>
      <c r="D60" s="6" t="s">
        <v>38</v>
      </c>
      <c r="E60" t="s">
        <v>263</v>
      </c>
      <c r="F60" t="s">
        <v>40</v>
      </c>
      <c r="G60" t="s">
        <v>41</v>
      </c>
      <c r="H60" t="s">
        <v>264</v>
      </c>
      <c r="I60" t="s">
        <v>43</v>
      </c>
      <c r="J60">
        <v>2</v>
      </c>
      <c r="K60" t="s">
        <v>44</v>
      </c>
      <c r="L60" t="s">
        <v>45</v>
      </c>
      <c r="M60" t="s">
        <v>46</v>
      </c>
      <c r="N60" s="7">
        <v>1</v>
      </c>
      <c r="O60" s="8">
        <v>45640.799027777779</v>
      </c>
      <c r="P60" s="9">
        <v>45642</v>
      </c>
      <c r="Q60" t="s">
        <v>74</v>
      </c>
      <c r="R60" t="s">
        <v>48</v>
      </c>
      <c r="S60" t="s">
        <v>49</v>
      </c>
      <c r="T60" t="s">
        <v>85</v>
      </c>
      <c r="U60" t="s">
        <v>265</v>
      </c>
      <c r="V60">
        <v>71800</v>
      </c>
      <c r="W60" t="s">
        <v>48</v>
      </c>
      <c r="X60" t="s">
        <v>266</v>
      </c>
      <c r="Y60" t="s">
        <v>54</v>
      </c>
      <c r="Z60" s="12">
        <f>IF(N60&lt;=1,9,9+0.8*ROUNDUP(N60-1,0))</f>
        <v>9</v>
      </c>
      <c r="AA60" s="11">
        <v>-2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0.42</v>
      </c>
      <c r="AG60" s="11">
        <f t="shared" si="1"/>
        <v>7.42</v>
      </c>
      <c r="AH60" s="11">
        <v>0</v>
      </c>
      <c r="AI60" s="11">
        <f t="shared" si="2"/>
        <v>7.42</v>
      </c>
      <c r="AJ60" t="s">
        <v>62</v>
      </c>
    </row>
    <row r="61" spans="1:36" ht="15" customHeight="1" x14ac:dyDescent="0.35">
      <c r="A61">
        <v>10428918</v>
      </c>
      <c r="B61" t="s">
        <v>36</v>
      </c>
      <c r="C61" t="s">
        <v>37</v>
      </c>
      <c r="D61" s="6" t="s">
        <v>38</v>
      </c>
      <c r="E61" t="s">
        <v>267</v>
      </c>
      <c r="F61" t="s">
        <v>40</v>
      </c>
      <c r="G61" t="s">
        <v>41</v>
      </c>
      <c r="H61" t="s">
        <v>268</v>
      </c>
      <c r="I61" t="s">
        <v>43</v>
      </c>
      <c r="J61">
        <v>2</v>
      </c>
      <c r="K61" t="s">
        <v>44</v>
      </c>
      <c r="L61" t="s">
        <v>45</v>
      </c>
      <c r="M61" t="s">
        <v>46</v>
      </c>
      <c r="N61" s="7">
        <v>1</v>
      </c>
      <c r="O61" s="8">
        <v>45640.811018518521</v>
      </c>
      <c r="P61" s="9">
        <v>45642</v>
      </c>
      <c r="Q61" t="s">
        <v>74</v>
      </c>
      <c r="R61" t="s">
        <v>48</v>
      </c>
      <c r="S61" t="s">
        <v>49</v>
      </c>
      <c r="T61" t="s">
        <v>90</v>
      </c>
      <c r="U61" t="s">
        <v>269</v>
      </c>
      <c r="V61">
        <v>20050</v>
      </c>
      <c r="W61" t="s">
        <v>48</v>
      </c>
      <c r="X61" t="s">
        <v>92</v>
      </c>
      <c r="Y61" t="s">
        <v>54</v>
      </c>
      <c r="Z61" s="12">
        <f>IF(N61&lt;=1,9,9+0.8*ROUNDUP(N61-1,0))</f>
        <v>9</v>
      </c>
      <c r="AA61" s="11">
        <v>-2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0.42</v>
      </c>
      <c r="AG61" s="11">
        <f t="shared" si="1"/>
        <v>7.42</v>
      </c>
      <c r="AH61" s="11">
        <v>0</v>
      </c>
      <c r="AI61" s="11">
        <f t="shared" si="2"/>
        <v>7.42</v>
      </c>
      <c r="AJ61" t="s">
        <v>62</v>
      </c>
    </row>
    <row r="62" spans="1:36" ht="15" customHeight="1" x14ac:dyDescent="0.35">
      <c r="A62">
        <v>10428918</v>
      </c>
      <c r="B62" t="s">
        <v>36</v>
      </c>
      <c r="C62" t="s">
        <v>37</v>
      </c>
      <c r="D62" s="6" t="s">
        <v>38</v>
      </c>
      <c r="E62" t="s">
        <v>270</v>
      </c>
      <c r="F62" t="s">
        <v>40</v>
      </c>
      <c r="G62" t="s">
        <v>41</v>
      </c>
      <c r="H62" t="s">
        <v>271</v>
      </c>
      <c r="I62" t="s">
        <v>43</v>
      </c>
      <c r="J62">
        <v>2</v>
      </c>
      <c r="K62" t="s">
        <v>44</v>
      </c>
      <c r="L62" t="s">
        <v>45</v>
      </c>
      <c r="M62" t="s">
        <v>46</v>
      </c>
      <c r="N62" s="7">
        <v>1</v>
      </c>
      <c r="O62" s="8">
        <v>45640.799039351848</v>
      </c>
      <c r="P62" s="9">
        <v>45642</v>
      </c>
      <c r="Q62" t="s">
        <v>74</v>
      </c>
      <c r="R62" t="s">
        <v>48</v>
      </c>
      <c r="S62" t="s">
        <v>49</v>
      </c>
      <c r="T62" t="s">
        <v>117</v>
      </c>
      <c r="U62" t="s">
        <v>272</v>
      </c>
      <c r="V62">
        <v>48200</v>
      </c>
      <c r="W62" t="s">
        <v>48</v>
      </c>
      <c r="X62" t="s">
        <v>254</v>
      </c>
      <c r="Y62" t="s">
        <v>54</v>
      </c>
      <c r="Z62" s="12">
        <f>IF(N62&lt;=1,9,9+0.8*ROUNDUP(N62-1,0))</f>
        <v>9</v>
      </c>
      <c r="AA62" s="11">
        <v>-2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0.42</v>
      </c>
      <c r="AG62" s="11">
        <f t="shared" si="1"/>
        <v>7.42</v>
      </c>
      <c r="AH62" s="11">
        <v>0</v>
      </c>
      <c r="AI62" s="11">
        <f t="shared" si="2"/>
        <v>7.42</v>
      </c>
      <c r="AJ62" t="s">
        <v>62</v>
      </c>
    </row>
    <row r="63" spans="1:36" ht="15" customHeight="1" x14ac:dyDescent="0.35">
      <c r="A63">
        <v>10428918</v>
      </c>
      <c r="B63" t="s">
        <v>36</v>
      </c>
      <c r="C63" t="s">
        <v>37</v>
      </c>
      <c r="D63" s="6" t="s">
        <v>38</v>
      </c>
      <c r="E63" t="s">
        <v>273</v>
      </c>
      <c r="F63" t="s">
        <v>40</v>
      </c>
      <c r="G63" t="s">
        <v>41</v>
      </c>
      <c r="H63" t="s">
        <v>274</v>
      </c>
      <c r="I63" t="s">
        <v>43</v>
      </c>
      <c r="J63">
        <v>2</v>
      </c>
      <c r="K63" t="s">
        <v>44</v>
      </c>
      <c r="L63" t="s">
        <v>45</v>
      </c>
      <c r="M63" t="s">
        <v>46</v>
      </c>
      <c r="N63" s="7">
        <v>2</v>
      </c>
      <c r="O63" s="8">
        <v>45640.820127314815</v>
      </c>
      <c r="P63" s="9">
        <v>45642</v>
      </c>
      <c r="Q63" t="s">
        <v>74</v>
      </c>
      <c r="R63" t="s">
        <v>48</v>
      </c>
      <c r="S63" t="s">
        <v>49</v>
      </c>
      <c r="T63" t="s">
        <v>59</v>
      </c>
      <c r="U63" t="s">
        <v>275</v>
      </c>
      <c r="V63">
        <v>16150</v>
      </c>
      <c r="W63" t="s">
        <v>48</v>
      </c>
      <c r="X63" t="s">
        <v>61</v>
      </c>
      <c r="Y63" t="s">
        <v>54</v>
      </c>
      <c r="Z63" s="12">
        <f>IF(N63&lt;=1,9,9+0.8*ROUNDUP(N63-1,0))</f>
        <v>9.8000000000000007</v>
      </c>
      <c r="AA63" s="11">
        <v>-2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0.46800000000000003</v>
      </c>
      <c r="AG63" s="11">
        <f t="shared" si="1"/>
        <v>8.2680000000000007</v>
      </c>
      <c r="AH63" s="11">
        <v>0</v>
      </c>
      <c r="AI63" s="11">
        <f t="shared" si="2"/>
        <v>8.2680000000000007</v>
      </c>
      <c r="AJ63" t="s">
        <v>62</v>
      </c>
    </row>
    <row r="64" spans="1:36" ht="15" customHeight="1" x14ac:dyDescent="0.35">
      <c r="A64">
        <v>10428918</v>
      </c>
      <c r="B64" t="s">
        <v>36</v>
      </c>
      <c r="C64" t="s">
        <v>37</v>
      </c>
      <c r="D64" s="6" t="s">
        <v>38</v>
      </c>
      <c r="E64" t="s">
        <v>276</v>
      </c>
      <c r="F64" t="s">
        <v>40</v>
      </c>
      <c r="G64" t="s">
        <v>41</v>
      </c>
      <c r="H64" t="s">
        <v>277</v>
      </c>
      <c r="I64" t="s">
        <v>43</v>
      </c>
      <c r="J64">
        <v>2</v>
      </c>
      <c r="K64" t="s">
        <v>44</v>
      </c>
      <c r="L64" t="s">
        <v>45</v>
      </c>
      <c r="M64" t="s">
        <v>46</v>
      </c>
      <c r="N64" s="7">
        <v>1</v>
      </c>
      <c r="O64" s="8">
        <v>45638.511296296296</v>
      </c>
      <c r="P64" s="9">
        <v>45642</v>
      </c>
      <c r="Q64" t="s">
        <v>47</v>
      </c>
      <c r="R64" t="s">
        <v>48</v>
      </c>
      <c r="S64" t="s">
        <v>49</v>
      </c>
      <c r="T64" t="s">
        <v>278</v>
      </c>
      <c r="U64" t="s">
        <v>279</v>
      </c>
      <c r="V64">
        <v>93050</v>
      </c>
      <c r="W64" t="s">
        <v>52</v>
      </c>
      <c r="X64" t="s">
        <v>53</v>
      </c>
      <c r="Y64" t="s">
        <v>54</v>
      </c>
      <c r="Z64" s="10">
        <f>IF(N64&lt;=1,13,IF(N64&lt;=2,23,IF(N64&lt;=3,35,IF(N64&lt;=4,43,IF(N64&lt;=5,53,IF(N64&lt;=6,63,IF(N64&lt;=7,71,IF(N64&lt;=8,79,IF(N64&lt;=9,87,IF(N64&lt;=10,95,IF(N64&lt;=11,105,IF(N64&lt;=12,114,IF(N64&lt;=13,119,IF(N64&lt;=14,127,IF(N64&lt;=15,135,IF(N64&lt;=16,143,IF(N64&lt;=17,153,IF(N64&lt;=18,163,IF(N64&lt;=19,171,IF(N64&lt;=20,185,IF(N64&lt;=21,193,IF(N64&lt;=22,201,IF(N64&lt;=23,210,IF(N64&lt;=24,220,IF(N64&lt;=25,230,IF(N64&lt;=26,240,IF(N64&lt;=27,250,IF(N64&lt;=28,260,IF(N64&lt;=29,270,IF(N64&lt;=30,280,280+10*ROUNDUP(N64-30,0)))))))))))))))))))))))))))))))</f>
        <v>13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0.78</v>
      </c>
      <c r="AG64" s="11">
        <f t="shared" si="1"/>
        <v>13.78</v>
      </c>
      <c r="AH64" s="11">
        <v>0</v>
      </c>
      <c r="AI64" s="11">
        <f t="shared" si="2"/>
        <v>13.78</v>
      </c>
      <c r="AJ64" t="s">
        <v>55</v>
      </c>
    </row>
    <row r="65" spans="1:36" ht="15" customHeight="1" x14ac:dyDescent="0.35">
      <c r="A65">
        <v>10428918</v>
      </c>
      <c r="B65" t="s">
        <v>36</v>
      </c>
      <c r="C65" t="s">
        <v>37</v>
      </c>
      <c r="D65" s="6" t="s">
        <v>38</v>
      </c>
      <c r="E65" t="s">
        <v>280</v>
      </c>
      <c r="F65" t="s">
        <v>40</v>
      </c>
      <c r="G65" t="s">
        <v>41</v>
      </c>
      <c r="H65" t="s">
        <v>281</v>
      </c>
      <c r="I65" t="s">
        <v>43</v>
      </c>
      <c r="J65">
        <v>2</v>
      </c>
      <c r="K65" t="s">
        <v>44</v>
      </c>
      <c r="L65" t="s">
        <v>45</v>
      </c>
      <c r="M65" t="s">
        <v>46</v>
      </c>
      <c r="N65" s="7">
        <v>1</v>
      </c>
      <c r="O65" s="8">
        <v>45640.766134259262</v>
      </c>
      <c r="P65" s="9">
        <v>45642</v>
      </c>
      <c r="Q65" t="s">
        <v>74</v>
      </c>
      <c r="R65" t="s">
        <v>48</v>
      </c>
      <c r="S65" t="s">
        <v>49</v>
      </c>
      <c r="T65" t="s">
        <v>117</v>
      </c>
      <c r="U65" t="s">
        <v>282</v>
      </c>
      <c r="V65">
        <v>43000</v>
      </c>
      <c r="W65" t="s">
        <v>48</v>
      </c>
      <c r="X65" t="s">
        <v>53</v>
      </c>
      <c r="Y65" t="s">
        <v>54</v>
      </c>
      <c r="Z65" s="12">
        <f>IF(N65&lt;=1,9,9+0.8*ROUNDUP(N65-1,0))</f>
        <v>9</v>
      </c>
      <c r="AA65" s="11">
        <v>-2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0.42</v>
      </c>
      <c r="AG65" s="11">
        <f t="shared" si="1"/>
        <v>7.42</v>
      </c>
      <c r="AH65" s="11">
        <v>0</v>
      </c>
      <c r="AI65" s="11">
        <f t="shared" si="2"/>
        <v>7.42</v>
      </c>
      <c r="AJ65" t="s">
        <v>62</v>
      </c>
    </row>
    <row r="66" spans="1:36" ht="15" customHeight="1" x14ac:dyDescent="0.35">
      <c r="A66">
        <v>10428918</v>
      </c>
      <c r="B66" t="s">
        <v>36</v>
      </c>
      <c r="C66" t="s">
        <v>37</v>
      </c>
      <c r="D66" s="6" t="s">
        <v>38</v>
      </c>
      <c r="E66" t="s">
        <v>283</v>
      </c>
      <c r="F66" t="s">
        <v>40</v>
      </c>
      <c r="G66" t="s">
        <v>41</v>
      </c>
      <c r="H66" t="s">
        <v>284</v>
      </c>
      <c r="I66" t="s">
        <v>43</v>
      </c>
      <c r="J66">
        <v>2</v>
      </c>
      <c r="K66" t="s">
        <v>44</v>
      </c>
      <c r="L66" t="s">
        <v>45</v>
      </c>
      <c r="M66" t="s">
        <v>46</v>
      </c>
      <c r="N66" s="7">
        <v>1</v>
      </c>
      <c r="O66" s="8">
        <v>45640.750196759262</v>
      </c>
      <c r="P66" s="9">
        <v>45642</v>
      </c>
      <c r="Q66" t="s">
        <v>74</v>
      </c>
      <c r="R66" t="s">
        <v>48</v>
      </c>
      <c r="S66" t="s">
        <v>49</v>
      </c>
      <c r="T66" t="s">
        <v>80</v>
      </c>
      <c r="U66" t="s">
        <v>285</v>
      </c>
      <c r="V66">
        <v>9000</v>
      </c>
      <c r="W66" t="s">
        <v>48</v>
      </c>
      <c r="X66" t="s">
        <v>53</v>
      </c>
      <c r="Y66" t="s">
        <v>54</v>
      </c>
      <c r="Z66" s="12">
        <f>IF(N66&lt;=1,9,9+0.8*ROUNDUP(N66-1,0))</f>
        <v>9</v>
      </c>
      <c r="AA66" s="11">
        <v>-2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3">(Z66+AA66+AC66+AE66)*6%</f>
        <v>0.42</v>
      </c>
      <c r="AG66" s="11">
        <f t="shared" ref="AG66:AG129" si="4">Z66+AA66+AC66+AE66+AF66</f>
        <v>7.42</v>
      </c>
      <c r="AH66" s="11">
        <v>0</v>
      </c>
      <c r="AI66" s="11">
        <f t="shared" ref="AI66:AI129" si="5">AG66+AH66</f>
        <v>7.42</v>
      </c>
      <c r="AJ66" t="s">
        <v>62</v>
      </c>
    </row>
    <row r="67" spans="1:36" ht="15" customHeight="1" x14ac:dyDescent="0.35">
      <c r="A67">
        <v>10428918</v>
      </c>
      <c r="B67" t="s">
        <v>36</v>
      </c>
      <c r="C67" t="s">
        <v>37</v>
      </c>
      <c r="D67" s="6" t="s">
        <v>38</v>
      </c>
      <c r="E67" t="s">
        <v>286</v>
      </c>
      <c r="F67" t="s">
        <v>40</v>
      </c>
      <c r="G67" t="s">
        <v>41</v>
      </c>
      <c r="H67" t="s">
        <v>287</v>
      </c>
      <c r="I67" t="s">
        <v>43</v>
      </c>
      <c r="J67">
        <v>2</v>
      </c>
      <c r="K67" t="s">
        <v>44</v>
      </c>
      <c r="L67" t="s">
        <v>45</v>
      </c>
      <c r="M67" t="s">
        <v>46</v>
      </c>
      <c r="N67" s="7">
        <v>1</v>
      </c>
      <c r="O67" s="8">
        <v>45640.811018518521</v>
      </c>
      <c r="P67" s="9">
        <v>45642</v>
      </c>
      <c r="Q67" t="s">
        <v>74</v>
      </c>
      <c r="R67" t="s">
        <v>48</v>
      </c>
      <c r="S67" t="s">
        <v>49</v>
      </c>
      <c r="T67" t="s">
        <v>59</v>
      </c>
      <c r="U67" t="s">
        <v>288</v>
      </c>
      <c r="V67">
        <v>16800</v>
      </c>
      <c r="W67" t="s">
        <v>48</v>
      </c>
      <c r="X67" t="s">
        <v>61</v>
      </c>
      <c r="Y67" t="s">
        <v>54</v>
      </c>
      <c r="Z67" s="12">
        <f>IF(N67&lt;=1,9,9+0.8*ROUNDUP(N67-1,0))</f>
        <v>9</v>
      </c>
      <c r="AA67" s="11">
        <v>-2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3"/>
        <v>0.42</v>
      </c>
      <c r="AG67" s="11">
        <f t="shared" si="4"/>
        <v>7.42</v>
      </c>
      <c r="AH67" s="11">
        <v>0</v>
      </c>
      <c r="AI67" s="11">
        <f t="shared" si="5"/>
        <v>7.42</v>
      </c>
      <c r="AJ67" t="s">
        <v>62</v>
      </c>
    </row>
    <row r="68" spans="1:36" ht="15" customHeight="1" x14ac:dyDescent="0.35">
      <c r="A68">
        <v>10428918</v>
      </c>
      <c r="B68" t="s">
        <v>36</v>
      </c>
      <c r="C68" t="s">
        <v>37</v>
      </c>
      <c r="D68" s="6" t="s">
        <v>38</v>
      </c>
      <c r="E68" t="s">
        <v>289</v>
      </c>
      <c r="F68" t="s">
        <v>40</v>
      </c>
      <c r="G68" t="s">
        <v>41</v>
      </c>
      <c r="H68" t="s">
        <v>290</v>
      </c>
      <c r="I68" t="s">
        <v>43</v>
      </c>
      <c r="J68">
        <v>2</v>
      </c>
      <c r="K68" t="s">
        <v>44</v>
      </c>
      <c r="L68" t="s">
        <v>45</v>
      </c>
      <c r="M68" t="s">
        <v>46</v>
      </c>
      <c r="N68" s="7">
        <v>2</v>
      </c>
      <c r="O68" s="8">
        <v>45640.825509259259</v>
      </c>
      <c r="P68" s="9">
        <v>45642</v>
      </c>
      <c r="Q68" t="s">
        <v>74</v>
      </c>
      <c r="R68" t="s">
        <v>48</v>
      </c>
      <c r="S68" t="s">
        <v>49</v>
      </c>
      <c r="T68" t="s">
        <v>117</v>
      </c>
      <c r="U68" t="s">
        <v>291</v>
      </c>
      <c r="V68">
        <v>43900</v>
      </c>
      <c r="W68" t="s">
        <v>48</v>
      </c>
      <c r="X68" t="s">
        <v>53</v>
      </c>
      <c r="Y68" t="s">
        <v>54</v>
      </c>
      <c r="Z68" s="12">
        <f>IF(N68&lt;=1,9,9+0.8*ROUNDUP(N68-1,0))</f>
        <v>9.8000000000000007</v>
      </c>
      <c r="AA68" s="11">
        <v>-2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3"/>
        <v>0.46800000000000003</v>
      </c>
      <c r="AG68" s="11">
        <f t="shared" si="4"/>
        <v>8.2680000000000007</v>
      </c>
      <c r="AH68" s="11">
        <v>0</v>
      </c>
      <c r="AI68" s="11">
        <f t="shared" si="5"/>
        <v>8.2680000000000007</v>
      </c>
      <c r="AJ68" t="s">
        <v>62</v>
      </c>
    </row>
    <row r="69" spans="1:36" ht="15" customHeight="1" x14ac:dyDescent="0.35">
      <c r="A69">
        <v>10428918</v>
      </c>
      <c r="B69" t="s">
        <v>36</v>
      </c>
      <c r="C69" t="s">
        <v>37</v>
      </c>
      <c r="D69" s="6" t="s">
        <v>38</v>
      </c>
      <c r="E69" t="s">
        <v>292</v>
      </c>
      <c r="F69" t="s">
        <v>40</v>
      </c>
      <c r="G69" t="s">
        <v>41</v>
      </c>
      <c r="H69" t="s">
        <v>293</v>
      </c>
      <c r="I69" t="s">
        <v>43</v>
      </c>
      <c r="J69">
        <v>2</v>
      </c>
      <c r="K69" t="s">
        <v>44</v>
      </c>
      <c r="L69" t="s">
        <v>45</v>
      </c>
      <c r="M69" t="s">
        <v>46</v>
      </c>
      <c r="N69" s="7">
        <v>1</v>
      </c>
      <c r="O69" s="8">
        <v>45640.567013888889</v>
      </c>
      <c r="P69" s="9">
        <v>45642</v>
      </c>
      <c r="Q69" t="s">
        <v>74</v>
      </c>
      <c r="R69" t="s">
        <v>48</v>
      </c>
      <c r="S69" t="s">
        <v>49</v>
      </c>
      <c r="T69" t="s">
        <v>69</v>
      </c>
      <c r="U69" t="s">
        <v>294</v>
      </c>
      <c r="V69">
        <v>81500</v>
      </c>
      <c r="W69" t="s">
        <v>48</v>
      </c>
      <c r="X69" t="s">
        <v>295</v>
      </c>
      <c r="Y69" t="s">
        <v>54</v>
      </c>
      <c r="Z69" s="12">
        <f>IF(N69&lt;=1,9,9+0.8*ROUNDUP(N69-1,0))</f>
        <v>9</v>
      </c>
      <c r="AA69" s="11">
        <v>-2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3"/>
        <v>0.42</v>
      </c>
      <c r="AG69" s="11">
        <f t="shared" si="4"/>
        <v>7.42</v>
      </c>
      <c r="AH69" s="11">
        <v>0</v>
      </c>
      <c r="AI69" s="11">
        <f t="shared" si="5"/>
        <v>7.42</v>
      </c>
      <c r="AJ69" t="s">
        <v>62</v>
      </c>
    </row>
    <row r="70" spans="1:36" ht="15" customHeight="1" x14ac:dyDescent="0.35">
      <c r="A70">
        <v>10428918</v>
      </c>
      <c r="B70" t="s">
        <v>36</v>
      </c>
      <c r="C70" t="s">
        <v>37</v>
      </c>
      <c r="D70" s="6" t="s">
        <v>38</v>
      </c>
      <c r="E70" t="s">
        <v>296</v>
      </c>
      <c r="F70" t="s">
        <v>40</v>
      </c>
      <c r="G70" t="s">
        <v>41</v>
      </c>
      <c r="H70" t="s">
        <v>297</v>
      </c>
      <c r="I70" t="s">
        <v>43</v>
      </c>
      <c r="J70">
        <v>2</v>
      </c>
      <c r="K70" t="s">
        <v>44</v>
      </c>
      <c r="L70" t="s">
        <v>45</v>
      </c>
      <c r="M70" t="s">
        <v>46</v>
      </c>
      <c r="N70" s="7">
        <v>1</v>
      </c>
      <c r="O70" s="8">
        <v>45641.699131944442</v>
      </c>
      <c r="P70" s="9">
        <v>45642</v>
      </c>
      <c r="Q70" t="s">
        <v>74</v>
      </c>
      <c r="R70" t="s">
        <v>48</v>
      </c>
      <c r="S70" t="s">
        <v>49</v>
      </c>
      <c r="T70" t="s">
        <v>117</v>
      </c>
      <c r="U70" t="s">
        <v>298</v>
      </c>
      <c r="V70">
        <v>47150</v>
      </c>
      <c r="W70" t="s">
        <v>48</v>
      </c>
      <c r="X70" t="s">
        <v>232</v>
      </c>
      <c r="Y70" t="s">
        <v>54</v>
      </c>
      <c r="Z70" s="12">
        <f>IF(N70&lt;=1,9,9+0.8*ROUNDUP(N70-1,0))</f>
        <v>9</v>
      </c>
      <c r="AA70" s="11">
        <v>-2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3"/>
        <v>0.42</v>
      </c>
      <c r="AG70" s="11">
        <f t="shared" si="4"/>
        <v>7.42</v>
      </c>
      <c r="AH70" s="11">
        <v>0</v>
      </c>
      <c r="AI70" s="11">
        <f t="shared" si="5"/>
        <v>7.42</v>
      </c>
      <c r="AJ70" t="s">
        <v>62</v>
      </c>
    </row>
    <row r="71" spans="1:36" ht="15" customHeight="1" x14ac:dyDescent="0.35">
      <c r="A71">
        <v>10428918</v>
      </c>
      <c r="B71" t="s">
        <v>36</v>
      </c>
      <c r="C71" t="s">
        <v>37</v>
      </c>
      <c r="D71" s="6" t="s">
        <v>38</v>
      </c>
      <c r="E71" t="s">
        <v>299</v>
      </c>
      <c r="F71" t="s">
        <v>40</v>
      </c>
      <c r="G71" t="s">
        <v>41</v>
      </c>
      <c r="H71" t="s">
        <v>300</v>
      </c>
      <c r="I71" t="s">
        <v>43</v>
      </c>
      <c r="J71">
        <v>2</v>
      </c>
      <c r="K71" t="s">
        <v>44</v>
      </c>
      <c r="L71" t="s">
        <v>45</v>
      </c>
      <c r="M71" t="s">
        <v>46</v>
      </c>
      <c r="N71" s="7">
        <v>1</v>
      </c>
      <c r="O71" s="8">
        <v>45641.434814814813</v>
      </c>
      <c r="P71" s="9">
        <v>45642</v>
      </c>
      <c r="Q71" t="s">
        <v>74</v>
      </c>
      <c r="R71" t="s">
        <v>48</v>
      </c>
      <c r="S71" t="s">
        <v>49</v>
      </c>
      <c r="T71" t="s">
        <v>59</v>
      </c>
      <c r="U71" t="s">
        <v>301</v>
      </c>
      <c r="V71">
        <v>17000</v>
      </c>
      <c r="W71" t="s">
        <v>48</v>
      </c>
      <c r="X71" t="s">
        <v>61</v>
      </c>
      <c r="Y71" t="s">
        <v>54</v>
      </c>
      <c r="Z71" s="12">
        <f>IF(N71&lt;=1,9,9+0.8*ROUNDUP(N71-1,0))</f>
        <v>9</v>
      </c>
      <c r="AA71" s="11">
        <v>-2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3"/>
        <v>0.42</v>
      </c>
      <c r="AG71" s="11">
        <f t="shared" si="4"/>
        <v>7.42</v>
      </c>
      <c r="AH71" s="11">
        <v>0</v>
      </c>
      <c r="AI71" s="11">
        <f t="shared" si="5"/>
        <v>7.42</v>
      </c>
      <c r="AJ71" t="s">
        <v>62</v>
      </c>
    </row>
    <row r="72" spans="1:36" ht="15" customHeight="1" x14ac:dyDescent="0.35">
      <c r="A72">
        <v>10428918</v>
      </c>
      <c r="B72" t="s">
        <v>36</v>
      </c>
      <c r="C72" t="s">
        <v>37</v>
      </c>
      <c r="D72" s="6" t="s">
        <v>38</v>
      </c>
      <c r="E72" t="s">
        <v>302</v>
      </c>
      <c r="F72" t="s">
        <v>40</v>
      </c>
      <c r="G72" t="s">
        <v>41</v>
      </c>
      <c r="H72" t="s">
        <v>303</v>
      </c>
      <c r="I72" t="s">
        <v>43</v>
      </c>
      <c r="J72">
        <v>2</v>
      </c>
      <c r="K72" t="s">
        <v>44</v>
      </c>
      <c r="L72" t="s">
        <v>45</v>
      </c>
      <c r="M72" t="s">
        <v>46</v>
      </c>
      <c r="N72" s="7">
        <v>6</v>
      </c>
      <c r="O72" s="8">
        <v>45639.670358796298</v>
      </c>
      <c r="P72" s="9">
        <v>45642</v>
      </c>
      <c r="Q72" t="s">
        <v>74</v>
      </c>
      <c r="R72" t="s">
        <v>48</v>
      </c>
      <c r="S72" t="s">
        <v>49</v>
      </c>
      <c r="T72" t="s">
        <v>117</v>
      </c>
      <c r="U72" t="s">
        <v>304</v>
      </c>
      <c r="V72">
        <v>40150</v>
      </c>
      <c r="W72" t="s">
        <v>48</v>
      </c>
      <c r="X72" t="s">
        <v>305</v>
      </c>
      <c r="Y72" t="s">
        <v>54</v>
      </c>
      <c r="Z72" s="12">
        <f>IF(N72&lt;=1,9,9+0.8*ROUNDUP(N72-1,0))</f>
        <v>13</v>
      </c>
      <c r="AA72" s="11">
        <v>-2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3"/>
        <v>0.65999999999999992</v>
      </c>
      <c r="AG72" s="11">
        <f t="shared" si="4"/>
        <v>11.66</v>
      </c>
      <c r="AH72" s="11">
        <v>0</v>
      </c>
      <c r="AI72" s="11">
        <f t="shared" si="5"/>
        <v>11.66</v>
      </c>
      <c r="AJ72" t="s">
        <v>62</v>
      </c>
    </row>
    <row r="73" spans="1:36" ht="15" customHeight="1" x14ac:dyDescent="0.35">
      <c r="A73">
        <v>10428918</v>
      </c>
      <c r="B73" t="s">
        <v>36</v>
      </c>
      <c r="C73" t="s">
        <v>37</v>
      </c>
      <c r="D73" s="6" t="s">
        <v>38</v>
      </c>
      <c r="E73" t="s">
        <v>306</v>
      </c>
      <c r="F73" t="s">
        <v>40</v>
      </c>
      <c r="G73" t="s">
        <v>41</v>
      </c>
      <c r="H73" t="s">
        <v>307</v>
      </c>
      <c r="I73" t="s">
        <v>43</v>
      </c>
      <c r="J73">
        <v>2</v>
      </c>
      <c r="K73" t="s">
        <v>44</v>
      </c>
      <c r="L73" t="s">
        <v>45</v>
      </c>
      <c r="M73" t="s">
        <v>46</v>
      </c>
      <c r="N73" s="7">
        <v>1</v>
      </c>
      <c r="O73" s="8">
        <v>45640.811030092591</v>
      </c>
      <c r="P73" s="9">
        <v>45642</v>
      </c>
      <c r="Q73" t="s">
        <v>74</v>
      </c>
      <c r="R73" t="s">
        <v>48</v>
      </c>
      <c r="S73" t="s">
        <v>49</v>
      </c>
      <c r="T73" t="s">
        <v>90</v>
      </c>
      <c r="U73" t="s">
        <v>308</v>
      </c>
      <c r="V73">
        <v>23000</v>
      </c>
      <c r="W73" t="s">
        <v>48</v>
      </c>
      <c r="X73" t="s">
        <v>92</v>
      </c>
      <c r="Y73" t="s">
        <v>54</v>
      </c>
      <c r="Z73" s="12">
        <f>IF(N73&lt;=1,9,9+0.8*ROUNDUP(N73-1,0))</f>
        <v>9</v>
      </c>
      <c r="AA73" s="11">
        <v>-2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3"/>
        <v>0.42</v>
      </c>
      <c r="AG73" s="11">
        <f t="shared" si="4"/>
        <v>7.42</v>
      </c>
      <c r="AH73" s="11">
        <v>0</v>
      </c>
      <c r="AI73" s="11">
        <f t="shared" si="5"/>
        <v>7.42</v>
      </c>
      <c r="AJ73" t="s">
        <v>62</v>
      </c>
    </row>
    <row r="74" spans="1:36" ht="15" customHeight="1" x14ac:dyDescent="0.35">
      <c r="A74">
        <v>10428918</v>
      </c>
      <c r="B74" t="s">
        <v>36</v>
      </c>
      <c r="C74" t="s">
        <v>37</v>
      </c>
      <c r="D74" s="6" t="s">
        <v>38</v>
      </c>
      <c r="E74" t="s">
        <v>309</v>
      </c>
      <c r="F74" t="s">
        <v>40</v>
      </c>
      <c r="G74" t="s">
        <v>41</v>
      </c>
      <c r="H74" t="s">
        <v>310</v>
      </c>
      <c r="I74" t="s">
        <v>43</v>
      </c>
      <c r="J74">
        <v>2</v>
      </c>
      <c r="K74" t="s">
        <v>44</v>
      </c>
      <c r="L74" t="s">
        <v>45</v>
      </c>
      <c r="M74" t="s">
        <v>46</v>
      </c>
      <c r="N74" s="7">
        <v>2</v>
      </c>
      <c r="O74" s="8">
        <v>45636.864803240744</v>
      </c>
      <c r="P74" s="9">
        <v>45642</v>
      </c>
      <c r="Q74" t="s">
        <v>74</v>
      </c>
      <c r="R74" t="s">
        <v>48</v>
      </c>
      <c r="S74" t="s">
        <v>49</v>
      </c>
      <c r="T74" t="s">
        <v>117</v>
      </c>
      <c r="U74" t="s">
        <v>311</v>
      </c>
      <c r="V74">
        <v>43650</v>
      </c>
      <c r="W74" t="s">
        <v>48</v>
      </c>
      <c r="X74" t="s">
        <v>312</v>
      </c>
      <c r="Y74" t="s">
        <v>54</v>
      </c>
      <c r="Z74" s="12">
        <f>IF(N74&lt;=1,9,9+0.8*ROUNDUP(N74-1,0))</f>
        <v>9.8000000000000007</v>
      </c>
      <c r="AA74" s="11">
        <v>-2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3"/>
        <v>0.46800000000000003</v>
      </c>
      <c r="AG74" s="11">
        <f t="shared" si="4"/>
        <v>8.2680000000000007</v>
      </c>
      <c r="AH74" s="11">
        <v>0</v>
      </c>
      <c r="AI74" s="11">
        <f t="shared" si="5"/>
        <v>8.2680000000000007</v>
      </c>
      <c r="AJ74" t="s">
        <v>62</v>
      </c>
    </row>
    <row r="75" spans="1:36" ht="15" customHeight="1" x14ac:dyDescent="0.35">
      <c r="A75">
        <v>10428918</v>
      </c>
      <c r="B75" t="s">
        <v>36</v>
      </c>
      <c r="C75" t="s">
        <v>37</v>
      </c>
      <c r="D75" s="6" t="s">
        <v>38</v>
      </c>
      <c r="E75" t="s">
        <v>313</v>
      </c>
      <c r="F75" t="s">
        <v>40</v>
      </c>
      <c r="G75" t="s">
        <v>41</v>
      </c>
      <c r="H75" t="s">
        <v>314</v>
      </c>
      <c r="I75" t="s">
        <v>43</v>
      </c>
      <c r="J75">
        <v>2</v>
      </c>
      <c r="K75" t="s">
        <v>44</v>
      </c>
      <c r="L75" t="s">
        <v>45</v>
      </c>
      <c r="M75" t="s">
        <v>46</v>
      </c>
      <c r="N75" s="7">
        <v>1</v>
      </c>
      <c r="O75" s="8">
        <v>45638.648900462962</v>
      </c>
      <c r="P75" s="9">
        <v>45642</v>
      </c>
      <c r="Q75" t="s">
        <v>47</v>
      </c>
      <c r="R75" t="s">
        <v>48</v>
      </c>
      <c r="S75" t="s">
        <v>49</v>
      </c>
      <c r="T75" t="s">
        <v>75</v>
      </c>
      <c r="U75" t="s">
        <v>315</v>
      </c>
      <c r="V75">
        <v>25200</v>
      </c>
      <c r="W75" t="s">
        <v>48</v>
      </c>
      <c r="X75" t="s">
        <v>316</v>
      </c>
      <c r="Y75" t="s">
        <v>54</v>
      </c>
      <c r="Z75" s="12">
        <f>IF(N75&lt;=1,9,9+0.8*ROUNDUP(N75-1,0))</f>
        <v>9</v>
      </c>
      <c r="AA75" s="11">
        <v>-2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3"/>
        <v>0.42</v>
      </c>
      <c r="AG75" s="11">
        <f t="shared" si="4"/>
        <v>7.42</v>
      </c>
      <c r="AH75" s="11">
        <v>0</v>
      </c>
      <c r="AI75" s="11">
        <f t="shared" si="5"/>
        <v>7.42</v>
      </c>
      <c r="AJ75" t="s">
        <v>62</v>
      </c>
    </row>
    <row r="76" spans="1:36" ht="15" customHeight="1" x14ac:dyDescent="0.35">
      <c r="A76">
        <v>10428918</v>
      </c>
      <c r="B76" t="s">
        <v>36</v>
      </c>
      <c r="C76" t="s">
        <v>37</v>
      </c>
      <c r="D76" s="6" t="s">
        <v>38</v>
      </c>
      <c r="E76" t="s">
        <v>317</v>
      </c>
      <c r="F76" t="s">
        <v>40</v>
      </c>
      <c r="G76" t="s">
        <v>41</v>
      </c>
      <c r="H76" t="s">
        <v>318</v>
      </c>
      <c r="I76" t="s">
        <v>43</v>
      </c>
      <c r="J76">
        <v>2</v>
      </c>
      <c r="K76" t="s">
        <v>44</v>
      </c>
      <c r="L76" t="s">
        <v>45</v>
      </c>
      <c r="M76" t="s">
        <v>46</v>
      </c>
      <c r="N76" s="7">
        <v>2</v>
      </c>
      <c r="O76" s="8">
        <v>45640.825509259259</v>
      </c>
      <c r="P76" s="9">
        <v>45642</v>
      </c>
      <c r="Q76" t="s">
        <v>74</v>
      </c>
      <c r="R76" t="s">
        <v>48</v>
      </c>
      <c r="S76" t="s">
        <v>49</v>
      </c>
      <c r="T76" t="s">
        <v>75</v>
      </c>
      <c r="U76" t="s">
        <v>319</v>
      </c>
      <c r="V76">
        <v>25150</v>
      </c>
      <c r="W76" t="s">
        <v>48</v>
      </c>
      <c r="X76" t="s">
        <v>77</v>
      </c>
      <c r="Y76" t="s">
        <v>54</v>
      </c>
      <c r="Z76" s="12">
        <f>IF(N76&lt;=1,9,9+0.8*ROUNDUP(N76-1,0))</f>
        <v>9.8000000000000007</v>
      </c>
      <c r="AA76" s="11">
        <v>-2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3"/>
        <v>0.46800000000000003</v>
      </c>
      <c r="AG76" s="11">
        <f t="shared" si="4"/>
        <v>8.2680000000000007</v>
      </c>
      <c r="AH76" s="11">
        <v>0</v>
      </c>
      <c r="AI76" s="11">
        <f t="shared" si="5"/>
        <v>8.2680000000000007</v>
      </c>
      <c r="AJ76" t="s">
        <v>62</v>
      </c>
    </row>
    <row r="77" spans="1:36" ht="15" customHeight="1" x14ac:dyDescent="0.35">
      <c r="A77">
        <v>10428918</v>
      </c>
      <c r="B77" t="s">
        <v>36</v>
      </c>
      <c r="C77" t="s">
        <v>37</v>
      </c>
      <c r="D77" s="6" t="s">
        <v>38</v>
      </c>
      <c r="E77" t="s">
        <v>320</v>
      </c>
      <c r="F77" t="s">
        <v>40</v>
      </c>
      <c r="G77" t="s">
        <v>41</v>
      </c>
      <c r="H77" t="s">
        <v>321</v>
      </c>
      <c r="I77" t="s">
        <v>43</v>
      </c>
      <c r="J77">
        <v>2</v>
      </c>
      <c r="K77" t="s">
        <v>44</v>
      </c>
      <c r="L77" t="s">
        <v>45</v>
      </c>
      <c r="M77" t="s">
        <v>46</v>
      </c>
      <c r="N77" s="7">
        <v>1</v>
      </c>
      <c r="O77" s="8">
        <v>45640.811018518521</v>
      </c>
      <c r="P77" s="9">
        <v>45642</v>
      </c>
      <c r="Q77" t="s">
        <v>74</v>
      </c>
      <c r="R77" t="s">
        <v>48</v>
      </c>
      <c r="S77" t="s">
        <v>49</v>
      </c>
      <c r="T77" t="s">
        <v>90</v>
      </c>
      <c r="U77" t="s">
        <v>322</v>
      </c>
      <c r="V77">
        <v>21800</v>
      </c>
      <c r="W77" t="s">
        <v>48</v>
      </c>
      <c r="X77" t="s">
        <v>92</v>
      </c>
      <c r="Y77" t="s">
        <v>54</v>
      </c>
      <c r="Z77" s="12">
        <f>IF(N77&lt;=1,9,9+0.8*ROUNDUP(N77-1,0))</f>
        <v>9</v>
      </c>
      <c r="AA77" s="11">
        <v>-2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3"/>
        <v>0.42</v>
      </c>
      <c r="AG77" s="11">
        <f t="shared" si="4"/>
        <v>7.42</v>
      </c>
      <c r="AH77" s="11">
        <v>0</v>
      </c>
      <c r="AI77" s="11">
        <f t="shared" si="5"/>
        <v>7.42</v>
      </c>
      <c r="AJ77" t="s">
        <v>62</v>
      </c>
    </row>
    <row r="78" spans="1:36" ht="15" customHeight="1" x14ac:dyDescent="0.35">
      <c r="A78">
        <v>10428918</v>
      </c>
      <c r="B78" t="s">
        <v>36</v>
      </c>
      <c r="C78" t="s">
        <v>37</v>
      </c>
      <c r="D78" s="6" t="s">
        <v>38</v>
      </c>
      <c r="E78" t="s">
        <v>323</v>
      </c>
      <c r="F78" t="s">
        <v>40</v>
      </c>
      <c r="G78" t="s">
        <v>41</v>
      </c>
      <c r="H78" t="s">
        <v>324</v>
      </c>
      <c r="I78" t="s">
        <v>43</v>
      </c>
      <c r="J78">
        <v>2</v>
      </c>
      <c r="K78" t="s">
        <v>44</v>
      </c>
      <c r="L78" t="s">
        <v>45</v>
      </c>
      <c r="M78" t="s">
        <v>46</v>
      </c>
      <c r="N78" s="7">
        <v>2</v>
      </c>
      <c r="O78" s="8">
        <v>45640.852511574078</v>
      </c>
      <c r="P78" s="9">
        <v>45642</v>
      </c>
      <c r="Q78" t="s">
        <v>74</v>
      </c>
      <c r="R78" t="s">
        <v>48</v>
      </c>
      <c r="S78" t="s">
        <v>49</v>
      </c>
      <c r="T78" t="s">
        <v>75</v>
      </c>
      <c r="U78" t="s">
        <v>325</v>
      </c>
      <c r="V78">
        <v>25150</v>
      </c>
      <c r="W78" t="s">
        <v>48</v>
      </c>
      <c r="X78" t="s">
        <v>326</v>
      </c>
      <c r="Y78" t="s">
        <v>54</v>
      </c>
      <c r="Z78" s="12">
        <f>IF(N78&lt;=1,9,9+0.8*ROUNDUP(N78-1,0))</f>
        <v>9.8000000000000007</v>
      </c>
      <c r="AA78" s="11">
        <v>-2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3"/>
        <v>0.46800000000000003</v>
      </c>
      <c r="AG78" s="11">
        <f t="shared" si="4"/>
        <v>8.2680000000000007</v>
      </c>
      <c r="AH78" s="11">
        <v>0</v>
      </c>
      <c r="AI78" s="11">
        <f t="shared" si="5"/>
        <v>8.2680000000000007</v>
      </c>
      <c r="AJ78" t="s">
        <v>62</v>
      </c>
    </row>
    <row r="79" spans="1:36" ht="15" customHeight="1" x14ac:dyDescent="0.35">
      <c r="A79">
        <v>10428918</v>
      </c>
      <c r="B79" t="s">
        <v>36</v>
      </c>
      <c r="C79" t="s">
        <v>37</v>
      </c>
      <c r="D79" s="6" t="s">
        <v>38</v>
      </c>
      <c r="E79" t="s">
        <v>327</v>
      </c>
      <c r="F79" t="s">
        <v>40</v>
      </c>
      <c r="G79" t="s">
        <v>41</v>
      </c>
      <c r="H79" t="s">
        <v>328</v>
      </c>
      <c r="I79" t="s">
        <v>43</v>
      </c>
      <c r="J79">
        <v>2</v>
      </c>
      <c r="K79" t="s">
        <v>44</v>
      </c>
      <c r="L79" t="s">
        <v>45</v>
      </c>
      <c r="M79" t="s">
        <v>46</v>
      </c>
      <c r="N79" s="7">
        <v>3</v>
      </c>
      <c r="O79" s="8">
        <v>45640.799027777779</v>
      </c>
      <c r="P79" s="9">
        <v>45642</v>
      </c>
      <c r="Q79" t="s">
        <v>74</v>
      </c>
      <c r="R79" t="s">
        <v>48</v>
      </c>
      <c r="S79" t="s">
        <v>49</v>
      </c>
      <c r="T79" t="s">
        <v>117</v>
      </c>
      <c r="U79" t="s">
        <v>329</v>
      </c>
      <c r="V79">
        <v>43000</v>
      </c>
      <c r="W79" t="s">
        <v>48</v>
      </c>
      <c r="X79" t="s">
        <v>330</v>
      </c>
      <c r="Y79" t="s">
        <v>54</v>
      </c>
      <c r="Z79" s="12">
        <f>IF(N79&lt;=1,9,9+0.8*ROUNDUP(N79-1,0))</f>
        <v>10.6</v>
      </c>
      <c r="AA79" s="11">
        <v>-2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3"/>
        <v>0.51600000000000001</v>
      </c>
      <c r="AG79" s="11">
        <f t="shared" si="4"/>
        <v>9.1159999999999997</v>
      </c>
      <c r="AH79" s="11">
        <v>0</v>
      </c>
      <c r="AI79" s="11">
        <f t="shared" si="5"/>
        <v>9.1159999999999997</v>
      </c>
      <c r="AJ79" t="s">
        <v>62</v>
      </c>
    </row>
    <row r="80" spans="1:36" ht="15" customHeight="1" x14ac:dyDescent="0.35">
      <c r="A80">
        <v>10428918</v>
      </c>
      <c r="B80" t="s">
        <v>36</v>
      </c>
      <c r="C80" t="s">
        <v>37</v>
      </c>
      <c r="D80" s="6" t="s">
        <v>38</v>
      </c>
      <c r="E80" t="s">
        <v>331</v>
      </c>
      <c r="F80" t="s">
        <v>40</v>
      </c>
      <c r="G80" t="s">
        <v>41</v>
      </c>
      <c r="H80" t="s">
        <v>332</v>
      </c>
      <c r="I80" t="s">
        <v>43</v>
      </c>
      <c r="J80">
        <v>2</v>
      </c>
      <c r="K80" t="s">
        <v>44</v>
      </c>
      <c r="L80" t="s">
        <v>45</v>
      </c>
      <c r="M80" t="s">
        <v>46</v>
      </c>
      <c r="N80" s="7">
        <v>1</v>
      </c>
      <c r="O80" s="8">
        <v>45638.744004629632</v>
      </c>
      <c r="P80" s="9">
        <v>45642</v>
      </c>
      <c r="Q80" t="s">
        <v>74</v>
      </c>
      <c r="R80" t="s">
        <v>48</v>
      </c>
      <c r="S80" t="s">
        <v>49</v>
      </c>
      <c r="T80" t="s">
        <v>50</v>
      </c>
      <c r="U80" t="s">
        <v>333</v>
      </c>
      <c r="V80">
        <v>88300</v>
      </c>
      <c r="W80" t="s">
        <v>52</v>
      </c>
      <c r="X80" t="s">
        <v>53</v>
      </c>
      <c r="Y80" t="s">
        <v>54</v>
      </c>
      <c r="Z80" s="10">
        <f>IF(N80&lt;=1,13,IF(N80&lt;=2,23,IF(N80&lt;=3,35,IF(N80&lt;=4,43,IF(N80&lt;=5,53,IF(N80&lt;=6,63,IF(N80&lt;=7,71,IF(N80&lt;=8,79,IF(N80&lt;=9,87,IF(N80&lt;=10,95,IF(N80&lt;=11,105,IF(N80&lt;=12,114,IF(N80&lt;=13,119,IF(N80&lt;=14,127,IF(N80&lt;=15,135,IF(N80&lt;=16,143,IF(N80&lt;=17,153,IF(N80&lt;=18,163,IF(N80&lt;=19,171,IF(N80&lt;=20,185,IF(N80&lt;=21,193,IF(N80&lt;=22,201,IF(N80&lt;=23,210,IF(N80&lt;=24,220,IF(N80&lt;=25,230,IF(N80&lt;=26,240,IF(N80&lt;=27,250,IF(N80&lt;=28,260,IF(N80&lt;=29,270,IF(N80&lt;=30,280,280+10*ROUNDUP(N80-30,0)))))))))))))))))))))))))))))))</f>
        <v>13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3"/>
        <v>0.78</v>
      </c>
      <c r="AG80" s="11">
        <f t="shared" si="4"/>
        <v>13.78</v>
      </c>
      <c r="AH80" s="11">
        <v>0</v>
      </c>
      <c r="AI80" s="11">
        <f t="shared" si="5"/>
        <v>13.78</v>
      </c>
      <c r="AJ80" t="s">
        <v>55</v>
      </c>
    </row>
    <row r="81" spans="1:36" ht="15" customHeight="1" x14ac:dyDescent="0.35">
      <c r="A81">
        <v>10428918</v>
      </c>
      <c r="B81" t="s">
        <v>36</v>
      </c>
      <c r="C81" t="s">
        <v>37</v>
      </c>
      <c r="D81" s="6" t="s">
        <v>38</v>
      </c>
      <c r="E81" t="s">
        <v>334</v>
      </c>
      <c r="F81" t="s">
        <v>40</v>
      </c>
      <c r="G81" t="s">
        <v>41</v>
      </c>
      <c r="H81" t="s">
        <v>335</v>
      </c>
      <c r="I81" t="s">
        <v>43</v>
      </c>
      <c r="J81">
        <v>2</v>
      </c>
      <c r="K81" t="s">
        <v>44</v>
      </c>
      <c r="L81" t="s">
        <v>45</v>
      </c>
      <c r="M81" t="s">
        <v>46</v>
      </c>
      <c r="N81" s="7">
        <v>1</v>
      </c>
      <c r="O81" s="8">
        <v>45640.762962962966</v>
      </c>
      <c r="P81" s="9">
        <v>45642</v>
      </c>
      <c r="Q81" t="s">
        <v>74</v>
      </c>
      <c r="R81" t="s">
        <v>48</v>
      </c>
      <c r="S81" t="s">
        <v>49</v>
      </c>
      <c r="T81" t="s">
        <v>69</v>
      </c>
      <c r="U81" t="s">
        <v>336</v>
      </c>
      <c r="V81">
        <v>81800</v>
      </c>
      <c r="W81" t="s">
        <v>48</v>
      </c>
      <c r="X81" t="s">
        <v>53</v>
      </c>
      <c r="Y81" t="s">
        <v>54</v>
      </c>
      <c r="Z81" s="12">
        <f>IF(N81&lt;=1,9,9+0.8*ROUNDUP(N81-1,0))</f>
        <v>9</v>
      </c>
      <c r="AA81" s="11">
        <v>-2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3"/>
        <v>0.42</v>
      </c>
      <c r="AG81" s="11">
        <f t="shared" si="4"/>
        <v>7.42</v>
      </c>
      <c r="AH81" s="11">
        <v>0</v>
      </c>
      <c r="AI81" s="11">
        <f t="shared" si="5"/>
        <v>7.42</v>
      </c>
      <c r="AJ81" t="s">
        <v>62</v>
      </c>
    </row>
    <row r="82" spans="1:36" ht="15" customHeight="1" x14ac:dyDescent="0.35">
      <c r="A82">
        <v>10428918</v>
      </c>
      <c r="B82" t="s">
        <v>36</v>
      </c>
      <c r="C82" t="s">
        <v>37</v>
      </c>
      <c r="D82" s="6" t="s">
        <v>38</v>
      </c>
      <c r="E82" t="s">
        <v>337</v>
      </c>
      <c r="F82" t="s">
        <v>40</v>
      </c>
      <c r="G82" t="s">
        <v>41</v>
      </c>
      <c r="H82" t="s">
        <v>338</v>
      </c>
      <c r="I82" t="s">
        <v>43</v>
      </c>
      <c r="J82">
        <v>2</v>
      </c>
      <c r="K82" t="s">
        <v>44</v>
      </c>
      <c r="L82" t="s">
        <v>45</v>
      </c>
      <c r="M82" t="s">
        <v>46</v>
      </c>
      <c r="N82" s="7">
        <v>2</v>
      </c>
      <c r="O82" s="8">
        <v>45640.820115740738</v>
      </c>
      <c r="P82" s="9">
        <v>45642</v>
      </c>
      <c r="Q82" t="s">
        <v>74</v>
      </c>
      <c r="R82" t="s">
        <v>48</v>
      </c>
      <c r="S82" t="s">
        <v>49</v>
      </c>
      <c r="T82" t="s">
        <v>75</v>
      </c>
      <c r="U82" t="s">
        <v>339</v>
      </c>
      <c r="V82">
        <v>25200</v>
      </c>
      <c r="W82" t="s">
        <v>48</v>
      </c>
      <c r="X82" t="s">
        <v>77</v>
      </c>
      <c r="Y82" t="s">
        <v>54</v>
      </c>
      <c r="Z82" s="12">
        <f>IF(N82&lt;=1,9,9+0.8*ROUNDUP(N82-1,0))</f>
        <v>9.8000000000000007</v>
      </c>
      <c r="AA82" s="11">
        <v>-2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3"/>
        <v>0.46800000000000003</v>
      </c>
      <c r="AG82" s="11">
        <f t="shared" si="4"/>
        <v>8.2680000000000007</v>
      </c>
      <c r="AH82" s="11">
        <v>0</v>
      </c>
      <c r="AI82" s="11">
        <f t="shared" si="5"/>
        <v>8.2680000000000007</v>
      </c>
      <c r="AJ82" t="s">
        <v>62</v>
      </c>
    </row>
    <row r="83" spans="1:36" ht="15" customHeight="1" x14ac:dyDescent="0.35">
      <c r="A83">
        <v>10428918</v>
      </c>
      <c r="B83" t="s">
        <v>36</v>
      </c>
      <c r="C83" t="s">
        <v>37</v>
      </c>
      <c r="D83" s="6" t="s">
        <v>38</v>
      </c>
      <c r="E83" t="s">
        <v>340</v>
      </c>
      <c r="F83" t="s">
        <v>40</v>
      </c>
      <c r="G83" t="s">
        <v>41</v>
      </c>
      <c r="H83" t="s">
        <v>341</v>
      </c>
      <c r="I83" t="s">
        <v>43</v>
      </c>
      <c r="J83">
        <v>2</v>
      </c>
      <c r="K83" t="s">
        <v>44</v>
      </c>
      <c r="L83" t="s">
        <v>45</v>
      </c>
      <c r="M83" t="s">
        <v>46</v>
      </c>
      <c r="N83" s="7">
        <v>1</v>
      </c>
      <c r="O83" s="8">
        <v>45640.825509259259</v>
      </c>
      <c r="P83" s="9">
        <v>45642</v>
      </c>
      <c r="Q83" t="s">
        <v>74</v>
      </c>
      <c r="R83" t="s">
        <v>48</v>
      </c>
      <c r="S83" t="s">
        <v>49</v>
      </c>
      <c r="T83" t="s">
        <v>170</v>
      </c>
      <c r="U83" t="s">
        <v>342</v>
      </c>
      <c r="V83">
        <v>56100</v>
      </c>
      <c r="W83" t="s">
        <v>48</v>
      </c>
      <c r="X83" t="s">
        <v>343</v>
      </c>
      <c r="Y83" t="s">
        <v>54</v>
      </c>
      <c r="Z83" s="12">
        <f>IF(N83&lt;=1,9,9+0.8*ROUNDUP(N83-1,0))</f>
        <v>9</v>
      </c>
      <c r="AA83" s="11">
        <v>-2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3"/>
        <v>0.42</v>
      </c>
      <c r="AG83" s="11">
        <f t="shared" si="4"/>
        <v>7.42</v>
      </c>
      <c r="AH83" s="11">
        <v>0</v>
      </c>
      <c r="AI83" s="11">
        <f t="shared" si="5"/>
        <v>7.42</v>
      </c>
      <c r="AJ83" t="s">
        <v>62</v>
      </c>
    </row>
    <row r="84" spans="1:36" ht="15" customHeight="1" x14ac:dyDescent="0.35">
      <c r="A84">
        <v>10428918</v>
      </c>
      <c r="B84" t="s">
        <v>36</v>
      </c>
      <c r="C84" t="s">
        <v>37</v>
      </c>
      <c r="D84" s="6" t="s">
        <v>38</v>
      </c>
      <c r="E84" t="s">
        <v>344</v>
      </c>
      <c r="F84" t="s">
        <v>40</v>
      </c>
      <c r="G84" t="s">
        <v>41</v>
      </c>
      <c r="H84" t="s">
        <v>345</v>
      </c>
      <c r="I84" t="s">
        <v>43</v>
      </c>
      <c r="J84">
        <v>2</v>
      </c>
      <c r="K84" t="s">
        <v>44</v>
      </c>
      <c r="L84" t="s">
        <v>45</v>
      </c>
      <c r="M84" t="s">
        <v>46</v>
      </c>
      <c r="N84" s="7">
        <v>2</v>
      </c>
      <c r="O84" s="8">
        <v>45640.820127314815</v>
      </c>
      <c r="P84" s="9">
        <v>45642</v>
      </c>
      <c r="Q84" t="s">
        <v>74</v>
      </c>
      <c r="R84" t="s">
        <v>48</v>
      </c>
      <c r="S84" t="s">
        <v>49</v>
      </c>
      <c r="T84" t="s">
        <v>75</v>
      </c>
      <c r="U84" t="s">
        <v>346</v>
      </c>
      <c r="V84">
        <v>27050</v>
      </c>
      <c r="W84" t="s">
        <v>48</v>
      </c>
      <c r="X84" t="s">
        <v>77</v>
      </c>
      <c r="Y84" t="s">
        <v>54</v>
      </c>
      <c r="Z84" s="12">
        <f>IF(N84&lt;=1,9,9+0.8*ROUNDUP(N84-1,0))</f>
        <v>9.8000000000000007</v>
      </c>
      <c r="AA84" s="11">
        <v>-2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3"/>
        <v>0.46800000000000003</v>
      </c>
      <c r="AG84" s="11">
        <f t="shared" si="4"/>
        <v>8.2680000000000007</v>
      </c>
      <c r="AH84" s="11">
        <v>0</v>
      </c>
      <c r="AI84" s="11">
        <f t="shared" si="5"/>
        <v>8.2680000000000007</v>
      </c>
      <c r="AJ84" t="s">
        <v>62</v>
      </c>
    </row>
    <row r="85" spans="1:36" ht="15" customHeight="1" x14ac:dyDescent="0.35">
      <c r="A85">
        <v>10428918</v>
      </c>
      <c r="B85" t="s">
        <v>36</v>
      </c>
      <c r="C85" t="s">
        <v>37</v>
      </c>
      <c r="D85" s="6" t="s">
        <v>38</v>
      </c>
      <c r="E85" t="s">
        <v>347</v>
      </c>
      <c r="F85" t="s">
        <v>40</v>
      </c>
      <c r="G85" t="s">
        <v>41</v>
      </c>
      <c r="H85" t="s">
        <v>348</v>
      </c>
      <c r="I85" t="s">
        <v>43</v>
      </c>
      <c r="J85">
        <v>2</v>
      </c>
      <c r="K85" t="s">
        <v>44</v>
      </c>
      <c r="L85" t="s">
        <v>45</v>
      </c>
      <c r="M85" t="s">
        <v>46</v>
      </c>
      <c r="N85" s="7">
        <v>1</v>
      </c>
      <c r="O85" s="8">
        <v>45640.688993055555</v>
      </c>
      <c r="P85" s="9">
        <v>45642</v>
      </c>
      <c r="Q85" t="s">
        <v>74</v>
      </c>
      <c r="R85" t="s">
        <v>48</v>
      </c>
      <c r="S85" t="s">
        <v>49</v>
      </c>
      <c r="T85" t="s">
        <v>170</v>
      </c>
      <c r="U85" t="s">
        <v>349</v>
      </c>
      <c r="V85">
        <v>53300</v>
      </c>
      <c r="W85" t="s">
        <v>48</v>
      </c>
      <c r="X85" t="s">
        <v>350</v>
      </c>
      <c r="Y85" t="s">
        <v>54</v>
      </c>
      <c r="Z85" s="12">
        <f>IF(N85&lt;=1,9,9+0.8*ROUNDUP(N85-1,0))</f>
        <v>9</v>
      </c>
      <c r="AA85" s="11">
        <v>-2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3"/>
        <v>0.42</v>
      </c>
      <c r="AG85" s="11">
        <f t="shared" si="4"/>
        <v>7.42</v>
      </c>
      <c r="AH85" s="11">
        <v>0</v>
      </c>
      <c r="AI85" s="11">
        <f t="shared" si="5"/>
        <v>7.42</v>
      </c>
      <c r="AJ85" t="s">
        <v>62</v>
      </c>
    </row>
    <row r="86" spans="1:36" ht="15" customHeight="1" x14ac:dyDescent="0.35">
      <c r="A86">
        <v>10428918</v>
      </c>
      <c r="B86" t="s">
        <v>36</v>
      </c>
      <c r="C86" t="s">
        <v>37</v>
      </c>
      <c r="D86" s="6" t="s">
        <v>38</v>
      </c>
      <c r="E86" t="s">
        <v>351</v>
      </c>
      <c r="F86" t="s">
        <v>40</v>
      </c>
      <c r="G86" t="s">
        <v>41</v>
      </c>
      <c r="H86" t="s">
        <v>352</v>
      </c>
      <c r="I86" t="s">
        <v>43</v>
      </c>
      <c r="J86">
        <v>2</v>
      </c>
      <c r="K86" t="s">
        <v>44</v>
      </c>
      <c r="L86" t="s">
        <v>45</v>
      </c>
      <c r="M86" t="s">
        <v>46</v>
      </c>
      <c r="N86" s="7">
        <v>1</v>
      </c>
      <c r="O86" s="8">
        <v>45640.799027777779</v>
      </c>
      <c r="P86" s="9">
        <v>45642</v>
      </c>
      <c r="Q86" t="s">
        <v>74</v>
      </c>
      <c r="R86" t="s">
        <v>48</v>
      </c>
      <c r="S86" t="s">
        <v>49</v>
      </c>
      <c r="T86" t="s">
        <v>90</v>
      </c>
      <c r="U86" t="s">
        <v>353</v>
      </c>
      <c r="V86">
        <v>21200</v>
      </c>
      <c r="W86" t="s">
        <v>48</v>
      </c>
      <c r="X86" t="s">
        <v>92</v>
      </c>
      <c r="Y86" t="s">
        <v>54</v>
      </c>
      <c r="Z86" s="12">
        <f>IF(N86&lt;=1,9,9+0.8*ROUNDUP(N86-1,0))</f>
        <v>9</v>
      </c>
      <c r="AA86" s="11">
        <v>-2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3"/>
        <v>0.42</v>
      </c>
      <c r="AG86" s="11">
        <f t="shared" si="4"/>
        <v>7.42</v>
      </c>
      <c r="AH86" s="11">
        <v>0</v>
      </c>
      <c r="AI86" s="11">
        <f t="shared" si="5"/>
        <v>7.42</v>
      </c>
      <c r="AJ86" t="s">
        <v>62</v>
      </c>
    </row>
    <row r="87" spans="1:36" ht="15" customHeight="1" x14ac:dyDescent="0.35">
      <c r="A87">
        <v>10428918</v>
      </c>
      <c r="B87" t="s">
        <v>36</v>
      </c>
      <c r="C87" t="s">
        <v>37</v>
      </c>
      <c r="D87" s="6" t="s">
        <v>38</v>
      </c>
      <c r="E87" t="s">
        <v>354</v>
      </c>
      <c r="F87" t="s">
        <v>40</v>
      </c>
      <c r="G87" t="s">
        <v>41</v>
      </c>
      <c r="H87" t="s">
        <v>355</v>
      </c>
      <c r="I87" t="s">
        <v>43</v>
      </c>
      <c r="J87">
        <v>2</v>
      </c>
      <c r="K87" t="s">
        <v>44</v>
      </c>
      <c r="L87" t="s">
        <v>45</v>
      </c>
      <c r="M87" t="s">
        <v>46</v>
      </c>
      <c r="N87" s="7">
        <v>1</v>
      </c>
      <c r="O87" s="8">
        <v>45640.526192129626</v>
      </c>
      <c r="P87" s="9">
        <v>45642</v>
      </c>
      <c r="Q87" t="s">
        <v>74</v>
      </c>
      <c r="R87" t="s">
        <v>48</v>
      </c>
      <c r="S87" t="s">
        <v>49</v>
      </c>
      <c r="T87" t="s">
        <v>117</v>
      </c>
      <c r="U87" t="s">
        <v>356</v>
      </c>
      <c r="V87">
        <v>43200</v>
      </c>
      <c r="W87" t="s">
        <v>48</v>
      </c>
      <c r="X87" t="s">
        <v>357</v>
      </c>
      <c r="Y87" t="s">
        <v>54</v>
      </c>
      <c r="Z87" s="12">
        <f>IF(N87&lt;=1,9,9+0.8*ROUNDUP(N87-1,0))</f>
        <v>9</v>
      </c>
      <c r="AA87" s="11">
        <v>-2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3"/>
        <v>0.42</v>
      </c>
      <c r="AG87" s="11">
        <f t="shared" si="4"/>
        <v>7.42</v>
      </c>
      <c r="AH87" s="11">
        <v>0</v>
      </c>
      <c r="AI87" s="11">
        <f t="shared" si="5"/>
        <v>7.42</v>
      </c>
      <c r="AJ87" t="s">
        <v>62</v>
      </c>
    </row>
    <row r="88" spans="1:36" ht="15" customHeight="1" x14ac:dyDescent="0.35">
      <c r="A88">
        <v>10428918</v>
      </c>
      <c r="B88" t="s">
        <v>36</v>
      </c>
      <c r="C88" t="s">
        <v>37</v>
      </c>
      <c r="D88" s="6" t="s">
        <v>38</v>
      </c>
      <c r="E88" t="s">
        <v>358</v>
      </c>
      <c r="F88" t="s">
        <v>40</v>
      </c>
      <c r="G88" t="s">
        <v>41</v>
      </c>
      <c r="H88" t="s">
        <v>359</v>
      </c>
      <c r="I88" t="s">
        <v>43</v>
      </c>
      <c r="J88">
        <v>2</v>
      </c>
      <c r="K88" t="s">
        <v>44</v>
      </c>
      <c r="L88" t="s">
        <v>45</v>
      </c>
      <c r="M88" t="s">
        <v>46</v>
      </c>
      <c r="N88" s="7">
        <v>1</v>
      </c>
      <c r="O88" s="8">
        <v>45641.821712962963</v>
      </c>
      <c r="P88" s="9">
        <v>45643</v>
      </c>
      <c r="Q88" t="s">
        <v>74</v>
      </c>
      <c r="R88" t="s">
        <v>48</v>
      </c>
      <c r="S88" t="s">
        <v>49</v>
      </c>
      <c r="T88" t="s">
        <v>65</v>
      </c>
      <c r="U88" t="s">
        <v>360</v>
      </c>
      <c r="V88">
        <v>75460</v>
      </c>
      <c r="W88" t="s">
        <v>48</v>
      </c>
      <c r="X88" t="s">
        <v>361</v>
      </c>
      <c r="Y88" t="s">
        <v>54</v>
      </c>
      <c r="Z88" s="12">
        <f>IF(N88&lt;=1,9,9+0.8*ROUNDUP(N88-1,0))</f>
        <v>9</v>
      </c>
      <c r="AA88" s="11">
        <v>-2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3"/>
        <v>0.42</v>
      </c>
      <c r="AG88" s="11">
        <f t="shared" si="4"/>
        <v>7.42</v>
      </c>
      <c r="AH88" s="11">
        <v>0</v>
      </c>
      <c r="AI88" s="11">
        <f t="shared" si="5"/>
        <v>7.42</v>
      </c>
      <c r="AJ88" t="s">
        <v>62</v>
      </c>
    </row>
    <row r="89" spans="1:36" ht="15" customHeight="1" x14ac:dyDescent="0.35">
      <c r="A89">
        <v>10428918</v>
      </c>
      <c r="B89" t="s">
        <v>36</v>
      </c>
      <c r="C89" t="s">
        <v>37</v>
      </c>
      <c r="D89" s="6" t="s">
        <v>38</v>
      </c>
      <c r="E89" t="s">
        <v>362</v>
      </c>
      <c r="F89" t="s">
        <v>40</v>
      </c>
      <c r="G89" t="s">
        <v>41</v>
      </c>
      <c r="H89" t="s">
        <v>363</v>
      </c>
      <c r="I89" t="s">
        <v>43</v>
      </c>
      <c r="J89">
        <v>2</v>
      </c>
      <c r="K89" t="s">
        <v>44</v>
      </c>
      <c r="L89" t="s">
        <v>45</v>
      </c>
      <c r="M89" t="s">
        <v>46</v>
      </c>
      <c r="N89" s="7">
        <v>2</v>
      </c>
      <c r="O89" s="8">
        <v>45641.50922453704</v>
      </c>
      <c r="P89" s="9">
        <v>45643</v>
      </c>
      <c r="Q89" t="s">
        <v>74</v>
      </c>
      <c r="R89" t="s">
        <v>48</v>
      </c>
      <c r="S89" t="s">
        <v>49</v>
      </c>
      <c r="T89" t="s">
        <v>170</v>
      </c>
      <c r="U89" t="s">
        <v>364</v>
      </c>
      <c r="V89">
        <v>50400</v>
      </c>
      <c r="W89" t="s">
        <v>48</v>
      </c>
      <c r="X89" t="s">
        <v>365</v>
      </c>
      <c r="Y89" t="s">
        <v>54</v>
      </c>
      <c r="Z89" s="12">
        <f>IF(N89&lt;=1,9,9+0.8*ROUNDUP(N89-1,0))</f>
        <v>9.8000000000000007</v>
      </c>
      <c r="AA89" s="11">
        <v>-2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3"/>
        <v>0.46800000000000003</v>
      </c>
      <c r="AG89" s="11">
        <f t="shared" si="4"/>
        <v>8.2680000000000007</v>
      </c>
      <c r="AH89" s="11">
        <v>0</v>
      </c>
      <c r="AI89" s="11">
        <f t="shared" si="5"/>
        <v>8.2680000000000007</v>
      </c>
      <c r="AJ89" t="s">
        <v>62</v>
      </c>
    </row>
    <row r="90" spans="1:36" ht="15" customHeight="1" x14ac:dyDescent="0.35">
      <c r="A90">
        <v>10428918</v>
      </c>
      <c r="B90" t="s">
        <v>36</v>
      </c>
      <c r="C90" t="s">
        <v>37</v>
      </c>
      <c r="D90" s="6" t="s">
        <v>38</v>
      </c>
      <c r="E90" t="s">
        <v>366</v>
      </c>
      <c r="F90" t="s">
        <v>40</v>
      </c>
      <c r="G90" t="s">
        <v>41</v>
      </c>
      <c r="H90" t="s">
        <v>367</v>
      </c>
      <c r="I90" t="s">
        <v>43</v>
      </c>
      <c r="J90">
        <v>2</v>
      </c>
      <c r="K90" t="s">
        <v>44</v>
      </c>
      <c r="L90" t="s">
        <v>45</v>
      </c>
      <c r="M90" t="s">
        <v>46</v>
      </c>
      <c r="N90" s="7">
        <v>2</v>
      </c>
      <c r="O90" s="8">
        <v>45642.66165509259</v>
      </c>
      <c r="P90" s="9">
        <v>45643</v>
      </c>
      <c r="Q90" t="s">
        <v>74</v>
      </c>
      <c r="R90" t="s">
        <v>48</v>
      </c>
      <c r="S90" t="s">
        <v>49</v>
      </c>
      <c r="T90" t="s">
        <v>65</v>
      </c>
      <c r="U90" t="s">
        <v>368</v>
      </c>
      <c r="V90">
        <v>75150</v>
      </c>
      <c r="W90" t="s">
        <v>48</v>
      </c>
      <c r="X90" t="s">
        <v>167</v>
      </c>
      <c r="Y90" t="s">
        <v>54</v>
      </c>
      <c r="Z90" s="12">
        <f>IF(N90&lt;=1,9,9+0.8*ROUNDUP(N90-1,0))</f>
        <v>9.8000000000000007</v>
      </c>
      <c r="AA90" s="11">
        <v>-2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3"/>
        <v>0.46800000000000003</v>
      </c>
      <c r="AG90" s="11">
        <f t="shared" si="4"/>
        <v>8.2680000000000007</v>
      </c>
      <c r="AH90" s="11">
        <v>0</v>
      </c>
      <c r="AI90" s="11">
        <f t="shared" si="5"/>
        <v>8.2680000000000007</v>
      </c>
      <c r="AJ90" t="s">
        <v>62</v>
      </c>
    </row>
    <row r="91" spans="1:36" ht="15" customHeight="1" x14ac:dyDescent="0.35">
      <c r="A91">
        <v>10428918</v>
      </c>
      <c r="B91" t="s">
        <v>36</v>
      </c>
      <c r="C91" t="s">
        <v>37</v>
      </c>
      <c r="D91" s="6" t="s">
        <v>38</v>
      </c>
      <c r="E91" t="s">
        <v>369</v>
      </c>
      <c r="F91" t="s">
        <v>40</v>
      </c>
      <c r="G91" t="s">
        <v>41</v>
      </c>
      <c r="H91" t="s">
        <v>370</v>
      </c>
      <c r="I91" t="s">
        <v>43</v>
      </c>
      <c r="J91">
        <v>2</v>
      </c>
      <c r="K91" t="s">
        <v>44</v>
      </c>
      <c r="L91" t="s">
        <v>45</v>
      </c>
      <c r="M91" t="s">
        <v>46</v>
      </c>
      <c r="N91" s="7">
        <v>1</v>
      </c>
      <c r="O91" s="8">
        <v>45642.401805555557</v>
      </c>
      <c r="P91" s="9">
        <v>45643</v>
      </c>
      <c r="Q91" t="s">
        <v>74</v>
      </c>
      <c r="R91" t="s">
        <v>48</v>
      </c>
      <c r="S91" t="s">
        <v>49</v>
      </c>
      <c r="T91" t="s">
        <v>85</v>
      </c>
      <c r="U91" t="s">
        <v>371</v>
      </c>
      <c r="V91">
        <v>72000</v>
      </c>
      <c r="W91" t="s">
        <v>48</v>
      </c>
      <c r="X91" t="s">
        <v>243</v>
      </c>
      <c r="Y91" t="s">
        <v>54</v>
      </c>
      <c r="Z91" s="12">
        <f>IF(N91&lt;=1,9,9+0.8*ROUNDUP(N91-1,0))</f>
        <v>9</v>
      </c>
      <c r="AA91" s="11">
        <v>-2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3"/>
        <v>0.42</v>
      </c>
      <c r="AG91" s="11">
        <f t="shared" si="4"/>
        <v>7.42</v>
      </c>
      <c r="AH91" s="11">
        <v>0</v>
      </c>
      <c r="AI91" s="11">
        <f t="shared" si="5"/>
        <v>7.42</v>
      </c>
      <c r="AJ91" t="s">
        <v>62</v>
      </c>
    </row>
    <row r="92" spans="1:36" ht="15" customHeight="1" x14ac:dyDescent="0.35">
      <c r="A92">
        <v>10428918</v>
      </c>
      <c r="B92" t="s">
        <v>36</v>
      </c>
      <c r="C92" t="s">
        <v>37</v>
      </c>
      <c r="D92" s="6" t="s">
        <v>38</v>
      </c>
      <c r="E92" t="s">
        <v>372</v>
      </c>
      <c r="F92" t="s">
        <v>40</v>
      </c>
      <c r="G92" t="s">
        <v>41</v>
      </c>
      <c r="H92" t="s">
        <v>373</v>
      </c>
      <c r="I92" t="s">
        <v>43</v>
      </c>
      <c r="J92">
        <v>2</v>
      </c>
      <c r="K92" t="s">
        <v>44</v>
      </c>
      <c r="L92" t="s">
        <v>45</v>
      </c>
      <c r="M92" t="s">
        <v>46</v>
      </c>
      <c r="N92" s="7">
        <v>2</v>
      </c>
      <c r="O92" s="8">
        <v>45641.653622685182</v>
      </c>
      <c r="P92" s="9">
        <v>45643</v>
      </c>
      <c r="Q92" t="s">
        <v>74</v>
      </c>
      <c r="R92" t="s">
        <v>48</v>
      </c>
      <c r="S92" t="s">
        <v>49</v>
      </c>
      <c r="T92" t="s">
        <v>90</v>
      </c>
      <c r="U92" t="s">
        <v>374</v>
      </c>
      <c r="V92">
        <v>21020</v>
      </c>
      <c r="W92" t="s">
        <v>48</v>
      </c>
      <c r="X92" t="s">
        <v>92</v>
      </c>
      <c r="Y92" t="s">
        <v>54</v>
      </c>
      <c r="Z92" s="12">
        <f>IF(N92&lt;=1,9,9+0.8*ROUNDUP(N92-1,0))</f>
        <v>9.8000000000000007</v>
      </c>
      <c r="AA92" s="11">
        <v>-2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3"/>
        <v>0.46800000000000003</v>
      </c>
      <c r="AG92" s="11">
        <f t="shared" si="4"/>
        <v>8.2680000000000007</v>
      </c>
      <c r="AH92" s="11">
        <v>0</v>
      </c>
      <c r="AI92" s="11">
        <f t="shared" si="5"/>
        <v>8.2680000000000007</v>
      </c>
      <c r="AJ92" t="s">
        <v>62</v>
      </c>
    </row>
    <row r="93" spans="1:36" ht="15" customHeight="1" x14ac:dyDescent="0.35">
      <c r="A93">
        <v>10428918</v>
      </c>
      <c r="B93" t="s">
        <v>36</v>
      </c>
      <c r="C93" t="s">
        <v>37</v>
      </c>
      <c r="D93" s="6" t="s">
        <v>38</v>
      </c>
      <c r="E93" t="s">
        <v>375</v>
      </c>
      <c r="F93" t="s">
        <v>40</v>
      </c>
      <c r="G93" t="s">
        <v>41</v>
      </c>
      <c r="H93" t="s">
        <v>376</v>
      </c>
      <c r="I93" t="s">
        <v>43</v>
      </c>
      <c r="J93">
        <v>2</v>
      </c>
      <c r="K93" t="s">
        <v>44</v>
      </c>
      <c r="L93" t="s">
        <v>45</v>
      </c>
      <c r="M93" t="s">
        <v>46</v>
      </c>
      <c r="N93" s="7">
        <v>2</v>
      </c>
      <c r="O93" s="8">
        <v>45641.653611111113</v>
      </c>
      <c r="P93" s="9">
        <v>45643</v>
      </c>
      <c r="Q93" t="s">
        <v>74</v>
      </c>
      <c r="R93" t="s">
        <v>48</v>
      </c>
      <c r="S93" t="s">
        <v>49</v>
      </c>
      <c r="T93" t="s">
        <v>117</v>
      </c>
      <c r="U93" t="s">
        <v>377</v>
      </c>
      <c r="V93">
        <v>53100</v>
      </c>
      <c r="W93" t="s">
        <v>48</v>
      </c>
      <c r="X93" t="s">
        <v>378</v>
      </c>
      <c r="Y93" t="s">
        <v>54</v>
      </c>
      <c r="Z93" s="12">
        <f>IF(N93&lt;=1,9,9+0.8*ROUNDUP(N93-1,0))</f>
        <v>9.8000000000000007</v>
      </c>
      <c r="AA93" s="11">
        <v>-2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3"/>
        <v>0.46800000000000003</v>
      </c>
      <c r="AG93" s="11">
        <f t="shared" si="4"/>
        <v>8.2680000000000007</v>
      </c>
      <c r="AH93" s="11">
        <v>0</v>
      </c>
      <c r="AI93" s="11">
        <f t="shared" si="5"/>
        <v>8.2680000000000007</v>
      </c>
      <c r="AJ93" t="s">
        <v>62</v>
      </c>
    </row>
    <row r="94" spans="1:36" ht="15" customHeight="1" x14ac:dyDescent="0.35">
      <c r="A94">
        <v>10428918</v>
      </c>
      <c r="B94" t="s">
        <v>36</v>
      </c>
      <c r="C94" t="s">
        <v>37</v>
      </c>
      <c r="D94" s="6" t="s">
        <v>38</v>
      </c>
      <c r="E94" t="s">
        <v>379</v>
      </c>
      <c r="F94" t="s">
        <v>40</v>
      </c>
      <c r="G94" t="s">
        <v>41</v>
      </c>
      <c r="H94" t="s">
        <v>380</v>
      </c>
      <c r="I94" t="s">
        <v>43</v>
      </c>
      <c r="J94">
        <v>2</v>
      </c>
      <c r="K94" t="s">
        <v>44</v>
      </c>
      <c r="L94" t="s">
        <v>45</v>
      </c>
      <c r="M94" t="s">
        <v>46</v>
      </c>
      <c r="N94" s="7">
        <v>1</v>
      </c>
      <c r="O94" s="8">
        <v>45641.699131944442</v>
      </c>
      <c r="P94" s="9">
        <v>45643</v>
      </c>
      <c r="Q94" t="s">
        <v>74</v>
      </c>
      <c r="R94" t="s">
        <v>48</v>
      </c>
      <c r="S94" t="s">
        <v>49</v>
      </c>
      <c r="T94" t="s">
        <v>80</v>
      </c>
      <c r="U94" t="s">
        <v>381</v>
      </c>
      <c r="V94">
        <v>5350</v>
      </c>
      <c r="W94" t="s">
        <v>48</v>
      </c>
      <c r="X94" t="s">
        <v>137</v>
      </c>
      <c r="Y94" t="s">
        <v>54</v>
      </c>
      <c r="Z94" s="12">
        <f>IF(N94&lt;=1,9,9+0.8*ROUNDUP(N94-1,0))</f>
        <v>9</v>
      </c>
      <c r="AA94" s="11">
        <v>-2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3"/>
        <v>0.42</v>
      </c>
      <c r="AG94" s="11">
        <f t="shared" si="4"/>
        <v>7.42</v>
      </c>
      <c r="AH94" s="11">
        <v>0</v>
      </c>
      <c r="AI94" s="11">
        <f t="shared" si="5"/>
        <v>7.42</v>
      </c>
      <c r="AJ94" t="s">
        <v>62</v>
      </c>
    </row>
    <row r="95" spans="1:36" ht="15" customHeight="1" x14ac:dyDescent="0.35">
      <c r="A95">
        <v>10428918</v>
      </c>
      <c r="B95" t="s">
        <v>36</v>
      </c>
      <c r="C95" t="s">
        <v>37</v>
      </c>
      <c r="D95" s="6" t="s">
        <v>38</v>
      </c>
      <c r="E95" t="s">
        <v>382</v>
      </c>
      <c r="F95" t="s">
        <v>40</v>
      </c>
      <c r="G95" t="s">
        <v>41</v>
      </c>
      <c r="H95" t="s">
        <v>383</v>
      </c>
      <c r="I95" t="s">
        <v>43</v>
      </c>
      <c r="J95">
        <v>2</v>
      </c>
      <c r="K95" t="s">
        <v>44</v>
      </c>
      <c r="L95" t="s">
        <v>45</v>
      </c>
      <c r="M95" t="s">
        <v>46</v>
      </c>
      <c r="N95" s="7">
        <v>1</v>
      </c>
      <c r="O95" s="8">
        <v>45642.661643518521</v>
      </c>
      <c r="P95" s="9">
        <v>45643</v>
      </c>
      <c r="Q95" t="s">
        <v>74</v>
      </c>
      <c r="R95" t="s">
        <v>48</v>
      </c>
      <c r="S95" t="s">
        <v>49</v>
      </c>
      <c r="T95" t="s">
        <v>90</v>
      </c>
      <c r="U95" t="s">
        <v>384</v>
      </c>
      <c r="V95">
        <v>21450</v>
      </c>
      <c r="W95" t="s">
        <v>48</v>
      </c>
      <c r="X95" t="s">
        <v>92</v>
      </c>
      <c r="Y95" t="s">
        <v>54</v>
      </c>
      <c r="Z95" s="12">
        <f>IF(N95&lt;=1,9,9+0.8*ROUNDUP(N95-1,0))</f>
        <v>9</v>
      </c>
      <c r="AA95" s="11">
        <v>-2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3"/>
        <v>0.42</v>
      </c>
      <c r="AG95" s="11">
        <f t="shared" si="4"/>
        <v>7.42</v>
      </c>
      <c r="AH95" s="11">
        <v>0</v>
      </c>
      <c r="AI95" s="11">
        <f t="shared" si="5"/>
        <v>7.42</v>
      </c>
      <c r="AJ95" t="s">
        <v>62</v>
      </c>
    </row>
    <row r="96" spans="1:36" ht="15" customHeight="1" x14ac:dyDescent="0.35">
      <c r="A96">
        <v>10428918</v>
      </c>
      <c r="B96" t="s">
        <v>36</v>
      </c>
      <c r="C96" t="s">
        <v>37</v>
      </c>
      <c r="D96" s="6" t="s">
        <v>38</v>
      </c>
      <c r="E96" t="s">
        <v>385</v>
      </c>
      <c r="F96" t="s">
        <v>40</v>
      </c>
      <c r="G96" t="s">
        <v>41</v>
      </c>
      <c r="H96" t="s">
        <v>386</v>
      </c>
      <c r="I96" t="s">
        <v>43</v>
      </c>
      <c r="J96">
        <v>2</v>
      </c>
      <c r="K96" t="s">
        <v>44</v>
      </c>
      <c r="L96" t="s">
        <v>45</v>
      </c>
      <c r="M96" t="s">
        <v>46</v>
      </c>
      <c r="N96" s="7">
        <v>1</v>
      </c>
      <c r="O96" s="8">
        <v>45639.397615740738</v>
      </c>
      <c r="P96" s="9">
        <v>45643</v>
      </c>
      <c r="Q96" t="s">
        <v>58</v>
      </c>
      <c r="R96" t="s">
        <v>48</v>
      </c>
      <c r="S96" t="s">
        <v>49</v>
      </c>
      <c r="T96" t="s">
        <v>50</v>
      </c>
      <c r="U96" t="s">
        <v>387</v>
      </c>
      <c r="V96">
        <v>88200</v>
      </c>
      <c r="W96" t="s">
        <v>52</v>
      </c>
      <c r="X96" t="s">
        <v>53</v>
      </c>
      <c r="Y96" t="s">
        <v>54</v>
      </c>
      <c r="Z96" s="10">
        <f>IF(N96&lt;=1,13,IF(N96&lt;=2,23,IF(N96&lt;=3,35,IF(N96&lt;=4,43,IF(N96&lt;=5,53,IF(N96&lt;=6,63,IF(N96&lt;=7,71,IF(N96&lt;=8,79,IF(N96&lt;=9,87,IF(N96&lt;=10,95,IF(N96&lt;=11,105,IF(N96&lt;=12,114,IF(N96&lt;=13,119,IF(N96&lt;=14,127,IF(N96&lt;=15,135,IF(N96&lt;=16,143,IF(N96&lt;=17,153,IF(N96&lt;=18,163,IF(N96&lt;=19,171,IF(N96&lt;=20,185,IF(N96&lt;=21,193,IF(N96&lt;=22,201,IF(N96&lt;=23,210,IF(N96&lt;=24,220,IF(N96&lt;=25,230,IF(N96&lt;=26,240,IF(N96&lt;=27,250,IF(N96&lt;=28,260,IF(N96&lt;=29,270,IF(N96&lt;=30,280,280+10*ROUNDUP(N96-30,0)))))))))))))))))))))))))))))))</f>
        <v>13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3"/>
        <v>0.78</v>
      </c>
      <c r="AG96" s="11">
        <f t="shared" si="4"/>
        <v>13.78</v>
      </c>
      <c r="AH96" s="11">
        <v>0</v>
      </c>
      <c r="AI96" s="11">
        <f t="shared" si="5"/>
        <v>13.78</v>
      </c>
      <c r="AJ96" t="s">
        <v>55</v>
      </c>
    </row>
    <row r="97" spans="1:36" ht="15" customHeight="1" x14ac:dyDescent="0.35">
      <c r="A97">
        <v>10428918</v>
      </c>
      <c r="B97" t="s">
        <v>36</v>
      </c>
      <c r="C97" t="s">
        <v>37</v>
      </c>
      <c r="D97" s="6" t="s">
        <v>38</v>
      </c>
      <c r="E97" t="s">
        <v>388</v>
      </c>
      <c r="F97" t="s">
        <v>40</v>
      </c>
      <c r="G97" t="s">
        <v>41</v>
      </c>
      <c r="H97" t="s">
        <v>389</v>
      </c>
      <c r="I97" t="s">
        <v>43</v>
      </c>
      <c r="J97">
        <v>2</v>
      </c>
      <c r="K97" t="s">
        <v>44</v>
      </c>
      <c r="L97" t="s">
        <v>45</v>
      </c>
      <c r="M97" t="s">
        <v>46</v>
      </c>
      <c r="N97" s="7">
        <v>6</v>
      </c>
      <c r="O97" s="8">
        <v>45641.839363425926</v>
      </c>
      <c r="P97" s="9">
        <v>45643</v>
      </c>
      <c r="Q97" t="s">
        <v>74</v>
      </c>
      <c r="R97" t="s">
        <v>48</v>
      </c>
      <c r="S97" t="s">
        <v>49</v>
      </c>
      <c r="T97" t="s">
        <v>65</v>
      </c>
      <c r="U97" t="s">
        <v>390</v>
      </c>
      <c r="V97">
        <v>77300</v>
      </c>
      <c r="W97" t="s">
        <v>48</v>
      </c>
      <c r="X97" t="s">
        <v>361</v>
      </c>
      <c r="Y97" t="s">
        <v>54</v>
      </c>
      <c r="Z97" s="12">
        <f>IF(N97&lt;=1,9,9+0.8*ROUNDUP(N97-1,0))</f>
        <v>13</v>
      </c>
      <c r="AA97" s="11">
        <v>-2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3"/>
        <v>0.65999999999999992</v>
      </c>
      <c r="AG97" s="11">
        <f t="shared" si="4"/>
        <v>11.66</v>
      </c>
      <c r="AH97" s="11">
        <v>0</v>
      </c>
      <c r="AI97" s="11">
        <f t="shared" si="5"/>
        <v>11.66</v>
      </c>
      <c r="AJ97" t="s">
        <v>62</v>
      </c>
    </row>
    <row r="98" spans="1:36" ht="15" customHeight="1" x14ac:dyDescent="0.35">
      <c r="A98">
        <v>10428918</v>
      </c>
      <c r="B98" t="s">
        <v>36</v>
      </c>
      <c r="C98" t="s">
        <v>37</v>
      </c>
      <c r="D98" s="6" t="s">
        <v>38</v>
      </c>
      <c r="E98" t="s">
        <v>391</v>
      </c>
      <c r="F98" t="s">
        <v>40</v>
      </c>
      <c r="G98" t="s">
        <v>41</v>
      </c>
      <c r="H98" t="s">
        <v>392</v>
      </c>
      <c r="I98" t="s">
        <v>43</v>
      </c>
      <c r="J98">
        <v>2</v>
      </c>
      <c r="K98" t="s">
        <v>44</v>
      </c>
      <c r="L98" t="s">
        <v>45</v>
      </c>
      <c r="M98" t="s">
        <v>46</v>
      </c>
      <c r="N98" s="7">
        <v>8</v>
      </c>
      <c r="O98" s="8">
        <v>45641.58390046296</v>
      </c>
      <c r="P98" s="9">
        <v>45643</v>
      </c>
      <c r="Q98" t="s">
        <v>74</v>
      </c>
      <c r="R98" t="s">
        <v>48</v>
      </c>
      <c r="S98" t="s">
        <v>49</v>
      </c>
      <c r="T98" t="s">
        <v>69</v>
      </c>
      <c r="U98" t="s">
        <v>393</v>
      </c>
      <c r="V98">
        <v>81300</v>
      </c>
      <c r="W98" t="s">
        <v>48</v>
      </c>
      <c r="X98" t="s">
        <v>394</v>
      </c>
      <c r="Y98" t="s">
        <v>54</v>
      </c>
      <c r="Z98" s="12">
        <f>IF(N98&lt;=1,9,9+0.8*ROUNDUP(N98-1,0))</f>
        <v>14.600000000000001</v>
      </c>
      <c r="AA98" s="11">
        <v>-2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3"/>
        <v>0.75600000000000001</v>
      </c>
      <c r="AG98" s="11">
        <f t="shared" si="4"/>
        <v>13.356000000000002</v>
      </c>
      <c r="AH98" s="11">
        <v>0</v>
      </c>
      <c r="AI98" s="11">
        <f t="shared" si="5"/>
        <v>13.356000000000002</v>
      </c>
      <c r="AJ98" t="s">
        <v>62</v>
      </c>
    </row>
    <row r="99" spans="1:36" ht="15" customHeight="1" x14ac:dyDescent="0.35">
      <c r="A99">
        <v>10428918</v>
      </c>
      <c r="B99" t="s">
        <v>36</v>
      </c>
      <c r="C99" t="s">
        <v>37</v>
      </c>
      <c r="D99" s="6" t="s">
        <v>38</v>
      </c>
      <c r="E99" t="s">
        <v>395</v>
      </c>
      <c r="F99" t="s">
        <v>40</v>
      </c>
      <c r="G99" t="s">
        <v>41</v>
      </c>
      <c r="H99" t="s">
        <v>396</v>
      </c>
      <c r="I99" t="s">
        <v>43</v>
      </c>
      <c r="J99">
        <v>2</v>
      </c>
      <c r="K99" t="s">
        <v>44</v>
      </c>
      <c r="L99" t="s">
        <v>45</v>
      </c>
      <c r="M99" t="s">
        <v>46</v>
      </c>
      <c r="N99" s="7">
        <v>1</v>
      </c>
      <c r="O99" s="8">
        <v>45641.83935185185</v>
      </c>
      <c r="P99" s="9">
        <v>45643</v>
      </c>
      <c r="Q99" t="s">
        <v>74</v>
      </c>
      <c r="R99" t="s">
        <v>48</v>
      </c>
      <c r="S99" t="s">
        <v>49</v>
      </c>
      <c r="T99" t="s">
        <v>117</v>
      </c>
      <c r="U99" t="s">
        <v>397</v>
      </c>
      <c r="V99">
        <v>43500</v>
      </c>
      <c r="W99" t="s">
        <v>48</v>
      </c>
      <c r="X99" t="s">
        <v>398</v>
      </c>
      <c r="Y99" t="s">
        <v>54</v>
      </c>
      <c r="Z99" s="12">
        <f>IF(N99&lt;=1,9,9+0.8*ROUNDUP(N99-1,0))</f>
        <v>9</v>
      </c>
      <c r="AA99" s="11">
        <v>-2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3"/>
        <v>0.42</v>
      </c>
      <c r="AG99" s="11">
        <f t="shared" si="4"/>
        <v>7.42</v>
      </c>
      <c r="AH99" s="11">
        <v>0</v>
      </c>
      <c r="AI99" s="11">
        <f t="shared" si="5"/>
        <v>7.42</v>
      </c>
      <c r="AJ99" t="s">
        <v>62</v>
      </c>
    </row>
    <row r="100" spans="1:36" ht="15" customHeight="1" x14ac:dyDescent="0.35">
      <c r="A100">
        <v>10428918</v>
      </c>
      <c r="B100" t="s">
        <v>36</v>
      </c>
      <c r="C100" t="s">
        <v>37</v>
      </c>
      <c r="D100" s="6" t="s">
        <v>38</v>
      </c>
      <c r="E100" t="s">
        <v>399</v>
      </c>
      <c r="F100" t="s">
        <v>40</v>
      </c>
      <c r="G100" t="s">
        <v>41</v>
      </c>
      <c r="H100" t="s">
        <v>400</v>
      </c>
      <c r="I100" t="s">
        <v>43</v>
      </c>
      <c r="J100">
        <v>2</v>
      </c>
      <c r="K100" t="s">
        <v>44</v>
      </c>
      <c r="L100" t="s">
        <v>45</v>
      </c>
      <c r="M100" t="s">
        <v>46</v>
      </c>
      <c r="N100" s="7">
        <v>1</v>
      </c>
      <c r="O100" s="8">
        <v>45640.844942129632</v>
      </c>
      <c r="P100" s="9">
        <v>45643</v>
      </c>
      <c r="Q100" t="s">
        <v>74</v>
      </c>
      <c r="R100" t="s">
        <v>48</v>
      </c>
      <c r="S100" t="s">
        <v>49</v>
      </c>
      <c r="T100" t="s">
        <v>69</v>
      </c>
      <c r="U100" t="s">
        <v>401</v>
      </c>
      <c r="V100">
        <v>85000</v>
      </c>
      <c r="W100" t="s">
        <v>48</v>
      </c>
      <c r="X100" t="s">
        <v>402</v>
      </c>
      <c r="Y100" t="s">
        <v>54</v>
      </c>
      <c r="Z100" s="12">
        <f>IF(N100&lt;=1,9,9+0.8*ROUNDUP(N100-1,0))</f>
        <v>9</v>
      </c>
      <c r="AA100" s="11">
        <v>-2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3"/>
        <v>0.42</v>
      </c>
      <c r="AG100" s="11">
        <f t="shared" si="4"/>
        <v>7.42</v>
      </c>
      <c r="AH100" s="11">
        <v>0</v>
      </c>
      <c r="AI100" s="11">
        <f t="shared" si="5"/>
        <v>7.42</v>
      </c>
      <c r="AJ100" t="s">
        <v>62</v>
      </c>
    </row>
    <row r="101" spans="1:36" ht="15" customHeight="1" x14ac:dyDescent="0.35">
      <c r="A101">
        <v>10428918</v>
      </c>
      <c r="B101" t="s">
        <v>36</v>
      </c>
      <c r="C101" t="s">
        <v>37</v>
      </c>
      <c r="D101" s="6" t="s">
        <v>38</v>
      </c>
      <c r="E101" t="s">
        <v>403</v>
      </c>
      <c r="F101" t="s">
        <v>40</v>
      </c>
      <c r="G101" t="s">
        <v>41</v>
      </c>
      <c r="H101" t="s">
        <v>404</v>
      </c>
      <c r="I101" t="s">
        <v>43</v>
      </c>
      <c r="J101">
        <v>2</v>
      </c>
      <c r="K101" t="s">
        <v>44</v>
      </c>
      <c r="L101" t="s">
        <v>45</v>
      </c>
      <c r="M101" t="s">
        <v>46</v>
      </c>
      <c r="N101" s="7">
        <v>1</v>
      </c>
      <c r="O101" s="8">
        <v>45641.663784722223</v>
      </c>
      <c r="P101" s="9">
        <v>45643</v>
      </c>
      <c r="Q101" t="s">
        <v>74</v>
      </c>
      <c r="R101" t="s">
        <v>48</v>
      </c>
      <c r="S101" t="s">
        <v>49</v>
      </c>
      <c r="T101" t="s">
        <v>65</v>
      </c>
      <c r="U101" t="s">
        <v>405</v>
      </c>
      <c r="V101">
        <v>75260</v>
      </c>
      <c r="W101" t="s">
        <v>48</v>
      </c>
      <c r="X101" t="s">
        <v>406</v>
      </c>
      <c r="Y101" t="s">
        <v>54</v>
      </c>
      <c r="Z101" s="12">
        <f>IF(N101&lt;=1,9,9+0.8*ROUNDUP(N101-1,0))</f>
        <v>9</v>
      </c>
      <c r="AA101" s="11">
        <v>-2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3"/>
        <v>0.42</v>
      </c>
      <c r="AG101" s="11">
        <f t="shared" si="4"/>
        <v>7.42</v>
      </c>
      <c r="AH101" s="11">
        <v>0</v>
      </c>
      <c r="AI101" s="11">
        <f t="shared" si="5"/>
        <v>7.42</v>
      </c>
      <c r="AJ101" t="s">
        <v>62</v>
      </c>
    </row>
    <row r="102" spans="1:36" ht="15" customHeight="1" x14ac:dyDescent="0.35">
      <c r="A102">
        <v>10428918</v>
      </c>
      <c r="B102" t="s">
        <v>36</v>
      </c>
      <c r="C102" t="s">
        <v>37</v>
      </c>
      <c r="D102" s="6" t="s">
        <v>38</v>
      </c>
      <c r="E102" t="s">
        <v>407</v>
      </c>
      <c r="F102" t="s">
        <v>40</v>
      </c>
      <c r="G102" t="s">
        <v>41</v>
      </c>
      <c r="H102" t="s">
        <v>408</v>
      </c>
      <c r="I102" t="s">
        <v>43</v>
      </c>
      <c r="J102">
        <v>2</v>
      </c>
      <c r="K102" t="s">
        <v>44</v>
      </c>
      <c r="L102" t="s">
        <v>45</v>
      </c>
      <c r="M102" t="s">
        <v>46</v>
      </c>
      <c r="N102" s="7">
        <v>2</v>
      </c>
      <c r="O102" s="8">
        <v>45640.825509259259</v>
      </c>
      <c r="P102" s="9">
        <v>45643</v>
      </c>
      <c r="Q102" t="s">
        <v>74</v>
      </c>
      <c r="R102" t="s">
        <v>48</v>
      </c>
      <c r="S102" t="s">
        <v>49</v>
      </c>
      <c r="T102" t="s">
        <v>69</v>
      </c>
      <c r="U102" t="s">
        <v>409</v>
      </c>
      <c r="V102">
        <v>86200</v>
      </c>
      <c r="W102" t="s">
        <v>48</v>
      </c>
      <c r="X102" t="s">
        <v>410</v>
      </c>
      <c r="Y102" t="s">
        <v>54</v>
      </c>
      <c r="Z102" s="12">
        <f>IF(N102&lt;=1,9,9+0.8*ROUNDUP(N102-1,0))</f>
        <v>9.8000000000000007</v>
      </c>
      <c r="AA102" s="11">
        <v>-2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3"/>
        <v>0.46800000000000003</v>
      </c>
      <c r="AG102" s="11">
        <f t="shared" si="4"/>
        <v>8.2680000000000007</v>
      </c>
      <c r="AH102" s="11">
        <v>0</v>
      </c>
      <c r="AI102" s="11">
        <f t="shared" si="5"/>
        <v>8.2680000000000007</v>
      </c>
      <c r="AJ102" t="s">
        <v>62</v>
      </c>
    </row>
    <row r="103" spans="1:36" ht="15" customHeight="1" x14ac:dyDescent="0.35">
      <c r="A103">
        <v>10428918</v>
      </c>
      <c r="B103" t="s">
        <v>36</v>
      </c>
      <c r="C103" t="s">
        <v>37</v>
      </c>
      <c r="D103" s="6" t="s">
        <v>38</v>
      </c>
      <c r="E103" t="s">
        <v>411</v>
      </c>
      <c r="F103" t="s">
        <v>40</v>
      </c>
      <c r="G103" t="s">
        <v>41</v>
      </c>
      <c r="H103" t="s">
        <v>412</v>
      </c>
      <c r="I103" t="s">
        <v>43</v>
      </c>
      <c r="J103">
        <v>2</v>
      </c>
      <c r="K103" t="s">
        <v>44</v>
      </c>
      <c r="L103" t="s">
        <v>45</v>
      </c>
      <c r="M103" t="s">
        <v>46</v>
      </c>
      <c r="N103" s="7">
        <v>1</v>
      </c>
      <c r="O103" s="8">
        <v>45640.799039351848</v>
      </c>
      <c r="P103" s="9">
        <v>45643</v>
      </c>
      <c r="Q103" t="s">
        <v>74</v>
      </c>
      <c r="R103" t="s">
        <v>48</v>
      </c>
      <c r="S103" t="s">
        <v>49</v>
      </c>
      <c r="T103" t="s">
        <v>101</v>
      </c>
      <c r="U103" t="s">
        <v>413</v>
      </c>
      <c r="V103">
        <v>32610</v>
      </c>
      <c r="W103" t="s">
        <v>48</v>
      </c>
      <c r="X103" t="s">
        <v>414</v>
      </c>
      <c r="Y103" t="s">
        <v>54</v>
      </c>
      <c r="Z103" s="12">
        <f>IF(N103&lt;=1,9,9+0.8*ROUNDUP(N103-1,0))</f>
        <v>9</v>
      </c>
      <c r="AA103" s="11">
        <v>-2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3"/>
        <v>0.42</v>
      </c>
      <c r="AG103" s="11">
        <f t="shared" si="4"/>
        <v>7.42</v>
      </c>
      <c r="AH103" s="11">
        <v>0</v>
      </c>
      <c r="AI103" s="11">
        <f t="shared" si="5"/>
        <v>7.42</v>
      </c>
      <c r="AJ103" t="s">
        <v>62</v>
      </c>
    </row>
    <row r="104" spans="1:36" ht="15" customHeight="1" x14ac:dyDescent="0.35">
      <c r="A104">
        <v>10428918</v>
      </c>
      <c r="B104" t="s">
        <v>36</v>
      </c>
      <c r="C104" t="s">
        <v>37</v>
      </c>
      <c r="D104" s="6" t="s">
        <v>38</v>
      </c>
      <c r="E104" t="s">
        <v>415</v>
      </c>
      <c r="F104" t="s">
        <v>40</v>
      </c>
      <c r="G104" t="s">
        <v>41</v>
      </c>
      <c r="H104" t="s">
        <v>416</v>
      </c>
      <c r="I104" t="s">
        <v>43</v>
      </c>
      <c r="J104">
        <v>2</v>
      </c>
      <c r="K104" t="s">
        <v>44</v>
      </c>
      <c r="L104" t="s">
        <v>45</v>
      </c>
      <c r="M104" t="s">
        <v>46</v>
      </c>
      <c r="N104" s="7">
        <v>2</v>
      </c>
      <c r="O104" s="8">
        <v>45640.799027777779</v>
      </c>
      <c r="P104" s="9">
        <v>45643</v>
      </c>
      <c r="Q104" t="s">
        <v>74</v>
      </c>
      <c r="R104" t="s">
        <v>48</v>
      </c>
      <c r="S104" t="s">
        <v>49</v>
      </c>
      <c r="T104" t="s">
        <v>161</v>
      </c>
      <c r="U104" t="s">
        <v>417</v>
      </c>
      <c r="V104">
        <v>13400</v>
      </c>
      <c r="W104" t="s">
        <v>48</v>
      </c>
      <c r="X104" t="s">
        <v>418</v>
      </c>
      <c r="Y104" t="s">
        <v>54</v>
      </c>
      <c r="Z104" s="12">
        <f>IF(N104&lt;=1,9,9+0.8*ROUNDUP(N104-1,0))</f>
        <v>9.8000000000000007</v>
      </c>
      <c r="AA104" s="11">
        <v>-2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3"/>
        <v>0.46800000000000003</v>
      </c>
      <c r="AG104" s="11">
        <f t="shared" si="4"/>
        <v>8.2680000000000007</v>
      </c>
      <c r="AH104" s="11">
        <v>0</v>
      </c>
      <c r="AI104" s="11">
        <f t="shared" si="5"/>
        <v>8.2680000000000007</v>
      </c>
      <c r="AJ104" t="s">
        <v>62</v>
      </c>
    </row>
    <row r="105" spans="1:36" ht="15" customHeight="1" x14ac:dyDescent="0.35">
      <c r="A105">
        <v>10428918</v>
      </c>
      <c r="B105" t="s">
        <v>36</v>
      </c>
      <c r="C105" t="s">
        <v>37</v>
      </c>
      <c r="D105" s="6" t="s">
        <v>38</v>
      </c>
      <c r="E105" t="s">
        <v>419</v>
      </c>
      <c r="F105" t="s">
        <v>40</v>
      </c>
      <c r="G105" t="s">
        <v>41</v>
      </c>
      <c r="H105" t="s">
        <v>420</v>
      </c>
      <c r="I105" t="s">
        <v>43</v>
      </c>
      <c r="J105">
        <v>2</v>
      </c>
      <c r="K105" t="s">
        <v>44</v>
      </c>
      <c r="L105" t="s">
        <v>45</v>
      </c>
      <c r="M105" t="s">
        <v>46</v>
      </c>
      <c r="N105" s="7">
        <v>2</v>
      </c>
      <c r="O105" s="8">
        <v>45640.820127314815</v>
      </c>
      <c r="P105" s="9">
        <v>45643</v>
      </c>
      <c r="Q105" t="s">
        <v>74</v>
      </c>
      <c r="R105" t="s">
        <v>48</v>
      </c>
      <c r="S105" t="s">
        <v>49</v>
      </c>
      <c r="T105" t="s">
        <v>85</v>
      </c>
      <c r="U105" t="s">
        <v>421</v>
      </c>
      <c r="V105">
        <v>72120</v>
      </c>
      <c r="W105" t="s">
        <v>48</v>
      </c>
      <c r="X105" t="s">
        <v>243</v>
      </c>
      <c r="Y105" t="s">
        <v>54</v>
      </c>
      <c r="Z105" s="12">
        <f>IF(N105&lt;=1,9,9+0.8*ROUNDUP(N105-1,0))</f>
        <v>9.8000000000000007</v>
      </c>
      <c r="AA105" s="11">
        <v>-2</v>
      </c>
      <c r="AB105" s="11">
        <v>0</v>
      </c>
      <c r="AC105" s="11">
        <v>0</v>
      </c>
      <c r="AD105" s="11">
        <v>700</v>
      </c>
      <c r="AE105" s="11">
        <f>AD105*1.5%</f>
        <v>10.5</v>
      </c>
      <c r="AF105" s="11">
        <f t="shared" si="3"/>
        <v>1.0980000000000001</v>
      </c>
      <c r="AG105" s="11">
        <f t="shared" si="4"/>
        <v>19.398</v>
      </c>
      <c r="AH105" s="11">
        <v>0</v>
      </c>
      <c r="AI105" s="11">
        <f t="shared" si="5"/>
        <v>19.398</v>
      </c>
      <c r="AJ105" t="s">
        <v>62</v>
      </c>
    </row>
    <row r="106" spans="1:36" ht="15" customHeight="1" x14ac:dyDescent="0.35">
      <c r="A106">
        <v>10428918</v>
      </c>
      <c r="B106" t="s">
        <v>36</v>
      </c>
      <c r="C106" t="s">
        <v>37</v>
      </c>
      <c r="D106" s="6" t="s">
        <v>38</v>
      </c>
      <c r="E106" t="s">
        <v>422</v>
      </c>
      <c r="F106" t="s">
        <v>40</v>
      </c>
      <c r="G106" t="s">
        <v>41</v>
      </c>
      <c r="H106" t="s">
        <v>423</v>
      </c>
      <c r="I106" t="s">
        <v>43</v>
      </c>
      <c r="J106">
        <v>2</v>
      </c>
      <c r="K106" t="s">
        <v>44</v>
      </c>
      <c r="L106" t="s">
        <v>45</v>
      </c>
      <c r="M106" t="s">
        <v>46</v>
      </c>
      <c r="N106" s="7">
        <v>3</v>
      </c>
      <c r="O106" s="8">
        <v>45641.849386574075</v>
      </c>
      <c r="P106" s="9">
        <v>45643</v>
      </c>
      <c r="Q106" t="s">
        <v>74</v>
      </c>
      <c r="R106" t="s">
        <v>48</v>
      </c>
      <c r="S106" t="s">
        <v>49</v>
      </c>
      <c r="T106" t="s">
        <v>90</v>
      </c>
      <c r="U106" t="s">
        <v>424</v>
      </c>
      <c r="V106">
        <v>21450</v>
      </c>
      <c r="W106" t="s">
        <v>48</v>
      </c>
      <c r="X106" t="s">
        <v>425</v>
      </c>
      <c r="Y106" t="s">
        <v>54</v>
      </c>
      <c r="Z106" s="12">
        <f>IF(N106&lt;=1,9,9+0.8*ROUNDUP(N106-1,0))</f>
        <v>10.6</v>
      </c>
      <c r="AA106" s="11">
        <v>-2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3"/>
        <v>0.51600000000000001</v>
      </c>
      <c r="AG106" s="11">
        <f t="shared" si="4"/>
        <v>9.1159999999999997</v>
      </c>
      <c r="AH106" s="11">
        <v>0</v>
      </c>
      <c r="AI106" s="11">
        <f t="shared" si="5"/>
        <v>9.1159999999999997</v>
      </c>
      <c r="AJ106" t="s">
        <v>62</v>
      </c>
    </row>
    <row r="107" spans="1:36" ht="15" customHeight="1" x14ac:dyDescent="0.35">
      <c r="A107">
        <v>10428918</v>
      </c>
      <c r="B107" t="s">
        <v>36</v>
      </c>
      <c r="C107" t="s">
        <v>37</v>
      </c>
      <c r="D107" s="6" t="s">
        <v>38</v>
      </c>
      <c r="E107" t="s">
        <v>426</v>
      </c>
      <c r="F107" t="s">
        <v>40</v>
      </c>
      <c r="G107" t="s">
        <v>41</v>
      </c>
      <c r="H107" t="s">
        <v>427</v>
      </c>
      <c r="I107" t="s">
        <v>43</v>
      </c>
      <c r="J107">
        <v>2</v>
      </c>
      <c r="K107" t="s">
        <v>44</v>
      </c>
      <c r="L107" t="s">
        <v>45</v>
      </c>
      <c r="M107" t="s">
        <v>46</v>
      </c>
      <c r="N107" s="7">
        <v>1</v>
      </c>
      <c r="O107" s="8">
        <v>45642.72415509259</v>
      </c>
      <c r="P107" s="9">
        <v>45643</v>
      </c>
      <c r="Q107" t="s">
        <v>74</v>
      </c>
      <c r="R107" t="s">
        <v>48</v>
      </c>
      <c r="S107" t="s">
        <v>49</v>
      </c>
      <c r="T107" t="s">
        <v>117</v>
      </c>
      <c r="U107" t="s">
        <v>428</v>
      </c>
      <c r="V107">
        <v>40170</v>
      </c>
      <c r="W107" t="s">
        <v>48</v>
      </c>
      <c r="X107" t="s">
        <v>429</v>
      </c>
      <c r="Y107" t="s">
        <v>54</v>
      </c>
      <c r="Z107" s="12">
        <f>IF(N107&lt;=1,9,9+0.8*ROUNDUP(N107-1,0))</f>
        <v>9</v>
      </c>
      <c r="AA107" s="11">
        <v>-2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3"/>
        <v>0.42</v>
      </c>
      <c r="AG107" s="11">
        <f t="shared" si="4"/>
        <v>7.42</v>
      </c>
      <c r="AH107" s="11">
        <v>0</v>
      </c>
      <c r="AI107" s="11">
        <f t="shared" si="5"/>
        <v>7.42</v>
      </c>
      <c r="AJ107" t="s">
        <v>62</v>
      </c>
    </row>
    <row r="108" spans="1:36" ht="15" customHeight="1" x14ac:dyDescent="0.35">
      <c r="A108">
        <v>10428918</v>
      </c>
      <c r="B108" t="s">
        <v>36</v>
      </c>
      <c r="C108" t="s">
        <v>37</v>
      </c>
      <c r="D108" s="6" t="s">
        <v>38</v>
      </c>
      <c r="E108" t="s">
        <v>430</v>
      </c>
      <c r="F108" t="s">
        <v>40</v>
      </c>
      <c r="G108" t="s">
        <v>41</v>
      </c>
      <c r="H108" t="s">
        <v>431</v>
      </c>
      <c r="I108" t="s">
        <v>43</v>
      </c>
      <c r="J108">
        <v>2</v>
      </c>
      <c r="K108" t="s">
        <v>44</v>
      </c>
      <c r="L108" t="s">
        <v>45</v>
      </c>
      <c r="M108" t="s">
        <v>46</v>
      </c>
      <c r="N108" s="7">
        <v>2</v>
      </c>
      <c r="O108" s="8">
        <v>45641.839363425926</v>
      </c>
      <c r="P108" s="9">
        <v>45643</v>
      </c>
      <c r="Q108" t="s">
        <v>74</v>
      </c>
      <c r="R108" t="s">
        <v>48</v>
      </c>
      <c r="S108" t="s">
        <v>49</v>
      </c>
      <c r="T108" t="s">
        <v>85</v>
      </c>
      <c r="U108" t="s">
        <v>432</v>
      </c>
      <c r="V108">
        <v>71760</v>
      </c>
      <c r="W108" t="s">
        <v>48</v>
      </c>
      <c r="X108" t="s">
        <v>266</v>
      </c>
      <c r="Y108" t="s">
        <v>54</v>
      </c>
      <c r="Z108" s="12">
        <f>IF(N108&lt;=1,9,9+0.8*ROUNDUP(N108-1,0))</f>
        <v>9.8000000000000007</v>
      </c>
      <c r="AA108" s="11">
        <v>-2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3"/>
        <v>0.46800000000000003</v>
      </c>
      <c r="AG108" s="11">
        <f t="shared" si="4"/>
        <v>8.2680000000000007</v>
      </c>
      <c r="AH108" s="11">
        <v>0</v>
      </c>
      <c r="AI108" s="11">
        <f t="shared" si="5"/>
        <v>8.2680000000000007</v>
      </c>
      <c r="AJ108" t="s">
        <v>62</v>
      </c>
    </row>
    <row r="109" spans="1:36" ht="15" customHeight="1" x14ac:dyDescent="0.35">
      <c r="A109">
        <v>10428918</v>
      </c>
      <c r="B109" t="s">
        <v>36</v>
      </c>
      <c r="C109" t="s">
        <v>37</v>
      </c>
      <c r="D109" s="6" t="s">
        <v>38</v>
      </c>
      <c r="E109" t="s">
        <v>433</v>
      </c>
      <c r="F109" t="s">
        <v>40</v>
      </c>
      <c r="G109" t="s">
        <v>41</v>
      </c>
      <c r="H109" t="s">
        <v>434</v>
      </c>
      <c r="I109" t="s">
        <v>43</v>
      </c>
      <c r="J109">
        <v>2</v>
      </c>
      <c r="K109" t="s">
        <v>44</v>
      </c>
      <c r="L109" t="s">
        <v>45</v>
      </c>
      <c r="M109" t="s">
        <v>46</v>
      </c>
      <c r="N109" s="7">
        <v>1</v>
      </c>
      <c r="O109" s="8">
        <v>45642.66165509259</v>
      </c>
      <c r="P109" s="9">
        <v>45643</v>
      </c>
      <c r="Q109" t="s">
        <v>74</v>
      </c>
      <c r="R109" t="s">
        <v>48</v>
      </c>
      <c r="S109" t="s">
        <v>49</v>
      </c>
      <c r="T109" t="s">
        <v>59</v>
      </c>
      <c r="U109" t="s">
        <v>435</v>
      </c>
      <c r="V109">
        <v>18500</v>
      </c>
      <c r="W109" t="s">
        <v>48</v>
      </c>
      <c r="X109" t="s">
        <v>61</v>
      </c>
      <c r="Y109" t="s">
        <v>54</v>
      </c>
      <c r="Z109" s="12">
        <f>IF(N109&lt;=1,9,9+0.8*ROUNDUP(N109-1,0))</f>
        <v>9</v>
      </c>
      <c r="AA109" s="11">
        <v>-2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3"/>
        <v>0.42</v>
      </c>
      <c r="AG109" s="11">
        <f t="shared" si="4"/>
        <v>7.42</v>
      </c>
      <c r="AH109" s="11">
        <v>0</v>
      </c>
      <c r="AI109" s="11">
        <f t="shared" si="5"/>
        <v>7.42</v>
      </c>
      <c r="AJ109" t="s">
        <v>62</v>
      </c>
    </row>
    <row r="110" spans="1:36" ht="15" customHeight="1" x14ac:dyDescent="0.35">
      <c r="A110">
        <v>10428918</v>
      </c>
      <c r="B110" t="s">
        <v>36</v>
      </c>
      <c r="C110" t="s">
        <v>37</v>
      </c>
      <c r="D110" s="6" t="s">
        <v>38</v>
      </c>
      <c r="E110" t="s">
        <v>436</v>
      </c>
      <c r="F110" t="s">
        <v>40</v>
      </c>
      <c r="G110" t="s">
        <v>41</v>
      </c>
      <c r="H110" t="s">
        <v>437</v>
      </c>
      <c r="I110" t="s">
        <v>43</v>
      </c>
      <c r="J110">
        <v>2</v>
      </c>
      <c r="K110" t="s">
        <v>44</v>
      </c>
      <c r="L110" t="s">
        <v>45</v>
      </c>
      <c r="M110" t="s">
        <v>46</v>
      </c>
      <c r="N110" s="7">
        <v>1</v>
      </c>
      <c r="O110" s="8">
        <v>45641.50922453704</v>
      </c>
      <c r="P110" s="9">
        <v>45643</v>
      </c>
      <c r="Q110" t="s">
        <v>74</v>
      </c>
      <c r="R110" t="s">
        <v>48</v>
      </c>
      <c r="S110" t="s">
        <v>49</v>
      </c>
      <c r="T110" t="s">
        <v>117</v>
      </c>
      <c r="U110" t="s">
        <v>438</v>
      </c>
      <c r="V110">
        <v>45600</v>
      </c>
      <c r="W110" t="s">
        <v>48</v>
      </c>
      <c r="X110" t="s">
        <v>258</v>
      </c>
      <c r="Y110" t="s">
        <v>54</v>
      </c>
      <c r="Z110" s="12">
        <f>IF(N110&lt;=1,9,9+0.8*ROUNDUP(N110-1,0))</f>
        <v>9</v>
      </c>
      <c r="AA110" s="11">
        <v>-2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3"/>
        <v>0.42</v>
      </c>
      <c r="AG110" s="11">
        <f t="shared" si="4"/>
        <v>7.42</v>
      </c>
      <c r="AH110" s="11">
        <v>0</v>
      </c>
      <c r="AI110" s="11">
        <f t="shared" si="5"/>
        <v>7.42</v>
      </c>
      <c r="AJ110" t="s">
        <v>62</v>
      </c>
    </row>
    <row r="111" spans="1:36" ht="15" customHeight="1" x14ac:dyDescent="0.35">
      <c r="A111">
        <v>10428918</v>
      </c>
      <c r="B111" t="s">
        <v>36</v>
      </c>
      <c r="C111" t="s">
        <v>37</v>
      </c>
      <c r="D111" s="6" t="s">
        <v>38</v>
      </c>
      <c r="E111" t="s">
        <v>439</v>
      </c>
      <c r="F111" t="s">
        <v>40</v>
      </c>
      <c r="G111" t="s">
        <v>41</v>
      </c>
      <c r="H111" t="s">
        <v>440</v>
      </c>
      <c r="I111" t="s">
        <v>43</v>
      </c>
      <c r="J111">
        <v>2</v>
      </c>
      <c r="K111" t="s">
        <v>44</v>
      </c>
      <c r="L111" t="s">
        <v>45</v>
      </c>
      <c r="M111" t="s">
        <v>46</v>
      </c>
      <c r="N111" s="7">
        <v>1</v>
      </c>
      <c r="O111" s="8">
        <v>45641.50922453704</v>
      </c>
      <c r="P111" s="9">
        <v>45643</v>
      </c>
      <c r="Q111" t="s">
        <v>74</v>
      </c>
      <c r="R111" t="s">
        <v>48</v>
      </c>
      <c r="S111" t="s">
        <v>49</v>
      </c>
      <c r="T111" t="s">
        <v>117</v>
      </c>
      <c r="U111" t="s">
        <v>441</v>
      </c>
      <c r="V111">
        <v>43500</v>
      </c>
      <c r="W111" t="s">
        <v>48</v>
      </c>
      <c r="X111" t="s">
        <v>398</v>
      </c>
      <c r="Y111" t="s">
        <v>54</v>
      </c>
      <c r="Z111" s="12">
        <f>IF(N111&lt;=1,9,9+0.8*ROUNDUP(N111-1,0))</f>
        <v>9</v>
      </c>
      <c r="AA111" s="11">
        <v>-2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3"/>
        <v>0.42</v>
      </c>
      <c r="AG111" s="11">
        <f t="shared" si="4"/>
        <v>7.42</v>
      </c>
      <c r="AH111" s="11">
        <v>0</v>
      </c>
      <c r="AI111" s="11">
        <f t="shared" si="5"/>
        <v>7.42</v>
      </c>
      <c r="AJ111" t="s">
        <v>62</v>
      </c>
    </row>
    <row r="112" spans="1:36" ht="15" customHeight="1" x14ac:dyDescent="0.35">
      <c r="A112">
        <v>10428918</v>
      </c>
      <c r="B112" t="s">
        <v>36</v>
      </c>
      <c r="C112" t="s">
        <v>37</v>
      </c>
      <c r="D112" s="6" t="s">
        <v>38</v>
      </c>
      <c r="E112" t="s">
        <v>442</v>
      </c>
      <c r="F112" t="s">
        <v>40</v>
      </c>
      <c r="G112" t="s">
        <v>41</v>
      </c>
      <c r="H112" t="s">
        <v>443</v>
      </c>
      <c r="I112" t="s">
        <v>43</v>
      </c>
      <c r="J112">
        <v>2</v>
      </c>
      <c r="K112" t="s">
        <v>44</v>
      </c>
      <c r="L112" t="s">
        <v>45</v>
      </c>
      <c r="M112" t="s">
        <v>46</v>
      </c>
      <c r="N112" s="7">
        <v>1</v>
      </c>
      <c r="O112" s="8">
        <v>45642.72415509259</v>
      </c>
      <c r="P112" s="9">
        <v>45643</v>
      </c>
      <c r="Q112" t="s">
        <v>74</v>
      </c>
      <c r="R112" t="s">
        <v>48</v>
      </c>
      <c r="S112" t="s">
        <v>49</v>
      </c>
      <c r="T112" t="s">
        <v>59</v>
      </c>
      <c r="U112" t="s">
        <v>444</v>
      </c>
      <c r="V112">
        <v>17500</v>
      </c>
      <c r="W112" t="s">
        <v>48</v>
      </c>
      <c r="X112" t="s">
        <v>61</v>
      </c>
      <c r="Y112" t="s">
        <v>54</v>
      </c>
      <c r="Z112" s="12">
        <f>IF(N112&lt;=1,9,9+0.8*ROUNDUP(N112-1,0))</f>
        <v>9</v>
      </c>
      <c r="AA112" s="11">
        <v>-2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3"/>
        <v>0.42</v>
      </c>
      <c r="AG112" s="11">
        <f t="shared" si="4"/>
        <v>7.42</v>
      </c>
      <c r="AH112" s="11">
        <v>0</v>
      </c>
      <c r="AI112" s="11">
        <f t="shared" si="5"/>
        <v>7.42</v>
      </c>
      <c r="AJ112" t="s">
        <v>62</v>
      </c>
    </row>
    <row r="113" spans="1:36" ht="15" customHeight="1" x14ac:dyDescent="0.35">
      <c r="A113">
        <v>10428918</v>
      </c>
      <c r="B113" t="s">
        <v>36</v>
      </c>
      <c r="C113" t="s">
        <v>37</v>
      </c>
      <c r="D113" s="6" t="s">
        <v>38</v>
      </c>
      <c r="E113" t="s">
        <v>445</v>
      </c>
      <c r="F113" t="s">
        <v>40</v>
      </c>
      <c r="G113" t="s">
        <v>41</v>
      </c>
      <c r="H113" t="s">
        <v>446</v>
      </c>
      <c r="I113" t="s">
        <v>43</v>
      </c>
      <c r="J113">
        <v>2</v>
      </c>
      <c r="K113" t="s">
        <v>44</v>
      </c>
      <c r="L113" t="s">
        <v>45</v>
      </c>
      <c r="M113" t="s">
        <v>46</v>
      </c>
      <c r="N113" s="7">
        <v>1</v>
      </c>
      <c r="O113" s="8">
        <v>45641.6637962963</v>
      </c>
      <c r="P113" s="9">
        <v>45643</v>
      </c>
      <c r="Q113" t="s">
        <v>74</v>
      </c>
      <c r="R113" t="s">
        <v>48</v>
      </c>
      <c r="S113" t="s">
        <v>49</v>
      </c>
      <c r="T113" t="s">
        <v>65</v>
      </c>
      <c r="U113" t="s">
        <v>447</v>
      </c>
      <c r="V113">
        <v>76100</v>
      </c>
      <c r="W113" t="s">
        <v>48</v>
      </c>
      <c r="X113" t="s">
        <v>448</v>
      </c>
      <c r="Y113" t="s">
        <v>54</v>
      </c>
      <c r="Z113" s="12">
        <f>IF(N113&lt;=1,9,9+0.8*ROUNDUP(N113-1,0))</f>
        <v>9</v>
      </c>
      <c r="AA113" s="11">
        <v>-2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3"/>
        <v>0.42</v>
      </c>
      <c r="AG113" s="11">
        <f t="shared" si="4"/>
        <v>7.42</v>
      </c>
      <c r="AH113" s="11">
        <v>0</v>
      </c>
      <c r="AI113" s="11">
        <f t="shared" si="5"/>
        <v>7.42</v>
      </c>
      <c r="AJ113" t="s">
        <v>62</v>
      </c>
    </row>
    <row r="114" spans="1:36" ht="15" customHeight="1" x14ac:dyDescent="0.35">
      <c r="A114">
        <v>10428918</v>
      </c>
      <c r="B114" t="s">
        <v>36</v>
      </c>
      <c r="C114" t="s">
        <v>37</v>
      </c>
      <c r="D114" s="6" t="s">
        <v>38</v>
      </c>
      <c r="E114" t="s">
        <v>449</v>
      </c>
      <c r="F114" t="s">
        <v>40</v>
      </c>
      <c r="G114" t="s">
        <v>41</v>
      </c>
      <c r="H114" t="s">
        <v>450</v>
      </c>
      <c r="I114" t="s">
        <v>43</v>
      </c>
      <c r="J114">
        <v>2</v>
      </c>
      <c r="K114" t="s">
        <v>44</v>
      </c>
      <c r="L114" t="s">
        <v>45</v>
      </c>
      <c r="M114" t="s">
        <v>46</v>
      </c>
      <c r="N114" s="7">
        <v>2</v>
      </c>
      <c r="O114" s="8">
        <v>45642.64434027778</v>
      </c>
      <c r="P114" s="9">
        <v>45643</v>
      </c>
      <c r="Q114" t="s">
        <v>74</v>
      </c>
      <c r="R114" t="s">
        <v>48</v>
      </c>
      <c r="S114" t="s">
        <v>49</v>
      </c>
      <c r="T114" t="s">
        <v>90</v>
      </c>
      <c r="U114" t="s">
        <v>451</v>
      </c>
      <c r="V114">
        <v>23000</v>
      </c>
      <c r="W114" t="s">
        <v>48</v>
      </c>
      <c r="X114" t="s">
        <v>92</v>
      </c>
      <c r="Y114" t="s">
        <v>54</v>
      </c>
      <c r="Z114" s="12">
        <f>IF(N114&lt;=1,9,9+0.8*ROUNDUP(N114-1,0))</f>
        <v>9.8000000000000007</v>
      </c>
      <c r="AA114" s="11">
        <v>-2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3"/>
        <v>0.46800000000000003</v>
      </c>
      <c r="AG114" s="11">
        <f t="shared" si="4"/>
        <v>8.2680000000000007</v>
      </c>
      <c r="AH114" s="11">
        <v>0</v>
      </c>
      <c r="AI114" s="11">
        <f t="shared" si="5"/>
        <v>8.2680000000000007</v>
      </c>
      <c r="AJ114" t="s">
        <v>62</v>
      </c>
    </row>
    <row r="115" spans="1:36" ht="15" customHeight="1" x14ac:dyDescent="0.35">
      <c r="A115">
        <v>10428918</v>
      </c>
      <c r="B115" t="s">
        <v>36</v>
      </c>
      <c r="C115" t="s">
        <v>37</v>
      </c>
      <c r="D115" s="6" t="s">
        <v>38</v>
      </c>
      <c r="E115" t="s">
        <v>452</v>
      </c>
      <c r="F115" t="s">
        <v>40</v>
      </c>
      <c r="G115" t="s">
        <v>41</v>
      </c>
      <c r="H115" t="s">
        <v>453</v>
      </c>
      <c r="I115" t="s">
        <v>43</v>
      </c>
      <c r="J115">
        <v>2</v>
      </c>
      <c r="K115" t="s">
        <v>44</v>
      </c>
      <c r="L115" t="s">
        <v>45</v>
      </c>
      <c r="M115" t="s">
        <v>46</v>
      </c>
      <c r="N115" s="7">
        <v>2</v>
      </c>
      <c r="O115" s="8">
        <v>45641.502754629626</v>
      </c>
      <c r="P115" s="9">
        <v>45643</v>
      </c>
      <c r="Q115" t="s">
        <v>74</v>
      </c>
      <c r="R115" t="s">
        <v>48</v>
      </c>
      <c r="S115" t="s">
        <v>49</v>
      </c>
      <c r="T115" t="s">
        <v>117</v>
      </c>
      <c r="U115" t="s">
        <v>454</v>
      </c>
      <c r="V115">
        <v>42500</v>
      </c>
      <c r="W115" t="s">
        <v>48</v>
      </c>
      <c r="X115" t="s">
        <v>455</v>
      </c>
      <c r="Y115" t="s">
        <v>54</v>
      </c>
      <c r="Z115" s="12">
        <f>IF(N115&lt;=1,9,9+0.8*ROUNDUP(N115-1,0))</f>
        <v>9.8000000000000007</v>
      </c>
      <c r="AA115" s="11">
        <v>-2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3"/>
        <v>0.46800000000000003</v>
      </c>
      <c r="AG115" s="11">
        <f t="shared" si="4"/>
        <v>8.2680000000000007</v>
      </c>
      <c r="AH115" s="11">
        <v>0</v>
      </c>
      <c r="AI115" s="11">
        <f t="shared" si="5"/>
        <v>8.2680000000000007</v>
      </c>
      <c r="AJ115" t="s">
        <v>62</v>
      </c>
    </row>
    <row r="116" spans="1:36" ht="15" customHeight="1" x14ac:dyDescent="0.35">
      <c r="A116">
        <v>10428918</v>
      </c>
      <c r="B116" t="s">
        <v>36</v>
      </c>
      <c r="C116" t="s">
        <v>37</v>
      </c>
      <c r="D116" s="6" t="s">
        <v>38</v>
      </c>
      <c r="E116" t="s">
        <v>456</v>
      </c>
      <c r="F116" t="s">
        <v>40</v>
      </c>
      <c r="G116" t="s">
        <v>41</v>
      </c>
      <c r="H116" t="s">
        <v>457</v>
      </c>
      <c r="I116" t="s">
        <v>43</v>
      </c>
      <c r="J116">
        <v>2</v>
      </c>
      <c r="K116" t="s">
        <v>44</v>
      </c>
      <c r="L116" t="s">
        <v>45</v>
      </c>
      <c r="M116" t="s">
        <v>46</v>
      </c>
      <c r="N116" s="7">
        <v>3</v>
      </c>
      <c r="O116" s="8">
        <v>45642.401817129627</v>
      </c>
      <c r="P116" s="9">
        <v>45643</v>
      </c>
      <c r="Q116" t="s">
        <v>74</v>
      </c>
      <c r="R116" t="s">
        <v>48</v>
      </c>
      <c r="S116" t="s">
        <v>49</v>
      </c>
      <c r="T116" t="s">
        <v>85</v>
      </c>
      <c r="U116" t="s">
        <v>458</v>
      </c>
      <c r="V116">
        <v>71300</v>
      </c>
      <c r="W116" t="s">
        <v>48</v>
      </c>
      <c r="X116" t="s">
        <v>114</v>
      </c>
      <c r="Y116" t="s">
        <v>54</v>
      </c>
      <c r="Z116" s="12">
        <f>IF(N116&lt;=1,9,9+0.8*ROUNDUP(N116-1,0))</f>
        <v>10.6</v>
      </c>
      <c r="AA116" s="11">
        <v>-2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3"/>
        <v>0.51600000000000001</v>
      </c>
      <c r="AG116" s="11">
        <f t="shared" si="4"/>
        <v>9.1159999999999997</v>
      </c>
      <c r="AH116" s="11">
        <v>0</v>
      </c>
      <c r="AI116" s="11">
        <f t="shared" si="5"/>
        <v>9.1159999999999997</v>
      </c>
      <c r="AJ116" t="s">
        <v>62</v>
      </c>
    </row>
    <row r="117" spans="1:36" ht="15" customHeight="1" x14ac:dyDescent="0.35">
      <c r="A117">
        <v>10428918</v>
      </c>
      <c r="B117" t="s">
        <v>36</v>
      </c>
      <c r="C117" t="s">
        <v>37</v>
      </c>
      <c r="D117" s="6" t="s">
        <v>38</v>
      </c>
      <c r="E117" t="s">
        <v>459</v>
      </c>
      <c r="F117" t="s">
        <v>40</v>
      </c>
      <c r="G117" t="s">
        <v>41</v>
      </c>
      <c r="H117" t="s">
        <v>460</v>
      </c>
      <c r="I117" t="s">
        <v>43</v>
      </c>
      <c r="J117">
        <v>2</v>
      </c>
      <c r="K117" t="s">
        <v>44</v>
      </c>
      <c r="L117" t="s">
        <v>45</v>
      </c>
      <c r="M117" t="s">
        <v>46</v>
      </c>
      <c r="N117" s="7">
        <v>1</v>
      </c>
      <c r="O117" s="8">
        <v>45642.72415509259</v>
      </c>
      <c r="P117" s="9">
        <v>45643</v>
      </c>
      <c r="Q117" t="s">
        <v>74</v>
      </c>
      <c r="R117" t="s">
        <v>48</v>
      </c>
      <c r="S117" t="s">
        <v>49</v>
      </c>
      <c r="T117" t="s">
        <v>90</v>
      </c>
      <c r="U117" t="s">
        <v>461</v>
      </c>
      <c r="V117">
        <v>21400</v>
      </c>
      <c r="W117" t="s">
        <v>48</v>
      </c>
      <c r="X117" t="s">
        <v>92</v>
      </c>
      <c r="Y117" t="s">
        <v>54</v>
      </c>
      <c r="Z117" s="12">
        <f>IF(N117&lt;=1,9,9+0.8*ROUNDUP(N117-1,0))</f>
        <v>9</v>
      </c>
      <c r="AA117" s="11">
        <v>-2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3"/>
        <v>0.42</v>
      </c>
      <c r="AG117" s="11">
        <f t="shared" si="4"/>
        <v>7.42</v>
      </c>
      <c r="AH117" s="11">
        <v>0</v>
      </c>
      <c r="AI117" s="11">
        <f t="shared" si="5"/>
        <v>7.42</v>
      </c>
      <c r="AJ117" t="s">
        <v>62</v>
      </c>
    </row>
    <row r="118" spans="1:36" ht="15" customHeight="1" x14ac:dyDescent="0.35">
      <c r="A118">
        <v>10428918</v>
      </c>
      <c r="B118" t="s">
        <v>36</v>
      </c>
      <c r="C118" t="s">
        <v>37</v>
      </c>
      <c r="D118" s="6" t="s">
        <v>38</v>
      </c>
      <c r="E118" t="s">
        <v>462</v>
      </c>
      <c r="F118" t="s">
        <v>40</v>
      </c>
      <c r="G118" t="s">
        <v>41</v>
      </c>
      <c r="H118" t="s">
        <v>463</v>
      </c>
      <c r="I118" t="s">
        <v>43</v>
      </c>
      <c r="J118">
        <v>2</v>
      </c>
      <c r="K118" t="s">
        <v>44</v>
      </c>
      <c r="L118" t="s">
        <v>45</v>
      </c>
      <c r="M118" t="s">
        <v>46</v>
      </c>
      <c r="N118" s="7">
        <v>2</v>
      </c>
      <c r="O118" s="8">
        <v>45640.820127314815</v>
      </c>
      <c r="P118" s="9">
        <v>45643</v>
      </c>
      <c r="Q118" t="s">
        <v>74</v>
      </c>
      <c r="R118" t="s">
        <v>48</v>
      </c>
      <c r="S118" t="s">
        <v>49</v>
      </c>
      <c r="T118" t="s">
        <v>101</v>
      </c>
      <c r="U118" t="s">
        <v>464</v>
      </c>
      <c r="V118">
        <v>33300</v>
      </c>
      <c r="W118" t="s">
        <v>48</v>
      </c>
      <c r="X118" t="s">
        <v>465</v>
      </c>
      <c r="Y118" t="s">
        <v>54</v>
      </c>
      <c r="Z118" s="12">
        <f>IF(N118&lt;=1,9,9+0.8*ROUNDUP(N118-1,0))</f>
        <v>9.8000000000000007</v>
      </c>
      <c r="AA118" s="11">
        <v>-2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3"/>
        <v>0.46800000000000003</v>
      </c>
      <c r="AG118" s="11">
        <f t="shared" si="4"/>
        <v>8.2680000000000007</v>
      </c>
      <c r="AH118" s="11">
        <v>0</v>
      </c>
      <c r="AI118" s="11">
        <f t="shared" si="5"/>
        <v>8.2680000000000007</v>
      </c>
      <c r="AJ118" t="s">
        <v>62</v>
      </c>
    </row>
    <row r="119" spans="1:36" ht="15" customHeight="1" x14ac:dyDescent="0.35">
      <c r="A119">
        <v>10428918</v>
      </c>
      <c r="B119" t="s">
        <v>36</v>
      </c>
      <c r="C119" t="s">
        <v>37</v>
      </c>
      <c r="D119" s="6" t="s">
        <v>38</v>
      </c>
      <c r="E119" t="s">
        <v>466</v>
      </c>
      <c r="F119" t="s">
        <v>40</v>
      </c>
      <c r="G119" t="s">
        <v>41</v>
      </c>
      <c r="H119" t="s">
        <v>467</v>
      </c>
      <c r="I119" t="s">
        <v>43</v>
      </c>
      <c r="J119">
        <v>2</v>
      </c>
      <c r="K119" t="s">
        <v>44</v>
      </c>
      <c r="L119" t="s">
        <v>45</v>
      </c>
      <c r="M119" t="s">
        <v>46</v>
      </c>
      <c r="N119" s="7">
        <v>8.1</v>
      </c>
      <c r="O119" s="8">
        <v>45642.749293981484</v>
      </c>
      <c r="P119" s="9">
        <v>45643</v>
      </c>
      <c r="Q119" t="s">
        <v>74</v>
      </c>
      <c r="R119" t="s">
        <v>48</v>
      </c>
      <c r="S119" t="s">
        <v>49</v>
      </c>
      <c r="T119" t="s">
        <v>90</v>
      </c>
      <c r="U119" t="s">
        <v>468</v>
      </c>
      <c r="V119">
        <v>21060</v>
      </c>
      <c r="W119" t="s">
        <v>48</v>
      </c>
      <c r="X119" t="s">
        <v>469</v>
      </c>
      <c r="Y119" t="s">
        <v>54</v>
      </c>
      <c r="Z119" s="12">
        <f>IF(N119&lt;=1,9,9+0.8*ROUNDUP(N119-1,0))</f>
        <v>15.4</v>
      </c>
      <c r="AA119" s="11">
        <v>-2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3"/>
        <v>0.80399999999999994</v>
      </c>
      <c r="AG119" s="11">
        <f t="shared" si="4"/>
        <v>14.204000000000001</v>
      </c>
      <c r="AH119" s="11">
        <v>0</v>
      </c>
      <c r="AI119" s="11">
        <f t="shared" si="5"/>
        <v>14.204000000000001</v>
      </c>
      <c r="AJ119" t="s">
        <v>62</v>
      </c>
    </row>
    <row r="120" spans="1:36" ht="15" customHeight="1" x14ac:dyDescent="0.35">
      <c r="A120">
        <v>10428918</v>
      </c>
      <c r="B120" t="s">
        <v>36</v>
      </c>
      <c r="C120" t="s">
        <v>37</v>
      </c>
      <c r="D120" s="6" t="s">
        <v>38</v>
      </c>
      <c r="E120" t="s">
        <v>470</v>
      </c>
      <c r="F120" t="s">
        <v>40</v>
      </c>
      <c r="G120" t="s">
        <v>41</v>
      </c>
      <c r="H120" t="s">
        <v>471</v>
      </c>
      <c r="I120" t="s">
        <v>43</v>
      </c>
      <c r="J120">
        <v>2</v>
      </c>
      <c r="K120" t="s">
        <v>44</v>
      </c>
      <c r="L120" t="s">
        <v>45</v>
      </c>
      <c r="M120" t="s">
        <v>46</v>
      </c>
      <c r="N120" s="7">
        <v>21</v>
      </c>
      <c r="O120" s="8">
        <v>45642.513668981483</v>
      </c>
      <c r="P120" s="9">
        <v>45643</v>
      </c>
      <c r="Q120" t="s">
        <v>74</v>
      </c>
      <c r="R120" t="s">
        <v>48</v>
      </c>
      <c r="S120" t="s">
        <v>49</v>
      </c>
      <c r="T120" t="s">
        <v>117</v>
      </c>
      <c r="U120" t="s">
        <v>472</v>
      </c>
      <c r="V120">
        <v>47600</v>
      </c>
      <c r="W120" t="s">
        <v>48</v>
      </c>
      <c r="X120" t="s">
        <v>473</v>
      </c>
      <c r="Y120" t="s">
        <v>54</v>
      </c>
      <c r="Z120" s="12">
        <f>IF(N120&lt;=1,9,9+0.8*ROUNDUP(N120-1,0))</f>
        <v>25</v>
      </c>
      <c r="AA120" s="11">
        <v>-2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3"/>
        <v>1.38</v>
      </c>
      <c r="AG120" s="11">
        <f t="shared" si="4"/>
        <v>24.38</v>
      </c>
      <c r="AH120" s="11">
        <v>0</v>
      </c>
      <c r="AI120" s="11">
        <f t="shared" si="5"/>
        <v>24.38</v>
      </c>
      <c r="AJ120" t="s">
        <v>62</v>
      </c>
    </row>
    <row r="121" spans="1:36" ht="15" customHeight="1" x14ac:dyDescent="0.35">
      <c r="A121">
        <v>10428918</v>
      </c>
      <c r="B121" t="s">
        <v>36</v>
      </c>
      <c r="C121" t="s">
        <v>37</v>
      </c>
      <c r="D121" s="6" t="s">
        <v>38</v>
      </c>
      <c r="E121" t="s">
        <v>474</v>
      </c>
      <c r="F121" t="s">
        <v>40</v>
      </c>
      <c r="G121" t="s">
        <v>41</v>
      </c>
      <c r="H121" t="s">
        <v>475</v>
      </c>
      <c r="I121" t="s">
        <v>43</v>
      </c>
      <c r="J121">
        <v>2</v>
      </c>
      <c r="K121" t="s">
        <v>44</v>
      </c>
      <c r="L121" t="s">
        <v>45</v>
      </c>
      <c r="M121" t="s">
        <v>46</v>
      </c>
      <c r="N121" s="7">
        <v>2</v>
      </c>
      <c r="O121" s="8">
        <v>45642.401817129627</v>
      </c>
      <c r="P121" s="9">
        <v>45643</v>
      </c>
      <c r="Q121" t="s">
        <v>74</v>
      </c>
      <c r="R121" t="s">
        <v>48</v>
      </c>
      <c r="S121" t="s">
        <v>49</v>
      </c>
      <c r="T121" t="s">
        <v>75</v>
      </c>
      <c r="U121" t="s">
        <v>476</v>
      </c>
      <c r="V121">
        <v>26500</v>
      </c>
      <c r="W121" t="s">
        <v>48</v>
      </c>
      <c r="X121" t="s">
        <v>77</v>
      </c>
      <c r="Y121" t="s">
        <v>54</v>
      </c>
      <c r="Z121" s="12">
        <f>IF(N121&lt;=1,9,9+0.8*ROUNDUP(N121-1,0))</f>
        <v>9.8000000000000007</v>
      </c>
      <c r="AA121" s="11">
        <v>-2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3"/>
        <v>0.46800000000000003</v>
      </c>
      <c r="AG121" s="11">
        <f t="shared" si="4"/>
        <v>8.2680000000000007</v>
      </c>
      <c r="AH121" s="11">
        <v>0</v>
      </c>
      <c r="AI121" s="11">
        <f t="shared" si="5"/>
        <v>8.2680000000000007</v>
      </c>
      <c r="AJ121" t="s">
        <v>62</v>
      </c>
    </row>
    <row r="122" spans="1:36" ht="15" customHeight="1" x14ac:dyDescent="0.35">
      <c r="A122">
        <v>10428918</v>
      </c>
      <c r="B122" t="s">
        <v>36</v>
      </c>
      <c r="C122" t="s">
        <v>37</v>
      </c>
      <c r="D122" s="6" t="s">
        <v>38</v>
      </c>
      <c r="E122" t="s">
        <v>477</v>
      </c>
      <c r="F122" t="s">
        <v>40</v>
      </c>
      <c r="G122" t="s">
        <v>41</v>
      </c>
      <c r="H122" t="s">
        <v>478</v>
      </c>
      <c r="I122" t="s">
        <v>43</v>
      </c>
      <c r="J122">
        <v>2</v>
      </c>
      <c r="K122" t="s">
        <v>44</v>
      </c>
      <c r="L122" t="s">
        <v>45</v>
      </c>
      <c r="M122" t="s">
        <v>46</v>
      </c>
      <c r="N122" s="7">
        <v>1</v>
      </c>
      <c r="O122" s="8">
        <v>45642.729375000003</v>
      </c>
      <c r="P122" s="9">
        <v>45643</v>
      </c>
      <c r="Q122" t="s">
        <v>74</v>
      </c>
      <c r="R122" t="s">
        <v>48</v>
      </c>
      <c r="S122" t="s">
        <v>49</v>
      </c>
      <c r="T122" t="s">
        <v>65</v>
      </c>
      <c r="U122" t="s">
        <v>479</v>
      </c>
      <c r="V122">
        <v>75450</v>
      </c>
      <c r="W122" t="s">
        <v>48</v>
      </c>
      <c r="X122" t="s">
        <v>480</v>
      </c>
      <c r="Y122" t="s">
        <v>54</v>
      </c>
      <c r="Z122" s="12">
        <f>IF(N122&lt;=1,9,9+0.8*ROUNDUP(N122-1,0))</f>
        <v>9</v>
      </c>
      <c r="AA122" s="11">
        <v>-2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3"/>
        <v>0.42</v>
      </c>
      <c r="AG122" s="11">
        <f t="shared" si="4"/>
        <v>7.42</v>
      </c>
      <c r="AH122" s="11">
        <v>0</v>
      </c>
      <c r="AI122" s="11">
        <f t="shared" si="5"/>
        <v>7.42</v>
      </c>
      <c r="AJ122" t="s">
        <v>62</v>
      </c>
    </row>
    <row r="123" spans="1:36" ht="15" customHeight="1" x14ac:dyDescent="0.35">
      <c r="A123">
        <v>10428918</v>
      </c>
      <c r="B123" t="s">
        <v>36</v>
      </c>
      <c r="C123" t="s">
        <v>37</v>
      </c>
      <c r="D123" s="6" t="s">
        <v>38</v>
      </c>
      <c r="E123" t="s">
        <v>481</v>
      </c>
      <c r="F123" t="s">
        <v>40</v>
      </c>
      <c r="G123" t="s">
        <v>41</v>
      </c>
      <c r="H123" t="s">
        <v>482</v>
      </c>
      <c r="I123" t="s">
        <v>43</v>
      </c>
      <c r="J123">
        <v>2</v>
      </c>
      <c r="K123" t="s">
        <v>44</v>
      </c>
      <c r="L123" t="s">
        <v>45</v>
      </c>
      <c r="M123" t="s">
        <v>46</v>
      </c>
      <c r="N123" s="7">
        <v>1</v>
      </c>
      <c r="O123" s="8">
        <v>45641.821712962963</v>
      </c>
      <c r="P123" s="9">
        <v>45643</v>
      </c>
      <c r="Q123" t="s">
        <v>74</v>
      </c>
      <c r="R123" t="s">
        <v>48</v>
      </c>
      <c r="S123" t="s">
        <v>49</v>
      </c>
      <c r="T123" t="s">
        <v>117</v>
      </c>
      <c r="U123" t="s">
        <v>483</v>
      </c>
      <c r="V123">
        <v>43000</v>
      </c>
      <c r="W123" t="s">
        <v>48</v>
      </c>
      <c r="X123" t="s">
        <v>330</v>
      </c>
      <c r="Y123" t="s">
        <v>54</v>
      </c>
      <c r="Z123" s="12">
        <f>IF(N123&lt;=1,9,9+0.8*ROUNDUP(N123-1,0))</f>
        <v>9</v>
      </c>
      <c r="AA123" s="11">
        <v>-2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3"/>
        <v>0.42</v>
      </c>
      <c r="AG123" s="11">
        <f t="shared" si="4"/>
        <v>7.42</v>
      </c>
      <c r="AH123" s="11">
        <v>0</v>
      </c>
      <c r="AI123" s="11">
        <f t="shared" si="5"/>
        <v>7.42</v>
      </c>
      <c r="AJ123" t="s">
        <v>62</v>
      </c>
    </row>
    <row r="124" spans="1:36" ht="15" customHeight="1" x14ac:dyDescent="0.35">
      <c r="A124">
        <v>10428918</v>
      </c>
      <c r="B124" t="s">
        <v>36</v>
      </c>
      <c r="C124" t="s">
        <v>37</v>
      </c>
      <c r="D124" s="6" t="s">
        <v>38</v>
      </c>
      <c r="E124" t="s">
        <v>484</v>
      </c>
      <c r="F124" t="s">
        <v>40</v>
      </c>
      <c r="G124" t="s">
        <v>41</v>
      </c>
      <c r="H124" t="s">
        <v>485</v>
      </c>
      <c r="I124" t="s">
        <v>43</v>
      </c>
      <c r="J124">
        <v>2</v>
      </c>
      <c r="K124" t="s">
        <v>44</v>
      </c>
      <c r="L124" t="s">
        <v>45</v>
      </c>
      <c r="M124" t="s">
        <v>46</v>
      </c>
      <c r="N124" s="7">
        <v>1</v>
      </c>
      <c r="O124" s="8">
        <v>45641.653622685182</v>
      </c>
      <c r="P124" s="9">
        <v>45643</v>
      </c>
      <c r="Q124" t="s">
        <v>74</v>
      </c>
      <c r="R124" t="s">
        <v>48</v>
      </c>
      <c r="S124" t="s">
        <v>49</v>
      </c>
      <c r="T124" t="s">
        <v>90</v>
      </c>
      <c r="U124" t="s">
        <v>486</v>
      </c>
      <c r="V124">
        <v>21030</v>
      </c>
      <c r="W124" t="s">
        <v>48</v>
      </c>
      <c r="X124" t="s">
        <v>92</v>
      </c>
      <c r="Y124" t="s">
        <v>54</v>
      </c>
      <c r="Z124" s="12">
        <f>IF(N124&lt;=1,9,9+0.8*ROUNDUP(N124-1,0))</f>
        <v>9</v>
      </c>
      <c r="AA124" s="11">
        <v>-2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3"/>
        <v>0.42</v>
      </c>
      <c r="AG124" s="11">
        <f t="shared" si="4"/>
        <v>7.42</v>
      </c>
      <c r="AH124" s="11">
        <v>0</v>
      </c>
      <c r="AI124" s="11">
        <f t="shared" si="5"/>
        <v>7.42</v>
      </c>
      <c r="AJ124" t="s">
        <v>62</v>
      </c>
    </row>
    <row r="125" spans="1:36" ht="15" customHeight="1" x14ac:dyDescent="0.35">
      <c r="A125">
        <v>10428918</v>
      </c>
      <c r="B125" t="s">
        <v>36</v>
      </c>
      <c r="C125" t="s">
        <v>37</v>
      </c>
      <c r="D125" s="6" t="s">
        <v>38</v>
      </c>
      <c r="E125" t="s">
        <v>487</v>
      </c>
      <c r="F125" t="s">
        <v>40</v>
      </c>
      <c r="G125" t="s">
        <v>41</v>
      </c>
      <c r="H125" t="s">
        <v>488</v>
      </c>
      <c r="I125" t="s">
        <v>43</v>
      </c>
      <c r="J125">
        <v>2</v>
      </c>
      <c r="K125" t="s">
        <v>44</v>
      </c>
      <c r="L125" t="s">
        <v>45</v>
      </c>
      <c r="M125" t="s">
        <v>46</v>
      </c>
      <c r="N125" s="7">
        <v>1</v>
      </c>
      <c r="O125" s="8">
        <v>45642.66165509259</v>
      </c>
      <c r="P125" s="9">
        <v>45643</v>
      </c>
      <c r="Q125" t="s">
        <v>74</v>
      </c>
      <c r="R125" t="s">
        <v>48</v>
      </c>
      <c r="S125" t="s">
        <v>49</v>
      </c>
      <c r="T125" t="s">
        <v>117</v>
      </c>
      <c r="U125" t="s">
        <v>489</v>
      </c>
      <c r="V125">
        <v>52100</v>
      </c>
      <c r="W125" t="s">
        <v>48</v>
      </c>
      <c r="X125" t="s">
        <v>490</v>
      </c>
      <c r="Y125" t="s">
        <v>54</v>
      </c>
      <c r="Z125" s="12">
        <f>IF(N125&lt;=1,9,9+0.8*ROUNDUP(N125-1,0))</f>
        <v>9</v>
      </c>
      <c r="AA125" s="11">
        <v>-2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3"/>
        <v>0.42</v>
      </c>
      <c r="AG125" s="11">
        <f t="shared" si="4"/>
        <v>7.42</v>
      </c>
      <c r="AH125" s="11">
        <v>0</v>
      </c>
      <c r="AI125" s="11">
        <f t="shared" si="5"/>
        <v>7.42</v>
      </c>
      <c r="AJ125" t="s">
        <v>62</v>
      </c>
    </row>
    <row r="126" spans="1:36" ht="15" customHeight="1" x14ac:dyDescent="0.35">
      <c r="A126">
        <v>10428918</v>
      </c>
      <c r="B126" t="s">
        <v>36</v>
      </c>
      <c r="C126" t="s">
        <v>37</v>
      </c>
      <c r="D126" s="6" t="s">
        <v>38</v>
      </c>
      <c r="E126" t="s">
        <v>491</v>
      </c>
      <c r="F126" t="s">
        <v>40</v>
      </c>
      <c r="G126" t="s">
        <v>41</v>
      </c>
      <c r="H126" t="s">
        <v>492</v>
      </c>
      <c r="I126" t="s">
        <v>43</v>
      </c>
      <c r="J126">
        <v>2</v>
      </c>
      <c r="K126" t="s">
        <v>44</v>
      </c>
      <c r="L126" t="s">
        <v>45</v>
      </c>
      <c r="M126" t="s">
        <v>46</v>
      </c>
      <c r="N126" s="7">
        <v>1</v>
      </c>
      <c r="O126" s="8">
        <v>45641.676076388889</v>
      </c>
      <c r="P126" s="9">
        <v>45643</v>
      </c>
      <c r="Q126" t="s">
        <v>74</v>
      </c>
      <c r="R126" t="s">
        <v>48</v>
      </c>
      <c r="S126" t="s">
        <v>49</v>
      </c>
      <c r="T126" t="s">
        <v>69</v>
      </c>
      <c r="U126" t="s">
        <v>493</v>
      </c>
      <c r="V126">
        <v>82200</v>
      </c>
      <c r="W126" t="s">
        <v>48</v>
      </c>
      <c r="X126" t="s">
        <v>295</v>
      </c>
      <c r="Y126" t="s">
        <v>54</v>
      </c>
      <c r="Z126" s="12">
        <f>IF(N126&lt;=1,9,9+0.8*ROUNDUP(N126-1,0))</f>
        <v>9</v>
      </c>
      <c r="AA126" s="11">
        <v>-2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3"/>
        <v>0.42</v>
      </c>
      <c r="AG126" s="11">
        <f t="shared" si="4"/>
        <v>7.42</v>
      </c>
      <c r="AH126" s="11">
        <v>0</v>
      </c>
      <c r="AI126" s="11">
        <f t="shared" si="5"/>
        <v>7.42</v>
      </c>
      <c r="AJ126" t="s">
        <v>62</v>
      </c>
    </row>
    <row r="127" spans="1:36" ht="15" customHeight="1" x14ac:dyDescent="0.35">
      <c r="A127">
        <v>10428918</v>
      </c>
      <c r="B127" t="s">
        <v>36</v>
      </c>
      <c r="C127" t="s">
        <v>37</v>
      </c>
      <c r="D127" s="6" t="s">
        <v>38</v>
      </c>
      <c r="E127" t="s">
        <v>494</v>
      </c>
      <c r="F127" t="s">
        <v>40</v>
      </c>
      <c r="G127" t="s">
        <v>41</v>
      </c>
      <c r="H127" t="s">
        <v>495</v>
      </c>
      <c r="I127" t="s">
        <v>43</v>
      </c>
      <c r="J127">
        <v>2</v>
      </c>
      <c r="K127" t="s">
        <v>44</v>
      </c>
      <c r="L127" t="s">
        <v>45</v>
      </c>
      <c r="M127" t="s">
        <v>46</v>
      </c>
      <c r="N127" s="7">
        <v>1</v>
      </c>
      <c r="O127" s="8">
        <v>45641.407962962963</v>
      </c>
      <c r="P127" s="9">
        <v>45643</v>
      </c>
      <c r="Q127" t="s">
        <v>74</v>
      </c>
      <c r="R127" t="s">
        <v>48</v>
      </c>
      <c r="S127" t="s">
        <v>49</v>
      </c>
      <c r="T127" t="s">
        <v>80</v>
      </c>
      <c r="U127" t="s">
        <v>496</v>
      </c>
      <c r="V127">
        <v>9000</v>
      </c>
      <c r="W127" t="s">
        <v>48</v>
      </c>
      <c r="X127" t="s">
        <v>53</v>
      </c>
      <c r="Y127" t="s">
        <v>54</v>
      </c>
      <c r="Z127" s="12">
        <f>IF(N127&lt;=1,9,9+0.8*ROUNDUP(N127-1,0))</f>
        <v>9</v>
      </c>
      <c r="AA127" s="11">
        <v>-2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3"/>
        <v>0.42</v>
      </c>
      <c r="AG127" s="11">
        <f t="shared" si="4"/>
        <v>7.42</v>
      </c>
      <c r="AH127" s="11">
        <v>0</v>
      </c>
      <c r="AI127" s="11">
        <f t="shared" si="5"/>
        <v>7.42</v>
      </c>
      <c r="AJ127" t="s">
        <v>62</v>
      </c>
    </row>
    <row r="128" spans="1:36" ht="15" customHeight="1" x14ac:dyDescent="0.35">
      <c r="A128">
        <v>10428918</v>
      </c>
      <c r="B128" t="s">
        <v>36</v>
      </c>
      <c r="C128" t="s">
        <v>37</v>
      </c>
      <c r="D128" s="6" t="s">
        <v>38</v>
      </c>
      <c r="E128" t="s">
        <v>497</v>
      </c>
      <c r="F128" t="s">
        <v>40</v>
      </c>
      <c r="G128" t="s">
        <v>41</v>
      </c>
      <c r="H128" t="s">
        <v>498</v>
      </c>
      <c r="I128" t="s">
        <v>43</v>
      </c>
      <c r="J128">
        <v>2</v>
      </c>
      <c r="K128" t="s">
        <v>44</v>
      </c>
      <c r="L128" t="s">
        <v>45</v>
      </c>
      <c r="M128" t="s">
        <v>46</v>
      </c>
      <c r="N128" s="7">
        <v>1</v>
      </c>
      <c r="O128" s="8">
        <v>45641.821712962963</v>
      </c>
      <c r="P128" s="9">
        <v>45643</v>
      </c>
      <c r="Q128" t="s">
        <v>74</v>
      </c>
      <c r="R128" t="s">
        <v>48</v>
      </c>
      <c r="S128" t="s">
        <v>49</v>
      </c>
      <c r="T128" t="s">
        <v>117</v>
      </c>
      <c r="U128" t="s">
        <v>499</v>
      </c>
      <c r="V128">
        <v>56000</v>
      </c>
      <c r="W128" t="s">
        <v>48</v>
      </c>
      <c r="X128" t="s">
        <v>357</v>
      </c>
      <c r="Y128" t="s">
        <v>54</v>
      </c>
      <c r="Z128" s="12">
        <f>IF(N128&lt;=1,9,9+0.8*ROUNDUP(N128-1,0))</f>
        <v>9</v>
      </c>
      <c r="AA128" s="11">
        <v>-2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3"/>
        <v>0.42</v>
      </c>
      <c r="AG128" s="11">
        <f t="shared" si="4"/>
        <v>7.42</v>
      </c>
      <c r="AH128" s="11">
        <v>0</v>
      </c>
      <c r="AI128" s="11">
        <f t="shared" si="5"/>
        <v>7.42</v>
      </c>
      <c r="AJ128" t="s">
        <v>62</v>
      </c>
    </row>
    <row r="129" spans="1:36" ht="15" customHeight="1" x14ac:dyDescent="0.35">
      <c r="A129">
        <v>10428918</v>
      </c>
      <c r="B129" t="s">
        <v>36</v>
      </c>
      <c r="C129" t="s">
        <v>37</v>
      </c>
      <c r="D129" s="6" t="s">
        <v>38</v>
      </c>
      <c r="E129" t="s">
        <v>500</v>
      </c>
      <c r="F129" t="s">
        <v>40</v>
      </c>
      <c r="G129" t="s">
        <v>41</v>
      </c>
      <c r="H129" t="s">
        <v>501</v>
      </c>
      <c r="I129" t="s">
        <v>43</v>
      </c>
      <c r="J129">
        <v>2</v>
      </c>
      <c r="K129" t="s">
        <v>44</v>
      </c>
      <c r="L129" t="s">
        <v>45</v>
      </c>
      <c r="M129" t="s">
        <v>46</v>
      </c>
      <c r="N129" s="7">
        <v>1</v>
      </c>
      <c r="O129" s="8">
        <v>45641.82335648148</v>
      </c>
      <c r="P129" s="9">
        <v>45643</v>
      </c>
      <c r="Q129" t="s">
        <v>74</v>
      </c>
      <c r="R129" t="s">
        <v>48</v>
      </c>
      <c r="S129" t="s">
        <v>49</v>
      </c>
      <c r="T129" t="s">
        <v>85</v>
      </c>
      <c r="U129" t="s">
        <v>502</v>
      </c>
      <c r="V129">
        <v>70400</v>
      </c>
      <c r="W129" t="s">
        <v>48</v>
      </c>
      <c r="X129" t="s">
        <v>503</v>
      </c>
      <c r="Y129" t="s">
        <v>54</v>
      </c>
      <c r="Z129" s="12">
        <f>IF(N129&lt;=1,9,9+0.8*ROUNDUP(N129-1,0))</f>
        <v>9</v>
      </c>
      <c r="AA129" s="11">
        <v>-2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3"/>
        <v>0.42</v>
      </c>
      <c r="AG129" s="11">
        <f t="shared" si="4"/>
        <v>7.42</v>
      </c>
      <c r="AH129" s="11">
        <v>0</v>
      </c>
      <c r="AI129" s="11">
        <f t="shared" si="5"/>
        <v>7.42</v>
      </c>
      <c r="AJ129" t="s">
        <v>62</v>
      </c>
    </row>
    <row r="130" spans="1:36" ht="15" customHeight="1" x14ac:dyDescent="0.35">
      <c r="A130">
        <v>10428918</v>
      </c>
      <c r="B130" t="s">
        <v>36</v>
      </c>
      <c r="C130" t="s">
        <v>37</v>
      </c>
      <c r="D130" s="6" t="s">
        <v>38</v>
      </c>
      <c r="E130" t="s">
        <v>504</v>
      </c>
      <c r="F130" t="s">
        <v>40</v>
      </c>
      <c r="G130" t="s">
        <v>41</v>
      </c>
      <c r="H130" t="s">
        <v>505</v>
      </c>
      <c r="I130" t="s">
        <v>43</v>
      </c>
      <c r="J130">
        <v>2</v>
      </c>
      <c r="K130" t="s">
        <v>44</v>
      </c>
      <c r="L130" t="s">
        <v>45</v>
      </c>
      <c r="M130" t="s">
        <v>46</v>
      </c>
      <c r="N130" s="7">
        <v>3</v>
      </c>
      <c r="O130" s="8">
        <v>45642.424467592595</v>
      </c>
      <c r="P130" s="9">
        <v>45643</v>
      </c>
      <c r="Q130" t="s">
        <v>74</v>
      </c>
      <c r="R130" t="s">
        <v>48</v>
      </c>
      <c r="S130" t="s">
        <v>49</v>
      </c>
      <c r="T130" t="s">
        <v>117</v>
      </c>
      <c r="U130" t="s">
        <v>506</v>
      </c>
      <c r="V130">
        <v>63000</v>
      </c>
      <c r="W130" t="s">
        <v>48</v>
      </c>
      <c r="X130" t="s">
        <v>224</v>
      </c>
      <c r="Y130" t="s">
        <v>54</v>
      </c>
      <c r="Z130" s="12">
        <f>IF(N130&lt;=1,9,9+0.8*ROUNDUP(N130-1,0))</f>
        <v>10.6</v>
      </c>
      <c r="AA130" s="11">
        <v>-2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6">(Z130+AA130+AC130+AE130)*6%</f>
        <v>0.51600000000000001</v>
      </c>
      <c r="AG130" s="11">
        <f t="shared" ref="AG130:AG193" si="7">Z130+AA130+AC130+AE130+AF130</f>
        <v>9.1159999999999997</v>
      </c>
      <c r="AH130" s="11">
        <v>0</v>
      </c>
      <c r="AI130" s="11">
        <f t="shared" ref="AI130:AI193" si="8">AG130+AH130</f>
        <v>9.1159999999999997</v>
      </c>
      <c r="AJ130" t="s">
        <v>62</v>
      </c>
    </row>
    <row r="131" spans="1:36" ht="15" customHeight="1" x14ac:dyDescent="0.35">
      <c r="A131">
        <v>10428918</v>
      </c>
      <c r="B131" t="s">
        <v>36</v>
      </c>
      <c r="C131" t="s">
        <v>37</v>
      </c>
      <c r="D131" s="6" t="s">
        <v>38</v>
      </c>
      <c r="E131" t="s">
        <v>507</v>
      </c>
      <c r="F131" t="s">
        <v>40</v>
      </c>
      <c r="G131" t="s">
        <v>41</v>
      </c>
      <c r="H131" t="s">
        <v>508</v>
      </c>
      <c r="I131" t="s">
        <v>43</v>
      </c>
      <c r="J131">
        <v>2</v>
      </c>
      <c r="K131" t="s">
        <v>44</v>
      </c>
      <c r="L131" t="s">
        <v>45</v>
      </c>
      <c r="M131" t="s">
        <v>46</v>
      </c>
      <c r="N131" s="7">
        <v>4</v>
      </c>
      <c r="O131" s="8">
        <v>45642.663113425922</v>
      </c>
      <c r="P131" s="9">
        <v>45643</v>
      </c>
      <c r="Q131" t="s">
        <v>74</v>
      </c>
      <c r="R131" t="s">
        <v>48</v>
      </c>
      <c r="S131" t="s">
        <v>49</v>
      </c>
      <c r="T131" t="s">
        <v>75</v>
      </c>
      <c r="U131" t="s">
        <v>509</v>
      </c>
      <c r="V131">
        <v>28010</v>
      </c>
      <c r="W131" t="s">
        <v>48</v>
      </c>
      <c r="X131" t="s">
        <v>77</v>
      </c>
      <c r="Y131" t="s">
        <v>54</v>
      </c>
      <c r="Z131" s="12">
        <f>IF(N131&lt;=1,9,9+0.8*ROUNDUP(N131-1,0))</f>
        <v>11.4</v>
      </c>
      <c r="AA131" s="11">
        <v>-2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6"/>
        <v>0.56399999999999995</v>
      </c>
      <c r="AG131" s="11">
        <f t="shared" si="7"/>
        <v>9.9640000000000004</v>
      </c>
      <c r="AH131" s="11">
        <v>0</v>
      </c>
      <c r="AI131" s="11">
        <f t="shared" si="8"/>
        <v>9.9640000000000004</v>
      </c>
      <c r="AJ131" t="s">
        <v>62</v>
      </c>
    </row>
    <row r="132" spans="1:36" ht="15" customHeight="1" x14ac:dyDescent="0.35">
      <c r="A132">
        <v>10428918</v>
      </c>
      <c r="B132" t="s">
        <v>36</v>
      </c>
      <c r="C132" t="s">
        <v>37</v>
      </c>
      <c r="D132" s="6" t="s">
        <v>38</v>
      </c>
      <c r="E132" t="s">
        <v>510</v>
      </c>
      <c r="F132" t="s">
        <v>40</v>
      </c>
      <c r="G132" t="s">
        <v>41</v>
      </c>
      <c r="H132" t="s">
        <v>511</v>
      </c>
      <c r="I132" t="s">
        <v>43</v>
      </c>
      <c r="J132">
        <v>2</v>
      </c>
      <c r="K132" t="s">
        <v>44</v>
      </c>
      <c r="L132" t="s">
        <v>45</v>
      </c>
      <c r="M132" t="s">
        <v>46</v>
      </c>
      <c r="N132" s="7">
        <v>1</v>
      </c>
      <c r="O132" s="8">
        <v>45641.668819444443</v>
      </c>
      <c r="P132" s="9">
        <v>45643</v>
      </c>
      <c r="Q132" t="s">
        <v>74</v>
      </c>
      <c r="R132" t="s">
        <v>48</v>
      </c>
      <c r="S132" t="s">
        <v>49</v>
      </c>
      <c r="T132" t="s">
        <v>117</v>
      </c>
      <c r="U132" t="s">
        <v>512</v>
      </c>
      <c r="V132">
        <v>45500</v>
      </c>
      <c r="W132" t="s">
        <v>48</v>
      </c>
      <c r="X132" t="s">
        <v>258</v>
      </c>
      <c r="Y132" t="s">
        <v>54</v>
      </c>
      <c r="Z132" s="12">
        <f>IF(N132&lt;=1,9,9+0.8*ROUNDUP(N132-1,0))</f>
        <v>9</v>
      </c>
      <c r="AA132" s="11">
        <v>-2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6"/>
        <v>0.42</v>
      </c>
      <c r="AG132" s="11">
        <f t="shared" si="7"/>
        <v>7.42</v>
      </c>
      <c r="AH132" s="11">
        <v>0</v>
      </c>
      <c r="AI132" s="11">
        <f t="shared" si="8"/>
        <v>7.42</v>
      </c>
      <c r="AJ132" t="s">
        <v>62</v>
      </c>
    </row>
    <row r="133" spans="1:36" ht="15" customHeight="1" x14ac:dyDescent="0.35">
      <c r="A133">
        <v>10428918</v>
      </c>
      <c r="B133" t="s">
        <v>36</v>
      </c>
      <c r="C133" t="s">
        <v>37</v>
      </c>
      <c r="D133" s="6" t="s">
        <v>38</v>
      </c>
      <c r="E133" t="s">
        <v>513</v>
      </c>
      <c r="F133" t="s">
        <v>40</v>
      </c>
      <c r="G133" t="s">
        <v>41</v>
      </c>
      <c r="H133" t="s">
        <v>514</v>
      </c>
      <c r="I133" t="s">
        <v>43</v>
      </c>
      <c r="J133">
        <v>2</v>
      </c>
      <c r="K133" t="s">
        <v>44</v>
      </c>
      <c r="L133" t="s">
        <v>45</v>
      </c>
      <c r="M133" t="s">
        <v>46</v>
      </c>
      <c r="N133" s="7">
        <v>1</v>
      </c>
      <c r="O133" s="8">
        <v>45640.811018518521</v>
      </c>
      <c r="P133" s="9">
        <v>45643</v>
      </c>
      <c r="Q133" t="s">
        <v>74</v>
      </c>
      <c r="R133" t="s">
        <v>48</v>
      </c>
      <c r="S133" t="s">
        <v>49</v>
      </c>
      <c r="T133" t="s">
        <v>69</v>
      </c>
      <c r="U133" t="s">
        <v>515</v>
      </c>
      <c r="V133">
        <v>81900</v>
      </c>
      <c r="W133" t="s">
        <v>48</v>
      </c>
      <c r="X133" t="s">
        <v>122</v>
      </c>
      <c r="Y133" t="s">
        <v>54</v>
      </c>
      <c r="Z133" s="12">
        <f>IF(N133&lt;=1,9,9+0.8*ROUNDUP(N133-1,0))</f>
        <v>9</v>
      </c>
      <c r="AA133" s="11">
        <v>-2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6"/>
        <v>0.42</v>
      </c>
      <c r="AG133" s="11">
        <f t="shared" si="7"/>
        <v>7.42</v>
      </c>
      <c r="AH133" s="11">
        <v>0</v>
      </c>
      <c r="AI133" s="11">
        <f t="shared" si="8"/>
        <v>7.42</v>
      </c>
      <c r="AJ133" t="s">
        <v>62</v>
      </c>
    </row>
    <row r="134" spans="1:36" ht="15" customHeight="1" x14ac:dyDescent="0.35">
      <c r="A134">
        <v>10428918</v>
      </c>
      <c r="B134" t="s">
        <v>36</v>
      </c>
      <c r="C134" t="s">
        <v>37</v>
      </c>
      <c r="D134" s="6" t="s">
        <v>38</v>
      </c>
      <c r="E134" t="s">
        <v>516</v>
      </c>
      <c r="F134" t="s">
        <v>40</v>
      </c>
      <c r="G134" t="s">
        <v>41</v>
      </c>
      <c r="H134" t="s">
        <v>517</v>
      </c>
      <c r="I134" t="s">
        <v>43</v>
      </c>
      <c r="J134">
        <v>2</v>
      </c>
      <c r="K134" t="s">
        <v>44</v>
      </c>
      <c r="L134" t="s">
        <v>45</v>
      </c>
      <c r="M134" t="s">
        <v>46</v>
      </c>
      <c r="N134" s="7">
        <v>1</v>
      </c>
      <c r="O134" s="8">
        <v>45641.6637962963</v>
      </c>
      <c r="P134" s="9">
        <v>45643</v>
      </c>
      <c r="Q134" t="s">
        <v>74</v>
      </c>
      <c r="R134" t="s">
        <v>48</v>
      </c>
      <c r="S134" t="s">
        <v>49</v>
      </c>
      <c r="T134" t="s">
        <v>75</v>
      </c>
      <c r="U134" t="s">
        <v>518</v>
      </c>
      <c r="V134">
        <v>28400</v>
      </c>
      <c r="W134" t="s">
        <v>48</v>
      </c>
      <c r="X134" t="s">
        <v>77</v>
      </c>
      <c r="Y134" t="s">
        <v>54</v>
      </c>
      <c r="Z134" s="12">
        <f>IF(N134&lt;=1,9,9+0.8*ROUNDUP(N134-1,0))</f>
        <v>9</v>
      </c>
      <c r="AA134" s="11">
        <v>-2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6"/>
        <v>0.42</v>
      </c>
      <c r="AG134" s="11">
        <f t="shared" si="7"/>
        <v>7.42</v>
      </c>
      <c r="AH134" s="11">
        <v>0</v>
      </c>
      <c r="AI134" s="11">
        <f t="shared" si="8"/>
        <v>7.42</v>
      </c>
      <c r="AJ134" t="s">
        <v>62</v>
      </c>
    </row>
    <row r="135" spans="1:36" ht="15" customHeight="1" x14ac:dyDescent="0.35">
      <c r="A135">
        <v>10428918</v>
      </c>
      <c r="B135" t="s">
        <v>36</v>
      </c>
      <c r="C135" t="s">
        <v>37</v>
      </c>
      <c r="D135" s="6" t="s">
        <v>38</v>
      </c>
      <c r="E135" t="s">
        <v>519</v>
      </c>
      <c r="F135" t="s">
        <v>40</v>
      </c>
      <c r="G135" t="s">
        <v>41</v>
      </c>
      <c r="H135" t="s">
        <v>520</v>
      </c>
      <c r="I135" t="s">
        <v>43</v>
      </c>
      <c r="J135">
        <v>2</v>
      </c>
      <c r="K135" t="s">
        <v>44</v>
      </c>
      <c r="L135" t="s">
        <v>45</v>
      </c>
      <c r="M135" t="s">
        <v>46</v>
      </c>
      <c r="N135" s="7">
        <v>2</v>
      </c>
      <c r="O135" s="8">
        <v>45641.434814814813</v>
      </c>
      <c r="P135" s="9">
        <v>45643</v>
      </c>
      <c r="Q135" t="s">
        <v>74</v>
      </c>
      <c r="R135" t="s">
        <v>48</v>
      </c>
      <c r="S135" t="s">
        <v>49</v>
      </c>
      <c r="T135" t="s">
        <v>80</v>
      </c>
      <c r="U135" t="s">
        <v>521</v>
      </c>
      <c r="V135">
        <v>6100</v>
      </c>
      <c r="W135" t="s">
        <v>48</v>
      </c>
      <c r="X135" t="s">
        <v>522</v>
      </c>
      <c r="Y135" t="s">
        <v>54</v>
      </c>
      <c r="Z135" s="12">
        <f>IF(N135&lt;=1,9,9+0.8*ROUNDUP(N135-1,0))</f>
        <v>9.8000000000000007</v>
      </c>
      <c r="AA135" s="11">
        <v>-2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6"/>
        <v>0.46800000000000003</v>
      </c>
      <c r="AG135" s="11">
        <f t="shared" si="7"/>
        <v>8.2680000000000007</v>
      </c>
      <c r="AH135" s="11">
        <v>0</v>
      </c>
      <c r="AI135" s="11">
        <f t="shared" si="8"/>
        <v>8.2680000000000007</v>
      </c>
      <c r="AJ135" t="s">
        <v>62</v>
      </c>
    </row>
    <row r="136" spans="1:36" ht="15" customHeight="1" x14ac:dyDescent="0.35">
      <c r="A136">
        <v>10428918</v>
      </c>
      <c r="B136" t="s">
        <v>36</v>
      </c>
      <c r="C136" t="s">
        <v>37</v>
      </c>
      <c r="D136" s="6" t="s">
        <v>38</v>
      </c>
      <c r="E136" t="s">
        <v>523</v>
      </c>
      <c r="F136" t="s">
        <v>40</v>
      </c>
      <c r="G136" t="s">
        <v>41</v>
      </c>
      <c r="H136" t="s">
        <v>524</v>
      </c>
      <c r="I136" t="s">
        <v>43</v>
      </c>
      <c r="J136">
        <v>2</v>
      </c>
      <c r="K136" t="s">
        <v>44</v>
      </c>
      <c r="L136" t="s">
        <v>45</v>
      </c>
      <c r="M136" t="s">
        <v>46</v>
      </c>
      <c r="N136" s="7">
        <v>4</v>
      </c>
      <c r="O136" s="8">
        <v>45641.600937499999</v>
      </c>
      <c r="P136" s="9">
        <v>45643</v>
      </c>
      <c r="Q136" t="s">
        <v>74</v>
      </c>
      <c r="R136" t="s">
        <v>48</v>
      </c>
      <c r="S136" t="s">
        <v>49</v>
      </c>
      <c r="T136" t="s">
        <v>80</v>
      </c>
      <c r="U136" t="s">
        <v>525</v>
      </c>
      <c r="V136">
        <v>8800</v>
      </c>
      <c r="W136" t="s">
        <v>48</v>
      </c>
      <c r="X136" t="s">
        <v>53</v>
      </c>
      <c r="Y136" t="s">
        <v>54</v>
      </c>
      <c r="Z136" s="12">
        <f>IF(N136&lt;=1,9,9+0.8*ROUNDUP(N136-1,0))</f>
        <v>11.4</v>
      </c>
      <c r="AA136" s="11">
        <v>-2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6"/>
        <v>0.56399999999999995</v>
      </c>
      <c r="AG136" s="11">
        <f t="shared" si="7"/>
        <v>9.9640000000000004</v>
      </c>
      <c r="AH136" s="11">
        <v>0</v>
      </c>
      <c r="AI136" s="11">
        <f t="shared" si="8"/>
        <v>9.9640000000000004</v>
      </c>
      <c r="AJ136" t="s">
        <v>62</v>
      </c>
    </row>
    <row r="137" spans="1:36" ht="15" customHeight="1" x14ac:dyDescent="0.35">
      <c r="A137">
        <v>10428918</v>
      </c>
      <c r="B137" t="s">
        <v>36</v>
      </c>
      <c r="C137" t="s">
        <v>37</v>
      </c>
      <c r="D137" s="6" t="s">
        <v>38</v>
      </c>
      <c r="E137" t="s">
        <v>526</v>
      </c>
      <c r="F137" t="s">
        <v>40</v>
      </c>
      <c r="G137" t="s">
        <v>41</v>
      </c>
      <c r="H137" t="s">
        <v>527</v>
      </c>
      <c r="I137" t="s">
        <v>43</v>
      </c>
      <c r="J137">
        <v>2</v>
      </c>
      <c r="K137" t="s">
        <v>44</v>
      </c>
      <c r="L137" t="s">
        <v>45</v>
      </c>
      <c r="M137" t="s">
        <v>46</v>
      </c>
      <c r="N137" s="7">
        <v>2</v>
      </c>
      <c r="O137" s="8">
        <v>45641.509236111109</v>
      </c>
      <c r="P137" s="9">
        <v>45643</v>
      </c>
      <c r="Q137" t="s">
        <v>74</v>
      </c>
      <c r="R137" t="s">
        <v>48</v>
      </c>
      <c r="S137" t="s">
        <v>49</v>
      </c>
      <c r="T137" t="s">
        <v>59</v>
      </c>
      <c r="U137" t="s">
        <v>528</v>
      </c>
      <c r="V137">
        <v>17000</v>
      </c>
      <c r="W137" t="s">
        <v>48</v>
      </c>
      <c r="X137" t="s">
        <v>61</v>
      </c>
      <c r="Y137" t="s">
        <v>54</v>
      </c>
      <c r="Z137" s="12">
        <f>IF(N137&lt;=1,9,9+0.8*ROUNDUP(N137-1,0))</f>
        <v>9.8000000000000007</v>
      </c>
      <c r="AA137" s="11">
        <v>-2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6"/>
        <v>0.46800000000000003</v>
      </c>
      <c r="AG137" s="11">
        <f t="shared" si="7"/>
        <v>8.2680000000000007</v>
      </c>
      <c r="AH137" s="11">
        <v>0</v>
      </c>
      <c r="AI137" s="11">
        <f t="shared" si="8"/>
        <v>8.2680000000000007</v>
      </c>
      <c r="AJ137" t="s">
        <v>62</v>
      </c>
    </row>
    <row r="138" spans="1:36" ht="15" customHeight="1" x14ac:dyDescent="0.35">
      <c r="A138">
        <v>10428918</v>
      </c>
      <c r="B138" t="s">
        <v>36</v>
      </c>
      <c r="C138" t="s">
        <v>37</v>
      </c>
      <c r="D138" s="6" t="s">
        <v>38</v>
      </c>
      <c r="E138" t="s">
        <v>529</v>
      </c>
      <c r="F138" t="s">
        <v>40</v>
      </c>
      <c r="G138" t="s">
        <v>41</v>
      </c>
      <c r="H138" t="s">
        <v>530</v>
      </c>
      <c r="I138" t="s">
        <v>43</v>
      </c>
      <c r="J138">
        <v>2</v>
      </c>
      <c r="K138" t="s">
        <v>44</v>
      </c>
      <c r="L138" t="s">
        <v>45</v>
      </c>
      <c r="M138" t="s">
        <v>46</v>
      </c>
      <c r="N138" s="7">
        <v>1</v>
      </c>
      <c r="O138" s="8">
        <v>45641.50922453704</v>
      </c>
      <c r="P138" s="9">
        <v>45643</v>
      </c>
      <c r="Q138" t="s">
        <v>74</v>
      </c>
      <c r="R138" t="s">
        <v>48</v>
      </c>
      <c r="S138" t="s">
        <v>49</v>
      </c>
      <c r="T138" t="s">
        <v>117</v>
      </c>
      <c r="U138" t="s">
        <v>531</v>
      </c>
      <c r="V138">
        <v>43900</v>
      </c>
      <c r="W138" t="s">
        <v>48</v>
      </c>
      <c r="X138" t="s">
        <v>532</v>
      </c>
      <c r="Y138" t="s">
        <v>54</v>
      </c>
      <c r="Z138" s="12">
        <f>IF(N138&lt;=1,9,9+0.8*ROUNDUP(N138-1,0))</f>
        <v>9</v>
      </c>
      <c r="AA138" s="11">
        <v>-2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6"/>
        <v>0.42</v>
      </c>
      <c r="AG138" s="11">
        <f t="shared" si="7"/>
        <v>7.42</v>
      </c>
      <c r="AH138" s="11">
        <v>0</v>
      </c>
      <c r="AI138" s="11">
        <f t="shared" si="8"/>
        <v>7.42</v>
      </c>
      <c r="AJ138" t="s">
        <v>62</v>
      </c>
    </row>
    <row r="139" spans="1:36" ht="15" customHeight="1" x14ac:dyDescent="0.35">
      <c r="A139">
        <v>10428918</v>
      </c>
      <c r="B139" t="s">
        <v>36</v>
      </c>
      <c r="C139" t="s">
        <v>37</v>
      </c>
      <c r="D139" s="6" t="s">
        <v>38</v>
      </c>
      <c r="E139" t="s">
        <v>533</v>
      </c>
      <c r="F139" t="s">
        <v>40</v>
      </c>
      <c r="G139" t="s">
        <v>41</v>
      </c>
      <c r="H139" t="s">
        <v>534</v>
      </c>
      <c r="I139" t="s">
        <v>43</v>
      </c>
      <c r="J139">
        <v>2</v>
      </c>
      <c r="K139" t="s">
        <v>44</v>
      </c>
      <c r="L139" t="s">
        <v>45</v>
      </c>
      <c r="M139" t="s">
        <v>46</v>
      </c>
      <c r="N139" s="7">
        <v>1</v>
      </c>
      <c r="O139" s="8">
        <v>45642.724166666667</v>
      </c>
      <c r="P139" s="9">
        <v>45643</v>
      </c>
      <c r="Q139" t="s">
        <v>74</v>
      </c>
      <c r="R139" t="s">
        <v>48</v>
      </c>
      <c r="S139" t="s">
        <v>49</v>
      </c>
      <c r="T139" t="s">
        <v>117</v>
      </c>
      <c r="U139" t="s">
        <v>535</v>
      </c>
      <c r="V139">
        <v>42000</v>
      </c>
      <c r="W139" t="s">
        <v>48</v>
      </c>
      <c r="X139" t="s">
        <v>149</v>
      </c>
      <c r="Y139" t="s">
        <v>54</v>
      </c>
      <c r="Z139" s="12">
        <f>IF(N139&lt;=1,9,9+0.8*ROUNDUP(N139-1,0))</f>
        <v>9</v>
      </c>
      <c r="AA139" s="11">
        <v>-2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6"/>
        <v>0.42</v>
      </c>
      <c r="AG139" s="11">
        <f t="shared" si="7"/>
        <v>7.42</v>
      </c>
      <c r="AH139" s="11">
        <v>0</v>
      </c>
      <c r="AI139" s="11">
        <f t="shared" si="8"/>
        <v>7.42</v>
      </c>
      <c r="AJ139" t="s">
        <v>62</v>
      </c>
    </row>
    <row r="140" spans="1:36" ht="15" customHeight="1" x14ac:dyDescent="0.35">
      <c r="A140">
        <v>10428918</v>
      </c>
      <c r="B140" t="s">
        <v>36</v>
      </c>
      <c r="C140" t="s">
        <v>37</v>
      </c>
      <c r="D140" s="6" t="s">
        <v>38</v>
      </c>
      <c r="E140" t="s">
        <v>536</v>
      </c>
      <c r="F140" t="s">
        <v>40</v>
      </c>
      <c r="G140" t="s">
        <v>41</v>
      </c>
      <c r="H140" t="s">
        <v>537</v>
      </c>
      <c r="I140" t="s">
        <v>43</v>
      </c>
      <c r="J140">
        <v>2</v>
      </c>
      <c r="K140" t="s">
        <v>44</v>
      </c>
      <c r="L140" t="s">
        <v>45</v>
      </c>
      <c r="M140" t="s">
        <v>46</v>
      </c>
      <c r="N140" s="7">
        <v>1</v>
      </c>
      <c r="O140" s="8">
        <v>45641.66883101852</v>
      </c>
      <c r="P140" s="9">
        <v>45643</v>
      </c>
      <c r="Q140" t="s">
        <v>74</v>
      </c>
      <c r="R140" t="s">
        <v>48</v>
      </c>
      <c r="S140" t="s">
        <v>49</v>
      </c>
      <c r="T140" t="s">
        <v>75</v>
      </c>
      <c r="U140" t="s">
        <v>538</v>
      </c>
      <c r="V140">
        <v>25200</v>
      </c>
      <c r="W140" t="s">
        <v>48</v>
      </c>
      <c r="X140" t="s">
        <v>77</v>
      </c>
      <c r="Y140" t="s">
        <v>54</v>
      </c>
      <c r="Z140" s="12">
        <f>IF(N140&lt;=1,9,9+0.8*ROUNDUP(N140-1,0))</f>
        <v>9</v>
      </c>
      <c r="AA140" s="11">
        <v>-2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6"/>
        <v>0.42</v>
      </c>
      <c r="AG140" s="11">
        <f t="shared" si="7"/>
        <v>7.42</v>
      </c>
      <c r="AH140" s="11">
        <v>0</v>
      </c>
      <c r="AI140" s="11">
        <f t="shared" si="8"/>
        <v>7.42</v>
      </c>
      <c r="AJ140" t="s">
        <v>62</v>
      </c>
    </row>
    <row r="141" spans="1:36" ht="15" customHeight="1" x14ac:dyDescent="0.35">
      <c r="A141">
        <v>10428918</v>
      </c>
      <c r="B141" t="s">
        <v>36</v>
      </c>
      <c r="C141" t="s">
        <v>37</v>
      </c>
      <c r="D141" s="6" t="s">
        <v>38</v>
      </c>
      <c r="E141" t="s">
        <v>539</v>
      </c>
      <c r="F141" t="s">
        <v>40</v>
      </c>
      <c r="G141" t="s">
        <v>41</v>
      </c>
      <c r="H141" t="s">
        <v>540</v>
      </c>
      <c r="I141" t="s">
        <v>43</v>
      </c>
      <c r="J141">
        <v>2</v>
      </c>
      <c r="K141" t="s">
        <v>44</v>
      </c>
      <c r="L141" t="s">
        <v>45</v>
      </c>
      <c r="M141" t="s">
        <v>46</v>
      </c>
      <c r="N141" s="7">
        <v>2</v>
      </c>
      <c r="O141" s="8">
        <v>45641.50922453704</v>
      </c>
      <c r="P141" s="9">
        <v>45643</v>
      </c>
      <c r="Q141" t="s">
        <v>74</v>
      </c>
      <c r="R141" t="s">
        <v>48</v>
      </c>
      <c r="S141" t="s">
        <v>49</v>
      </c>
      <c r="T141" t="s">
        <v>170</v>
      </c>
      <c r="U141" t="s">
        <v>541</v>
      </c>
      <c r="V141">
        <v>55100</v>
      </c>
      <c r="W141" t="s">
        <v>48</v>
      </c>
      <c r="X141" t="s">
        <v>172</v>
      </c>
      <c r="Y141" t="s">
        <v>54</v>
      </c>
      <c r="Z141" s="12">
        <f>IF(N141&lt;=1,9,9+0.8*ROUNDUP(N141-1,0))</f>
        <v>9.8000000000000007</v>
      </c>
      <c r="AA141" s="11">
        <v>-2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6"/>
        <v>0.46800000000000003</v>
      </c>
      <c r="AG141" s="11">
        <f t="shared" si="7"/>
        <v>8.2680000000000007</v>
      </c>
      <c r="AH141" s="11">
        <v>0</v>
      </c>
      <c r="AI141" s="11">
        <f t="shared" si="8"/>
        <v>8.2680000000000007</v>
      </c>
      <c r="AJ141" t="s">
        <v>62</v>
      </c>
    </row>
    <row r="142" spans="1:36" ht="15" customHeight="1" x14ac:dyDescent="0.35">
      <c r="A142">
        <v>10428918</v>
      </c>
      <c r="B142" t="s">
        <v>36</v>
      </c>
      <c r="C142" t="s">
        <v>37</v>
      </c>
      <c r="D142" s="6" t="s">
        <v>38</v>
      </c>
      <c r="E142" t="s">
        <v>542</v>
      </c>
      <c r="F142" t="s">
        <v>40</v>
      </c>
      <c r="G142" t="s">
        <v>41</v>
      </c>
      <c r="H142" t="s">
        <v>543</v>
      </c>
      <c r="I142" t="s">
        <v>43</v>
      </c>
      <c r="J142">
        <v>2</v>
      </c>
      <c r="K142" t="s">
        <v>44</v>
      </c>
      <c r="L142" t="s">
        <v>45</v>
      </c>
      <c r="M142" t="s">
        <v>46</v>
      </c>
      <c r="N142" s="7">
        <v>1</v>
      </c>
      <c r="O142" s="8">
        <v>45641.849386574075</v>
      </c>
      <c r="P142" s="9">
        <v>45643</v>
      </c>
      <c r="Q142" t="s">
        <v>74</v>
      </c>
      <c r="R142" t="s">
        <v>48</v>
      </c>
      <c r="S142" t="s">
        <v>49</v>
      </c>
      <c r="T142" t="s">
        <v>90</v>
      </c>
      <c r="U142" t="s">
        <v>544</v>
      </c>
      <c r="V142">
        <v>22020</v>
      </c>
      <c r="W142" t="s">
        <v>48</v>
      </c>
      <c r="X142" t="s">
        <v>92</v>
      </c>
      <c r="Y142" t="s">
        <v>54</v>
      </c>
      <c r="Z142" s="12">
        <f>IF(N142&lt;=1,9,9+0.8*ROUNDUP(N142-1,0))</f>
        <v>9</v>
      </c>
      <c r="AA142" s="11">
        <v>-2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6"/>
        <v>0.42</v>
      </c>
      <c r="AG142" s="11">
        <f t="shared" si="7"/>
        <v>7.42</v>
      </c>
      <c r="AH142" s="11">
        <v>0</v>
      </c>
      <c r="AI142" s="11">
        <f t="shared" si="8"/>
        <v>7.42</v>
      </c>
      <c r="AJ142" t="s">
        <v>62</v>
      </c>
    </row>
    <row r="143" spans="1:36" ht="15" customHeight="1" x14ac:dyDescent="0.35">
      <c r="A143">
        <v>10428918</v>
      </c>
      <c r="B143" t="s">
        <v>36</v>
      </c>
      <c r="C143" t="s">
        <v>37</v>
      </c>
      <c r="D143" s="6" t="s">
        <v>38</v>
      </c>
      <c r="E143" t="s">
        <v>545</v>
      </c>
      <c r="F143" t="s">
        <v>40</v>
      </c>
      <c r="G143" t="s">
        <v>41</v>
      </c>
      <c r="H143" t="s">
        <v>546</v>
      </c>
      <c r="I143" t="s">
        <v>43</v>
      </c>
      <c r="J143">
        <v>2</v>
      </c>
      <c r="K143" t="s">
        <v>44</v>
      </c>
      <c r="L143" t="s">
        <v>45</v>
      </c>
      <c r="M143" t="s">
        <v>46</v>
      </c>
      <c r="N143" s="7">
        <v>1</v>
      </c>
      <c r="O143" s="8">
        <v>45641.821712962963</v>
      </c>
      <c r="P143" s="9">
        <v>45643</v>
      </c>
      <c r="Q143" t="s">
        <v>74</v>
      </c>
      <c r="R143" t="s">
        <v>48</v>
      </c>
      <c r="S143" t="s">
        <v>49</v>
      </c>
      <c r="T143" t="s">
        <v>117</v>
      </c>
      <c r="U143" t="s">
        <v>547</v>
      </c>
      <c r="V143">
        <v>40170</v>
      </c>
      <c r="W143" t="s">
        <v>48</v>
      </c>
      <c r="X143" t="s">
        <v>548</v>
      </c>
      <c r="Y143" t="s">
        <v>54</v>
      </c>
      <c r="Z143" s="12">
        <f>IF(N143&lt;=1,9,9+0.8*ROUNDUP(N143-1,0))</f>
        <v>9</v>
      </c>
      <c r="AA143" s="11">
        <v>-2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6"/>
        <v>0.42</v>
      </c>
      <c r="AG143" s="11">
        <f t="shared" si="7"/>
        <v>7.42</v>
      </c>
      <c r="AH143" s="11">
        <v>0</v>
      </c>
      <c r="AI143" s="11">
        <f t="shared" si="8"/>
        <v>7.42</v>
      </c>
      <c r="AJ143" t="s">
        <v>62</v>
      </c>
    </row>
    <row r="144" spans="1:36" ht="15" customHeight="1" x14ac:dyDescent="0.35">
      <c r="A144">
        <v>10428918</v>
      </c>
      <c r="B144" t="s">
        <v>36</v>
      </c>
      <c r="C144" t="s">
        <v>37</v>
      </c>
      <c r="D144" s="6" t="s">
        <v>38</v>
      </c>
      <c r="E144" t="s">
        <v>549</v>
      </c>
      <c r="F144" t="s">
        <v>40</v>
      </c>
      <c r="G144" t="s">
        <v>41</v>
      </c>
      <c r="H144" t="s">
        <v>550</v>
      </c>
      <c r="I144" t="s">
        <v>43</v>
      </c>
      <c r="J144">
        <v>2</v>
      </c>
      <c r="K144" t="s">
        <v>44</v>
      </c>
      <c r="L144" t="s">
        <v>45</v>
      </c>
      <c r="M144" t="s">
        <v>46</v>
      </c>
      <c r="N144" s="7">
        <v>1</v>
      </c>
      <c r="O144" s="8">
        <v>45641.734722222223</v>
      </c>
      <c r="P144" s="9">
        <v>45643</v>
      </c>
      <c r="Q144" t="s">
        <v>74</v>
      </c>
      <c r="R144" t="s">
        <v>48</v>
      </c>
      <c r="S144" t="s">
        <v>49</v>
      </c>
      <c r="T144" t="s">
        <v>69</v>
      </c>
      <c r="U144" t="s">
        <v>551</v>
      </c>
      <c r="V144">
        <v>81100</v>
      </c>
      <c r="W144" t="s">
        <v>48</v>
      </c>
      <c r="X144" t="s">
        <v>552</v>
      </c>
      <c r="Y144" t="s">
        <v>54</v>
      </c>
      <c r="Z144" s="12">
        <f>IF(N144&lt;=1,9,9+0.8*ROUNDUP(N144-1,0))</f>
        <v>9</v>
      </c>
      <c r="AA144" s="11">
        <v>-2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6"/>
        <v>0.42</v>
      </c>
      <c r="AG144" s="11">
        <f t="shared" si="7"/>
        <v>7.42</v>
      </c>
      <c r="AH144" s="11">
        <v>0</v>
      </c>
      <c r="AI144" s="11">
        <f t="shared" si="8"/>
        <v>7.42</v>
      </c>
      <c r="AJ144" t="s">
        <v>62</v>
      </c>
    </row>
    <row r="145" spans="1:36" ht="15" customHeight="1" x14ac:dyDescent="0.35">
      <c r="A145">
        <v>10428918</v>
      </c>
      <c r="B145" t="s">
        <v>36</v>
      </c>
      <c r="C145" t="s">
        <v>37</v>
      </c>
      <c r="D145" s="6" t="s">
        <v>38</v>
      </c>
      <c r="E145" t="s">
        <v>553</v>
      </c>
      <c r="F145" t="s">
        <v>40</v>
      </c>
      <c r="G145" t="s">
        <v>41</v>
      </c>
      <c r="H145" t="s">
        <v>554</v>
      </c>
      <c r="I145" t="s">
        <v>43</v>
      </c>
      <c r="J145">
        <v>2</v>
      </c>
      <c r="K145" t="s">
        <v>44</v>
      </c>
      <c r="L145" t="s">
        <v>45</v>
      </c>
      <c r="M145" t="s">
        <v>46</v>
      </c>
      <c r="N145" s="7">
        <v>2</v>
      </c>
      <c r="O145" s="8">
        <v>45642.64434027778</v>
      </c>
      <c r="P145" s="9">
        <v>45643</v>
      </c>
      <c r="Q145" t="s">
        <v>74</v>
      </c>
      <c r="R145" t="s">
        <v>48</v>
      </c>
      <c r="S145" t="s">
        <v>49</v>
      </c>
      <c r="T145" t="s">
        <v>117</v>
      </c>
      <c r="U145" t="s">
        <v>555</v>
      </c>
      <c r="V145">
        <v>47000</v>
      </c>
      <c r="W145" t="s">
        <v>48</v>
      </c>
      <c r="X145" t="s">
        <v>556</v>
      </c>
      <c r="Y145" t="s">
        <v>54</v>
      </c>
      <c r="Z145" s="12">
        <f>IF(N145&lt;=1,9,9+0.8*ROUNDUP(N145-1,0))</f>
        <v>9.8000000000000007</v>
      </c>
      <c r="AA145" s="11">
        <v>-2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6"/>
        <v>0.46800000000000003</v>
      </c>
      <c r="AG145" s="11">
        <f t="shared" si="7"/>
        <v>8.2680000000000007</v>
      </c>
      <c r="AH145" s="11">
        <v>0</v>
      </c>
      <c r="AI145" s="11">
        <f t="shared" si="8"/>
        <v>8.2680000000000007</v>
      </c>
      <c r="AJ145" t="s">
        <v>62</v>
      </c>
    </row>
    <row r="146" spans="1:36" ht="15" customHeight="1" x14ac:dyDescent="0.35">
      <c r="A146">
        <v>10428918</v>
      </c>
      <c r="B146" t="s">
        <v>36</v>
      </c>
      <c r="C146" t="s">
        <v>37</v>
      </c>
      <c r="D146" s="6" t="s">
        <v>38</v>
      </c>
      <c r="E146" t="s">
        <v>557</v>
      </c>
      <c r="F146" t="s">
        <v>40</v>
      </c>
      <c r="G146" t="s">
        <v>41</v>
      </c>
      <c r="H146" t="s">
        <v>558</v>
      </c>
      <c r="I146" t="s">
        <v>43</v>
      </c>
      <c r="J146">
        <v>2</v>
      </c>
      <c r="K146" t="s">
        <v>44</v>
      </c>
      <c r="L146" t="s">
        <v>45</v>
      </c>
      <c r="M146" t="s">
        <v>46</v>
      </c>
      <c r="N146" s="7">
        <v>1</v>
      </c>
      <c r="O146" s="8">
        <v>45641.821712962963</v>
      </c>
      <c r="P146" s="9">
        <v>45643</v>
      </c>
      <c r="Q146" t="s">
        <v>74</v>
      </c>
      <c r="R146" t="s">
        <v>48</v>
      </c>
      <c r="S146" t="s">
        <v>49</v>
      </c>
      <c r="T146" t="s">
        <v>559</v>
      </c>
      <c r="U146" t="s">
        <v>560</v>
      </c>
      <c r="V146">
        <v>62100</v>
      </c>
      <c r="W146" t="s">
        <v>48</v>
      </c>
      <c r="X146" t="s">
        <v>224</v>
      </c>
      <c r="Y146" t="s">
        <v>54</v>
      </c>
      <c r="Z146" s="12">
        <f>IF(N146&lt;=1,9,9+0.8*ROUNDUP(N146-1,0))</f>
        <v>9</v>
      </c>
      <c r="AA146" s="11">
        <v>-2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6"/>
        <v>0.42</v>
      </c>
      <c r="AG146" s="11">
        <f t="shared" si="7"/>
        <v>7.42</v>
      </c>
      <c r="AH146" s="11">
        <v>0</v>
      </c>
      <c r="AI146" s="11">
        <f t="shared" si="8"/>
        <v>7.42</v>
      </c>
      <c r="AJ146" t="s">
        <v>62</v>
      </c>
    </row>
    <row r="147" spans="1:36" ht="15" customHeight="1" x14ac:dyDescent="0.35">
      <c r="A147">
        <v>10428918</v>
      </c>
      <c r="B147" t="s">
        <v>36</v>
      </c>
      <c r="C147" t="s">
        <v>37</v>
      </c>
      <c r="D147" s="6" t="s">
        <v>38</v>
      </c>
      <c r="E147" t="s">
        <v>561</v>
      </c>
      <c r="F147" t="s">
        <v>40</v>
      </c>
      <c r="G147" t="s">
        <v>41</v>
      </c>
      <c r="H147" t="s">
        <v>562</v>
      </c>
      <c r="I147" t="s">
        <v>43</v>
      </c>
      <c r="J147">
        <v>2</v>
      </c>
      <c r="K147" t="s">
        <v>44</v>
      </c>
      <c r="L147" t="s">
        <v>45</v>
      </c>
      <c r="M147" t="s">
        <v>46</v>
      </c>
      <c r="N147" s="7">
        <v>3</v>
      </c>
      <c r="O147" s="8">
        <v>45642.661643518521</v>
      </c>
      <c r="P147" s="9">
        <v>45643</v>
      </c>
      <c r="Q147" t="s">
        <v>74</v>
      </c>
      <c r="R147" t="s">
        <v>48</v>
      </c>
      <c r="S147" t="s">
        <v>49</v>
      </c>
      <c r="T147" t="s">
        <v>170</v>
      </c>
      <c r="U147" t="s">
        <v>563</v>
      </c>
      <c r="V147">
        <v>54000</v>
      </c>
      <c r="W147" t="s">
        <v>48</v>
      </c>
      <c r="X147" t="s">
        <v>564</v>
      </c>
      <c r="Y147" t="s">
        <v>54</v>
      </c>
      <c r="Z147" s="12">
        <f>IF(N147&lt;=1,9,9+0.8*ROUNDUP(N147-1,0))</f>
        <v>10.6</v>
      </c>
      <c r="AA147" s="11">
        <v>-2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6"/>
        <v>0.51600000000000001</v>
      </c>
      <c r="AG147" s="11">
        <f t="shared" si="7"/>
        <v>9.1159999999999997</v>
      </c>
      <c r="AH147" s="11">
        <v>0</v>
      </c>
      <c r="AI147" s="11">
        <f t="shared" si="8"/>
        <v>9.1159999999999997</v>
      </c>
      <c r="AJ147" t="s">
        <v>62</v>
      </c>
    </row>
    <row r="148" spans="1:36" ht="15" customHeight="1" x14ac:dyDescent="0.35">
      <c r="A148">
        <v>10428918</v>
      </c>
      <c r="B148" t="s">
        <v>36</v>
      </c>
      <c r="C148" t="s">
        <v>37</v>
      </c>
      <c r="D148" s="6" t="s">
        <v>38</v>
      </c>
      <c r="E148" t="s">
        <v>565</v>
      </c>
      <c r="F148" t="s">
        <v>40</v>
      </c>
      <c r="G148" t="s">
        <v>41</v>
      </c>
      <c r="H148" t="s">
        <v>566</v>
      </c>
      <c r="I148" t="s">
        <v>43</v>
      </c>
      <c r="J148">
        <v>2</v>
      </c>
      <c r="K148" t="s">
        <v>44</v>
      </c>
      <c r="L148" t="s">
        <v>45</v>
      </c>
      <c r="M148" t="s">
        <v>46</v>
      </c>
      <c r="N148" s="7">
        <v>1</v>
      </c>
      <c r="O148" s="8">
        <v>45640.811018518521</v>
      </c>
      <c r="P148" s="9">
        <v>45643</v>
      </c>
      <c r="Q148" t="s">
        <v>74</v>
      </c>
      <c r="R148" t="s">
        <v>48</v>
      </c>
      <c r="S148" t="s">
        <v>49</v>
      </c>
      <c r="T148" t="s">
        <v>101</v>
      </c>
      <c r="U148" t="s">
        <v>567</v>
      </c>
      <c r="V148">
        <v>34250</v>
      </c>
      <c r="W148" t="s">
        <v>48</v>
      </c>
      <c r="X148" t="s">
        <v>568</v>
      </c>
      <c r="Y148" t="s">
        <v>54</v>
      </c>
      <c r="Z148" s="12">
        <f>IF(N148&lt;=1,9,9+0.8*ROUNDUP(N148-1,0))</f>
        <v>9</v>
      </c>
      <c r="AA148" s="11">
        <v>-2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6"/>
        <v>0.42</v>
      </c>
      <c r="AG148" s="11">
        <f t="shared" si="7"/>
        <v>7.42</v>
      </c>
      <c r="AH148" s="11">
        <v>0</v>
      </c>
      <c r="AI148" s="11">
        <f t="shared" si="8"/>
        <v>7.42</v>
      </c>
      <c r="AJ148" t="s">
        <v>62</v>
      </c>
    </row>
    <row r="149" spans="1:36" ht="15" customHeight="1" x14ac:dyDescent="0.35">
      <c r="A149">
        <v>10428918</v>
      </c>
      <c r="B149" t="s">
        <v>36</v>
      </c>
      <c r="C149" t="s">
        <v>37</v>
      </c>
      <c r="D149" s="6" t="s">
        <v>38</v>
      </c>
      <c r="E149" t="s">
        <v>569</v>
      </c>
      <c r="F149" t="s">
        <v>40</v>
      </c>
      <c r="G149" t="s">
        <v>41</v>
      </c>
      <c r="H149" t="s">
        <v>570</v>
      </c>
      <c r="I149" t="s">
        <v>43</v>
      </c>
      <c r="J149">
        <v>2</v>
      </c>
      <c r="K149" t="s">
        <v>44</v>
      </c>
      <c r="L149" t="s">
        <v>45</v>
      </c>
      <c r="M149" t="s">
        <v>46</v>
      </c>
      <c r="N149" s="7">
        <v>7</v>
      </c>
      <c r="O149" s="8">
        <v>45642.648020833331</v>
      </c>
      <c r="P149" s="9">
        <v>45643</v>
      </c>
      <c r="Q149" t="s">
        <v>74</v>
      </c>
      <c r="R149" t="s">
        <v>48</v>
      </c>
      <c r="S149" t="s">
        <v>49</v>
      </c>
      <c r="T149" t="s">
        <v>117</v>
      </c>
      <c r="U149" t="s">
        <v>571</v>
      </c>
      <c r="V149">
        <v>40000</v>
      </c>
      <c r="W149" t="s">
        <v>48</v>
      </c>
      <c r="X149" t="s">
        <v>473</v>
      </c>
      <c r="Y149" t="s">
        <v>54</v>
      </c>
      <c r="Z149" s="12">
        <f>IF(N149&lt;=1,9,9+0.8*ROUNDUP(N149-1,0))</f>
        <v>13.8</v>
      </c>
      <c r="AA149" s="11">
        <v>-2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6"/>
        <v>0.70799999999999996</v>
      </c>
      <c r="AG149" s="11">
        <f t="shared" si="7"/>
        <v>12.508000000000001</v>
      </c>
      <c r="AH149" s="11">
        <v>0</v>
      </c>
      <c r="AI149" s="11">
        <f t="shared" si="8"/>
        <v>12.508000000000001</v>
      </c>
      <c r="AJ149" t="s">
        <v>62</v>
      </c>
    </row>
    <row r="150" spans="1:36" ht="15" customHeight="1" x14ac:dyDescent="0.35">
      <c r="A150">
        <v>10428918</v>
      </c>
      <c r="B150" t="s">
        <v>36</v>
      </c>
      <c r="C150" t="s">
        <v>37</v>
      </c>
      <c r="D150" s="6" t="s">
        <v>38</v>
      </c>
      <c r="E150" t="s">
        <v>572</v>
      </c>
      <c r="F150" t="s">
        <v>40</v>
      </c>
      <c r="G150" t="s">
        <v>41</v>
      </c>
      <c r="H150" t="s">
        <v>573</v>
      </c>
      <c r="I150" t="s">
        <v>43</v>
      </c>
      <c r="J150">
        <v>2</v>
      </c>
      <c r="K150" t="s">
        <v>44</v>
      </c>
      <c r="L150" t="s">
        <v>45</v>
      </c>
      <c r="M150" t="s">
        <v>46</v>
      </c>
      <c r="N150" s="7">
        <v>1</v>
      </c>
      <c r="O150" s="8">
        <v>45637.830682870372</v>
      </c>
      <c r="P150" s="9">
        <v>45643</v>
      </c>
      <c r="Q150" t="s">
        <v>47</v>
      </c>
      <c r="R150" t="s">
        <v>48</v>
      </c>
      <c r="S150" t="s">
        <v>49</v>
      </c>
      <c r="T150" t="s">
        <v>50</v>
      </c>
      <c r="U150" t="s">
        <v>574</v>
      </c>
      <c r="V150">
        <v>90000</v>
      </c>
      <c r="W150" t="s">
        <v>52</v>
      </c>
      <c r="X150" t="s">
        <v>53</v>
      </c>
      <c r="Y150" t="s">
        <v>54</v>
      </c>
      <c r="Z150" s="10">
        <f>IF(N150&lt;=1,13,IF(N150&lt;=2,23,IF(N150&lt;=3,35,IF(N150&lt;=4,43,IF(N150&lt;=5,53,IF(N150&lt;=6,63,IF(N150&lt;=7,71,IF(N150&lt;=8,79,IF(N150&lt;=9,87,IF(N150&lt;=10,95,IF(N150&lt;=11,105,IF(N150&lt;=12,114,IF(N150&lt;=13,119,IF(N150&lt;=14,127,IF(N150&lt;=15,135,IF(N150&lt;=16,143,IF(N150&lt;=17,153,IF(N150&lt;=18,163,IF(N150&lt;=19,171,IF(N150&lt;=20,185,IF(N150&lt;=21,193,IF(N150&lt;=22,201,IF(N150&lt;=23,210,IF(N150&lt;=24,220,IF(N150&lt;=25,230,IF(N150&lt;=26,240,IF(N150&lt;=27,250,IF(N150&lt;=28,260,IF(N150&lt;=29,270,IF(N150&lt;=30,280,280+10*ROUNDUP(N150-30,0)))))))))))))))))))))))))))))))</f>
        <v>13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6"/>
        <v>0.78</v>
      </c>
      <c r="AG150" s="11">
        <f t="shared" si="7"/>
        <v>13.78</v>
      </c>
      <c r="AH150" s="11">
        <v>0</v>
      </c>
      <c r="AI150" s="11">
        <f t="shared" si="8"/>
        <v>13.78</v>
      </c>
      <c r="AJ150" t="s">
        <v>55</v>
      </c>
    </row>
    <row r="151" spans="1:36" ht="15" customHeight="1" x14ac:dyDescent="0.35">
      <c r="A151">
        <v>10428918</v>
      </c>
      <c r="B151" t="s">
        <v>36</v>
      </c>
      <c r="C151" t="s">
        <v>37</v>
      </c>
      <c r="D151" s="6" t="s">
        <v>38</v>
      </c>
      <c r="E151" t="s">
        <v>575</v>
      </c>
      <c r="F151" t="s">
        <v>40</v>
      </c>
      <c r="G151" t="s">
        <v>41</v>
      </c>
      <c r="H151" t="s">
        <v>576</v>
      </c>
      <c r="I151" t="s">
        <v>43</v>
      </c>
      <c r="J151">
        <v>2</v>
      </c>
      <c r="K151" t="s">
        <v>44</v>
      </c>
      <c r="L151" t="s">
        <v>45</v>
      </c>
      <c r="M151" t="s">
        <v>46</v>
      </c>
      <c r="N151" s="7">
        <v>1</v>
      </c>
      <c r="O151" s="8">
        <v>45642.64434027778</v>
      </c>
      <c r="P151" s="9">
        <v>45643</v>
      </c>
      <c r="Q151" t="s">
        <v>74</v>
      </c>
      <c r="R151" t="s">
        <v>48</v>
      </c>
      <c r="S151" t="s">
        <v>49</v>
      </c>
      <c r="T151" t="s">
        <v>59</v>
      </c>
      <c r="U151" t="s">
        <v>577</v>
      </c>
      <c r="V151">
        <v>17000</v>
      </c>
      <c r="W151" t="s">
        <v>48</v>
      </c>
      <c r="X151" t="s">
        <v>61</v>
      </c>
      <c r="Y151" t="s">
        <v>54</v>
      </c>
      <c r="Z151" s="12">
        <f>IF(N151&lt;=1,9,9+0.8*ROUNDUP(N151-1,0))</f>
        <v>9</v>
      </c>
      <c r="AA151" s="11">
        <v>-2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6"/>
        <v>0.42</v>
      </c>
      <c r="AG151" s="11">
        <f t="shared" si="7"/>
        <v>7.42</v>
      </c>
      <c r="AH151" s="11">
        <v>0</v>
      </c>
      <c r="AI151" s="11">
        <f t="shared" si="8"/>
        <v>7.42</v>
      </c>
      <c r="AJ151" t="s">
        <v>62</v>
      </c>
    </row>
    <row r="152" spans="1:36" ht="15" customHeight="1" x14ac:dyDescent="0.35">
      <c r="A152">
        <v>10428918</v>
      </c>
      <c r="B152" t="s">
        <v>36</v>
      </c>
      <c r="C152" t="s">
        <v>37</v>
      </c>
      <c r="D152" s="6" t="s">
        <v>38</v>
      </c>
      <c r="E152" t="s">
        <v>578</v>
      </c>
      <c r="F152" t="s">
        <v>40</v>
      </c>
      <c r="G152" t="s">
        <v>41</v>
      </c>
      <c r="H152" t="s">
        <v>579</v>
      </c>
      <c r="I152" t="s">
        <v>43</v>
      </c>
      <c r="J152">
        <v>2</v>
      </c>
      <c r="K152" t="s">
        <v>44</v>
      </c>
      <c r="L152" t="s">
        <v>45</v>
      </c>
      <c r="M152" t="s">
        <v>46</v>
      </c>
      <c r="N152" s="7">
        <v>1</v>
      </c>
      <c r="O152" s="8">
        <v>45641.854432870372</v>
      </c>
      <c r="P152" s="9">
        <v>45643</v>
      </c>
      <c r="Q152" t="s">
        <v>74</v>
      </c>
      <c r="R152" t="s">
        <v>48</v>
      </c>
      <c r="S152" t="s">
        <v>49</v>
      </c>
      <c r="T152" t="s">
        <v>170</v>
      </c>
      <c r="U152" t="s">
        <v>580</v>
      </c>
      <c r="V152">
        <v>55200</v>
      </c>
      <c r="W152" t="s">
        <v>48</v>
      </c>
      <c r="X152" t="s">
        <v>172</v>
      </c>
      <c r="Y152" t="s">
        <v>54</v>
      </c>
      <c r="Z152" s="12">
        <f>IF(N152&lt;=1,9,9+0.8*ROUNDUP(N152-1,0))</f>
        <v>9</v>
      </c>
      <c r="AA152" s="11">
        <v>-2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6"/>
        <v>0.42</v>
      </c>
      <c r="AG152" s="11">
        <f t="shared" si="7"/>
        <v>7.42</v>
      </c>
      <c r="AH152" s="11">
        <v>0</v>
      </c>
      <c r="AI152" s="11">
        <f t="shared" si="8"/>
        <v>7.42</v>
      </c>
      <c r="AJ152" t="s">
        <v>62</v>
      </c>
    </row>
    <row r="153" spans="1:36" ht="15" customHeight="1" x14ac:dyDescent="0.35">
      <c r="A153">
        <v>10428918</v>
      </c>
      <c r="B153" t="s">
        <v>36</v>
      </c>
      <c r="C153" t="s">
        <v>37</v>
      </c>
      <c r="D153" s="6" t="s">
        <v>38</v>
      </c>
      <c r="E153" t="s">
        <v>581</v>
      </c>
      <c r="F153" t="s">
        <v>40</v>
      </c>
      <c r="G153" t="s">
        <v>41</v>
      </c>
      <c r="H153" t="s">
        <v>582</v>
      </c>
      <c r="I153" t="s">
        <v>43</v>
      </c>
      <c r="J153">
        <v>2</v>
      </c>
      <c r="K153" t="s">
        <v>44</v>
      </c>
      <c r="L153" t="s">
        <v>45</v>
      </c>
      <c r="M153" t="s">
        <v>46</v>
      </c>
      <c r="N153" s="7">
        <v>1</v>
      </c>
      <c r="O153" s="8">
        <v>45642.64434027778</v>
      </c>
      <c r="P153" s="9">
        <v>45643</v>
      </c>
      <c r="Q153" t="s">
        <v>74</v>
      </c>
      <c r="R153" t="s">
        <v>48</v>
      </c>
      <c r="S153" t="s">
        <v>49</v>
      </c>
      <c r="T153" t="s">
        <v>117</v>
      </c>
      <c r="U153" t="s">
        <v>583</v>
      </c>
      <c r="V153">
        <v>68000</v>
      </c>
      <c r="W153" t="s">
        <v>48</v>
      </c>
      <c r="X153" t="s">
        <v>584</v>
      </c>
      <c r="Y153" t="s">
        <v>54</v>
      </c>
      <c r="Z153" s="12">
        <f>IF(N153&lt;=1,9,9+0.8*ROUNDUP(N153-1,0))</f>
        <v>9</v>
      </c>
      <c r="AA153" s="11">
        <v>-2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6"/>
        <v>0.42</v>
      </c>
      <c r="AG153" s="11">
        <f t="shared" si="7"/>
        <v>7.42</v>
      </c>
      <c r="AH153" s="11">
        <v>0</v>
      </c>
      <c r="AI153" s="11">
        <f t="shared" si="8"/>
        <v>7.42</v>
      </c>
      <c r="AJ153" t="s">
        <v>62</v>
      </c>
    </row>
    <row r="154" spans="1:36" ht="15" customHeight="1" x14ac:dyDescent="0.35">
      <c r="A154">
        <v>10428918</v>
      </c>
      <c r="B154" t="s">
        <v>36</v>
      </c>
      <c r="C154" t="s">
        <v>37</v>
      </c>
      <c r="D154" s="6" t="s">
        <v>38</v>
      </c>
      <c r="E154" t="s">
        <v>585</v>
      </c>
      <c r="F154" t="s">
        <v>40</v>
      </c>
      <c r="G154" t="s">
        <v>41</v>
      </c>
      <c r="H154" t="s">
        <v>586</v>
      </c>
      <c r="I154" t="s">
        <v>43</v>
      </c>
      <c r="J154">
        <v>2</v>
      </c>
      <c r="K154" t="s">
        <v>44</v>
      </c>
      <c r="L154" t="s">
        <v>45</v>
      </c>
      <c r="M154" t="s">
        <v>46</v>
      </c>
      <c r="N154" s="7">
        <v>1</v>
      </c>
      <c r="O154" s="8">
        <v>45641.653622685182</v>
      </c>
      <c r="P154" s="9">
        <v>45643</v>
      </c>
      <c r="Q154" t="s">
        <v>74</v>
      </c>
      <c r="R154" t="s">
        <v>48</v>
      </c>
      <c r="S154" t="s">
        <v>49</v>
      </c>
      <c r="T154" t="s">
        <v>117</v>
      </c>
      <c r="U154" t="s">
        <v>587</v>
      </c>
      <c r="V154">
        <v>45500</v>
      </c>
      <c r="W154" t="s">
        <v>48</v>
      </c>
      <c r="X154" t="s">
        <v>258</v>
      </c>
      <c r="Y154" t="s">
        <v>54</v>
      </c>
      <c r="Z154" s="12">
        <f>IF(N154&lt;=1,9,9+0.8*ROUNDUP(N154-1,0))</f>
        <v>9</v>
      </c>
      <c r="AA154" s="11">
        <v>-2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6"/>
        <v>0.42</v>
      </c>
      <c r="AG154" s="11">
        <f t="shared" si="7"/>
        <v>7.42</v>
      </c>
      <c r="AH154" s="11">
        <v>0</v>
      </c>
      <c r="AI154" s="11">
        <f t="shared" si="8"/>
        <v>7.42</v>
      </c>
      <c r="AJ154" t="s">
        <v>62</v>
      </c>
    </row>
    <row r="155" spans="1:36" ht="15" customHeight="1" x14ac:dyDescent="0.35">
      <c r="A155">
        <v>10428918</v>
      </c>
      <c r="B155" t="s">
        <v>36</v>
      </c>
      <c r="C155" t="s">
        <v>37</v>
      </c>
      <c r="D155" s="6" t="s">
        <v>38</v>
      </c>
      <c r="E155" t="s">
        <v>588</v>
      </c>
      <c r="F155" t="s">
        <v>40</v>
      </c>
      <c r="G155" t="s">
        <v>41</v>
      </c>
      <c r="H155" t="s">
        <v>589</v>
      </c>
      <c r="I155" t="s">
        <v>43</v>
      </c>
      <c r="J155">
        <v>2</v>
      </c>
      <c r="K155" t="s">
        <v>44</v>
      </c>
      <c r="L155" t="s">
        <v>45</v>
      </c>
      <c r="M155" t="s">
        <v>46</v>
      </c>
      <c r="N155" s="7">
        <v>1</v>
      </c>
      <c r="O155" s="8">
        <v>45640.548159722224</v>
      </c>
      <c r="P155" s="9">
        <v>45643</v>
      </c>
      <c r="Q155" t="s">
        <v>74</v>
      </c>
      <c r="R155" t="s">
        <v>48</v>
      </c>
      <c r="S155" t="s">
        <v>49</v>
      </c>
      <c r="T155" t="s">
        <v>117</v>
      </c>
      <c r="U155" t="s">
        <v>590</v>
      </c>
      <c r="V155">
        <v>42000</v>
      </c>
      <c r="W155" t="s">
        <v>48</v>
      </c>
      <c r="X155" t="s">
        <v>591</v>
      </c>
      <c r="Y155" t="s">
        <v>54</v>
      </c>
      <c r="Z155" s="12">
        <f>IF(N155&lt;=1,9,9+0.8*ROUNDUP(N155-1,0))</f>
        <v>9</v>
      </c>
      <c r="AA155" s="11">
        <v>-2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6"/>
        <v>0.42</v>
      </c>
      <c r="AG155" s="11">
        <f t="shared" si="7"/>
        <v>7.42</v>
      </c>
      <c r="AH155" s="11">
        <v>0</v>
      </c>
      <c r="AI155" s="11">
        <f t="shared" si="8"/>
        <v>7.42</v>
      </c>
      <c r="AJ155" t="s">
        <v>62</v>
      </c>
    </row>
    <row r="156" spans="1:36" ht="15" customHeight="1" x14ac:dyDescent="0.35">
      <c r="A156">
        <v>10428918</v>
      </c>
      <c r="B156" t="s">
        <v>36</v>
      </c>
      <c r="C156" t="s">
        <v>37</v>
      </c>
      <c r="D156" s="6" t="s">
        <v>38</v>
      </c>
      <c r="E156" t="s">
        <v>592</v>
      </c>
      <c r="F156" t="s">
        <v>40</v>
      </c>
      <c r="G156" t="s">
        <v>41</v>
      </c>
      <c r="H156" t="s">
        <v>593</v>
      </c>
      <c r="I156" t="s">
        <v>43</v>
      </c>
      <c r="J156">
        <v>2</v>
      </c>
      <c r="K156" t="s">
        <v>44</v>
      </c>
      <c r="L156" t="s">
        <v>45</v>
      </c>
      <c r="M156" t="s">
        <v>46</v>
      </c>
      <c r="N156" s="7">
        <v>2</v>
      </c>
      <c r="O156" s="8">
        <v>45641.66883101852</v>
      </c>
      <c r="P156" s="9">
        <v>45643</v>
      </c>
      <c r="Q156" t="s">
        <v>74</v>
      </c>
      <c r="R156" t="s">
        <v>48</v>
      </c>
      <c r="S156" t="s">
        <v>49</v>
      </c>
      <c r="T156" t="s">
        <v>75</v>
      </c>
      <c r="U156" t="s">
        <v>594</v>
      </c>
      <c r="V156">
        <v>27000</v>
      </c>
      <c r="W156" t="s">
        <v>48</v>
      </c>
      <c r="X156" t="s">
        <v>77</v>
      </c>
      <c r="Y156" t="s">
        <v>54</v>
      </c>
      <c r="Z156" s="12">
        <f>IF(N156&lt;=1,9,9+0.8*ROUNDUP(N156-1,0))</f>
        <v>9.8000000000000007</v>
      </c>
      <c r="AA156" s="11">
        <v>-2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6"/>
        <v>0.46800000000000003</v>
      </c>
      <c r="AG156" s="11">
        <f t="shared" si="7"/>
        <v>8.2680000000000007</v>
      </c>
      <c r="AH156" s="11">
        <v>0</v>
      </c>
      <c r="AI156" s="11">
        <f t="shared" si="8"/>
        <v>8.2680000000000007</v>
      </c>
      <c r="AJ156" t="s">
        <v>62</v>
      </c>
    </row>
    <row r="157" spans="1:36" ht="15" customHeight="1" x14ac:dyDescent="0.35">
      <c r="A157">
        <v>10428918</v>
      </c>
      <c r="B157" t="s">
        <v>36</v>
      </c>
      <c r="C157" t="s">
        <v>37</v>
      </c>
      <c r="D157" s="6" t="s">
        <v>38</v>
      </c>
      <c r="E157" t="s">
        <v>595</v>
      </c>
      <c r="F157" t="s">
        <v>40</v>
      </c>
      <c r="G157" t="s">
        <v>41</v>
      </c>
      <c r="H157" t="s">
        <v>596</v>
      </c>
      <c r="I157" t="s">
        <v>43</v>
      </c>
      <c r="J157">
        <v>2</v>
      </c>
      <c r="K157" t="s">
        <v>44</v>
      </c>
      <c r="L157" t="s">
        <v>45</v>
      </c>
      <c r="M157" t="s">
        <v>46</v>
      </c>
      <c r="N157" s="7">
        <v>1</v>
      </c>
      <c r="O157" s="8">
        <v>45641.821712962963</v>
      </c>
      <c r="P157" s="9">
        <v>45643</v>
      </c>
      <c r="Q157" t="s">
        <v>74</v>
      </c>
      <c r="R157" t="s">
        <v>48</v>
      </c>
      <c r="S157" t="s">
        <v>49</v>
      </c>
      <c r="T157" t="s">
        <v>117</v>
      </c>
      <c r="U157" t="s">
        <v>597</v>
      </c>
      <c r="V157">
        <v>42300</v>
      </c>
      <c r="W157" t="s">
        <v>48</v>
      </c>
      <c r="X157" t="s">
        <v>548</v>
      </c>
      <c r="Y157" t="s">
        <v>54</v>
      </c>
      <c r="Z157" s="12">
        <f>IF(N157&lt;=1,9,9+0.8*ROUNDUP(N157-1,0))</f>
        <v>9</v>
      </c>
      <c r="AA157" s="11">
        <v>-2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6"/>
        <v>0.42</v>
      </c>
      <c r="AG157" s="11">
        <f t="shared" si="7"/>
        <v>7.42</v>
      </c>
      <c r="AH157" s="11">
        <v>0</v>
      </c>
      <c r="AI157" s="11">
        <f t="shared" si="8"/>
        <v>7.42</v>
      </c>
      <c r="AJ157" t="s">
        <v>62</v>
      </c>
    </row>
    <row r="158" spans="1:36" ht="15" customHeight="1" x14ac:dyDescent="0.35">
      <c r="A158">
        <v>10428918</v>
      </c>
      <c r="B158" t="s">
        <v>36</v>
      </c>
      <c r="C158" t="s">
        <v>37</v>
      </c>
      <c r="D158" s="6" t="s">
        <v>38</v>
      </c>
      <c r="E158" t="s">
        <v>598</v>
      </c>
      <c r="F158" t="s">
        <v>40</v>
      </c>
      <c r="G158" t="s">
        <v>41</v>
      </c>
      <c r="H158" t="s">
        <v>599</v>
      </c>
      <c r="I158" t="s">
        <v>43</v>
      </c>
      <c r="J158">
        <v>2</v>
      </c>
      <c r="K158" t="s">
        <v>44</v>
      </c>
      <c r="L158" t="s">
        <v>45</v>
      </c>
      <c r="M158" t="s">
        <v>46</v>
      </c>
      <c r="N158" s="7">
        <v>1</v>
      </c>
      <c r="O158" s="8">
        <v>45640.649652777778</v>
      </c>
      <c r="P158" s="9">
        <v>45643</v>
      </c>
      <c r="Q158" t="s">
        <v>74</v>
      </c>
      <c r="R158" t="s">
        <v>48</v>
      </c>
      <c r="S158" t="s">
        <v>49</v>
      </c>
      <c r="T158" t="s">
        <v>50</v>
      </c>
      <c r="U158" t="s">
        <v>600</v>
      </c>
      <c r="V158">
        <v>89208</v>
      </c>
      <c r="W158" t="s">
        <v>52</v>
      </c>
      <c r="X158" t="s">
        <v>53</v>
      </c>
      <c r="Y158" t="s">
        <v>54</v>
      </c>
      <c r="Z158" s="10">
        <f>IF(N158&lt;=1,13,IF(N158&lt;=2,23,IF(N158&lt;=3,35,IF(N158&lt;=4,43,IF(N158&lt;=5,53,IF(N158&lt;=6,63,IF(N158&lt;=7,71,IF(N158&lt;=8,79,IF(N158&lt;=9,87,IF(N158&lt;=10,95,IF(N158&lt;=11,105,IF(N158&lt;=12,114,IF(N158&lt;=13,119,IF(N158&lt;=14,127,IF(N158&lt;=15,135,IF(N158&lt;=16,143,IF(N158&lt;=17,153,IF(N158&lt;=18,163,IF(N158&lt;=19,171,IF(N158&lt;=20,185,IF(N158&lt;=21,193,IF(N158&lt;=22,201,IF(N158&lt;=23,210,IF(N158&lt;=24,220,IF(N158&lt;=25,230,IF(N158&lt;=26,240,IF(N158&lt;=27,250,IF(N158&lt;=28,260,IF(N158&lt;=29,270,IF(N158&lt;=30,280,280+10*ROUNDUP(N158-30,0)))))))))))))))))))))))))))))))</f>
        <v>13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6"/>
        <v>0.78</v>
      </c>
      <c r="AG158" s="11">
        <f t="shared" si="7"/>
        <v>13.78</v>
      </c>
      <c r="AH158" s="11">
        <v>0</v>
      </c>
      <c r="AI158" s="11">
        <f t="shared" si="8"/>
        <v>13.78</v>
      </c>
      <c r="AJ158" t="s">
        <v>55</v>
      </c>
    </row>
    <row r="159" spans="1:36" ht="15" customHeight="1" x14ac:dyDescent="0.35">
      <c r="A159">
        <v>10428918</v>
      </c>
      <c r="B159" t="s">
        <v>36</v>
      </c>
      <c r="C159" t="s">
        <v>37</v>
      </c>
      <c r="D159" s="6" t="s">
        <v>38</v>
      </c>
      <c r="E159" t="s">
        <v>601</v>
      </c>
      <c r="F159" t="s">
        <v>40</v>
      </c>
      <c r="G159" t="s">
        <v>41</v>
      </c>
      <c r="H159" t="s">
        <v>602</v>
      </c>
      <c r="I159" t="s">
        <v>43</v>
      </c>
      <c r="J159">
        <v>2</v>
      </c>
      <c r="K159" t="s">
        <v>44</v>
      </c>
      <c r="L159" t="s">
        <v>45</v>
      </c>
      <c r="M159" t="s">
        <v>46</v>
      </c>
      <c r="N159" s="7">
        <v>1</v>
      </c>
      <c r="O159" s="8">
        <v>45641.653622685182</v>
      </c>
      <c r="P159" s="9">
        <v>45643</v>
      </c>
      <c r="Q159" t="s">
        <v>74</v>
      </c>
      <c r="R159" t="s">
        <v>48</v>
      </c>
      <c r="S159" t="s">
        <v>49</v>
      </c>
      <c r="T159" t="s">
        <v>75</v>
      </c>
      <c r="U159" t="s">
        <v>603</v>
      </c>
      <c r="V159">
        <v>26700</v>
      </c>
      <c r="W159" t="s">
        <v>48</v>
      </c>
      <c r="X159" t="s">
        <v>77</v>
      </c>
      <c r="Y159" t="s">
        <v>54</v>
      </c>
      <c r="Z159" s="12">
        <f>IF(N159&lt;=1,9,9+0.8*ROUNDUP(N159-1,0))</f>
        <v>9</v>
      </c>
      <c r="AA159" s="11">
        <v>-2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6"/>
        <v>0.42</v>
      </c>
      <c r="AG159" s="11">
        <f t="shared" si="7"/>
        <v>7.42</v>
      </c>
      <c r="AH159" s="11">
        <v>0</v>
      </c>
      <c r="AI159" s="11">
        <f t="shared" si="8"/>
        <v>7.42</v>
      </c>
      <c r="AJ159" t="s">
        <v>62</v>
      </c>
    </row>
    <row r="160" spans="1:36" ht="15" customHeight="1" x14ac:dyDescent="0.35">
      <c r="A160">
        <v>10428918</v>
      </c>
      <c r="B160" t="s">
        <v>36</v>
      </c>
      <c r="C160" t="s">
        <v>37</v>
      </c>
      <c r="D160" s="6" t="s">
        <v>38</v>
      </c>
      <c r="E160" t="s">
        <v>604</v>
      </c>
      <c r="F160" t="s">
        <v>40</v>
      </c>
      <c r="G160" t="s">
        <v>41</v>
      </c>
      <c r="H160" t="s">
        <v>605</v>
      </c>
      <c r="I160" t="s">
        <v>43</v>
      </c>
      <c r="J160">
        <v>2</v>
      </c>
      <c r="K160" t="s">
        <v>44</v>
      </c>
      <c r="L160" t="s">
        <v>45</v>
      </c>
      <c r="M160" t="s">
        <v>46</v>
      </c>
      <c r="N160" s="7">
        <v>3</v>
      </c>
      <c r="O160" s="8">
        <v>45642.64434027778</v>
      </c>
      <c r="P160" s="9">
        <v>45643</v>
      </c>
      <c r="Q160" t="s">
        <v>74</v>
      </c>
      <c r="R160" t="s">
        <v>48</v>
      </c>
      <c r="S160" t="s">
        <v>49</v>
      </c>
      <c r="T160" t="s">
        <v>59</v>
      </c>
      <c r="U160" t="s">
        <v>606</v>
      </c>
      <c r="V160">
        <v>18300</v>
      </c>
      <c r="W160" t="s">
        <v>48</v>
      </c>
      <c r="X160" t="s">
        <v>61</v>
      </c>
      <c r="Y160" t="s">
        <v>54</v>
      </c>
      <c r="Z160" s="12">
        <f>IF(N160&lt;=1,9,9+0.8*ROUNDUP(N160-1,0))</f>
        <v>10.6</v>
      </c>
      <c r="AA160" s="11">
        <v>-2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6"/>
        <v>0.51600000000000001</v>
      </c>
      <c r="AG160" s="11">
        <f t="shared" si="7"/>
        <v>9.1159999999999997</v>
      </c>
      <c r="AH160" s="11">
        <v>0</v>
      </c>
      <c r="AI160" s="11">
        <f t="shared" si="8"/>
        <v>9.1159999999999997</v>
      </c>
      <c r="AJ160" t="s">
        <v>62</v>
      </c>
    </row>
    <row r="161" spans="1:36" ht="15" customHeight="1" x14ac:dyDescent="0.35">
      <c r="A161">
        <v>10428918</v>
      </c>
      <c r="B161" t="s">
        <v>36</v>
      </c>
      <c r="C161" t="s">
        <v>37</v>
      </c>
      <c r="D161" s="6" t="s">
        <v>38</v>
      </c>
      <c r="E161" t="s">
        <v>607</v>
      </c>
      <c r="F161" t="s">
        <v>40</v>
      </c>
      <c r="G161" t="s">
        <v>41</v>
      </c>
      <c r="H161" t="s">
        <v>608</v>
      </c>
      <c r="I161" t="s">
        <v>43</v>
      </c>
      <c r="J161">
        <v>2</v>
      </c>
      <c r="K161" t="s">
        <v>44</v>
      </c>
      <c r="L161" t="s">
        <v>45</v>
      </c>
      <c r="M161" t="s">
        <v>46</v>
      </c>
      <c r="N161" s="7">
        <v>1</v>
      </c>
      <c r="O161" s="8">
        <v>45642.72415509259</v>
      </c>
      <c r="P161" s="9">
        <v>45643</v>
      </c>
      <c r="Q161" t="s">
        <v>74</v>
      </c>
      <c r="R161" t="s">
        <v>48</v>
      </c>
      <c r="S161" t="s">
        <v>49</v>
      </c>
      <c r="T161" t="s">
        <v>117</v>
      </c>
      <c r="U161" t="s">
        <v>609</v>
      </c>
      <c r="V161">
        <v>41200</v>
      </c>
      <c r="W161" t="s">
        <v>48</v>
      </c>
      <c r="X161" t="s">
        <v>149</v>
      </c>
      <c r="Y161" t="s">
        <v>54</v>
      </c>
      <c r="Z161" s="12">
        <f>IF(N161&lt;=1,9,9+0.8*ROUNDUP(N161-1,0))</f>
        <v>9</v>
      </c>
      <c r="AA161" s="11">
        <v>-2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6"/>
        <v>0.42</v>
      </c>
      <c r="AG161" s="11">
        <f t="shared" si="7"/>
        <v>7.42</v>
      </c>
      <c r="AH161" s="11">
        <v>0</v>
      </c>
      <c r="AI161" s="11">
        <f t="shared" si="8"/>
        <v>7.42</v>
      </c>
      <c r="AJ161" t="s">
        <v>62</v>
      </c>
    </row>
    <row r="162" spans="1:36" ht="15" customHeight="1" x14ac:dyDescent="0.35">
      <c r="A162">
        <v>10428918</v>
      </c>
      <c r="B162" t="s">
        <v>36</v>
      </c>
      <c r="C162" t="s">
        <v>37</v>
      </c>
      <c r="D162" s="6" t="s">
        <v>38</v>
      </c>
      <c r="E162" t="s">
        <v>610</v>
      </c>
      <c r="F162" t="s">
        <v>40</v>
      </c>
      <c r="G162" t="s">
        <v>41</v>
      </c>
      <c r="H162" t="s">
        <v>611</v>
      </c>
      <c r="I162" t="s">
        <v>43</v>
      </c>
      <c r="J162">
        <v>2</v>
      </c>
      <c r="K162" t="s">
        <v>44</v>
      </c>
      <c r="L162" t="s">
        <v>45</v>
      </c>
      <c r="M162" t="s">
        <v>46</v>
      </c>
      <c r="N162" s="7">
        <v>1</v>
      </c>
      <c r="O162" s="8">
        <v>45640.825509259259</v>
      </c>
      <c r="P162" s="9">
        <v>45643</v>
      </c>
      <c r="Q162" t="s">
        <v>74</v>
      </c>
      <c r="R162" t="s">
        <v>48</v>
      </c>
      <c r="S162" t="s">
        <v>49</v>
      </c>
      <c r="T162" t="s">
        <v>69</v>
      </c>
      <c r="U162" t="s">
        <v>612</v>
      </c>
      <c r="V162">
        <v>86000</v>
      </c>
      <c r="W162" t="s">
        <v>48</v>
      </c>
      <c r="X162" t="s">
        <v>613</v>
      </c>
      <c r="Y162" t="s">
        <v>54</v>
      </c>
      <c r="Z162" s="12">
        <f>IF(N162&lt;=1,9,9+0.8*ROUNDUP(N162-1,0))</f>
        <v>9</v>
      </c>
      <c r="AA162" s="11">
        <v>-2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6"/>
        <v>0.42</v>
      </c>
      <c r="AG162" s="11">
        <f t="shared" si="7"/>
        <v>7.42</v>
      </c>
      <c r="AH162" s="11">
        <v>0</v>
      </c>
      <c r="AI162" s="11">
        <f t="shared" si="8"/>
        <v>7.42</v>
      </c>
      <c r="AJ162" t="s">
        <v>62</v>
      </c>
    </row>
    <row r="163" spans="1:36" ht="15" customHeight="1" x14ac:dyDescent="0.35">
      <c r="A163">
        <v>10428918</v>
      </c>
      <c r="B163" t="s">
        <v>36</v>
      </c>
      <c r="C163" t="s">
        <v>37</v>
      </c>
      <c r="D163" s="6" t="s">
        <v>38</v>
      </c>
      <c r="E163" t="s">
        <v>614</v>
      </c>
      <c r="F163" t="s">
        <v>40</v>
      </c>
      <c r="G163" t="s">
        <v>41</v>
      </c>
      <c r="H163" t="s">
        <v>615</v>
      </c>
      <c r="I163" t="s">
        <v>43</v>
      </c>
      <c r="J163">
        <v>2</v>
      </c>
      <c r="K163" t="s">
        <v>44</v>
      </c>
      <c r="L163" t="s">
        <v>45</v>
      </c>
      <c r="M163" t="s">
        <v>46</v>
      </c>
      <c r="N163" s="7">
        <v>1</v>
      </c>
      <c r="O163" s="8">
        <v>45641.839363425926</v>
      </c>
      <c r="P163" s="9">
        <v>45643</v>
      </c>
      <c r="Q163" t="s">
        <v>74</v>
      </c>
      <c r="R163" t="s">
        <v>48</v>
      </c>
      <c r="S163" t="s">
        <v>49</v>
      </c>
      <c r="T163" t="s">
        <v>117</v>
      </c>
      <c r="U163" t="s">
        <v>616</v>
      </c>
      <c r="V163">
        <v>45600</v>
      </c>
      <c r="W163" t="s">
        <v>48</v>
      </c>
      <c r="X163" t="s">
        <v>258</v>
      </c>
      <c r="Y163" t="s">
        <v>54</v>
      </c>
      <c r="Z163" s="12">
        <f>IF(N163&lt;=1,9,9+0.8*ROUNDUP(N163-1,0))</f>
        <v>9</v>
      </c>
      <c r="AA163" s="11">
        <v>-2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6"/>
        <v>0.42</v>
      </c>
      <c r="AG163" s="11">
        <f t="shared" si="7"/>
        <v>7.42</v>
      </c>
      <c r="AH163" s="11">
        <v>0</v>
      </c>
      <c r="AI163" s="11">
        <f t="shared" si="8"/>
        <v>7.42</v>
      </c>
      <c r="AJ163" t="s">
        <v>62</v>
      </c>
    </row>
    <row r="164" spans="1:36" ht="15" customHeight="1" x14ac:dyDescent="0.35">
      <c r="A164">
        <v>10428918</v>
      </c>
      <c r="B164" t="s">
        <v>36</v>
      </c>
      <c r="C164" t="s">
        <v>37</v>
      </c>
      <c r="D164" s="6" t="s">
        <v>38</v>
      </c>
      <c r="E164" t="s">
        <v>617</v>
      </c>
      <c r="F164" t="s">
        <v>40</v>
      </c>
      <c r="G164" t="s">
        <v>41</v>
      </c>
      <c r="H164" t="s">
        <v>618</v>
      </c>
      <c r="I164" t="s">
        <v>43</v>
      </c>
      <c r="J164">
        <v>2</v>
      </c>
      <c r="K164" t="s">
        <v>44</v>
      </c>
      <c r="L164" t="s">
        <v>45</v>
      </c>
      <c r="M164" t="s">
        <v>46</v>
      </c>
      <c r="N164" s="7">
        <v>2</v>
      </c>
      <c r="O164" s="8">
        <v>45642.64434027778</v>
      </c>
      <c r="P164" s="9">
        <v>45643</v>
      </c>
      <c r="Q164" t="s">
        <v>74</v>
      </c>
      <c r="R164" t="s">
        <v>48</v>
      </c>
      <c r="S164" t="s">
        <v>49</v>
      </c>
      <c r="T164" t="s">
        <v>59</v>
      </c>
      <c r="U164" t="s">
        <v>619</v>
      </c>
      <c r="V164">
        <v>16810</v>
      </c>
      <c r="W164" t="s">
        <v>48</v>
      </c>
      <c r="X164" t="s">
        <v>61</v>
      </c>
      <c r="Y164" t="s">
        <v>54</v>
      </c>
      <c r="Z164" s="12">
        <f>IF(N164&lt;=1,9,9+0.8*ROUNDUP(N164-1,0))</f>
        <v>9.8000000000000007</v>
      </c>
      <c r="AA164" s="11">
        <v>-2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6"/>
        <v>0.46800000000000003</v>
      </c>
      <c r="AG164" s="11">
        <f t="shared" si="7"/>
        <v>8.2680000000000007</v>
      </c>
      <c r="AH164" s="11">
        <v>0</v>
      </c>
      <c r="AI164" s="11">
        <f t="shared" si="8"/>
        <v>8.2680000000000007</v>
      </c>
      <c r="AJ164" t="s">
        <v>62</v>
      </c>
    </row>
    <row r="165" spans="1:36" ht="15" customHeight="1" x14ac:dyDescent="0.35">
      <c r="A165">
        <v>10428918</v>
      </c>
      <c r="B165" t="s">
        <v>36</v>
      </c>
      <c r="C165" t="s">
        <v>37</v>
      </c>
      <c r="D165" s="6" t="s">
        <v>38</v>
      </c>
      <c r="E165" t="s">
        <v>620</v>
      </c>
      <c r="F165" t="s">
        <v>40</v>
      </c>
      <c r="G165" t="s">
        <v>41</v>
      </c>
      <c r="H165" t="s">
        <v>621</v>
      </c>
      <c r="I165" t="s">
        <v>43</v>
      </c>
      <c r="J165">
        <v>2</v>
      </c>
      <c r="K165" t="s">
        <v>44</v>
      </c>
      <c r="L165" t="s">
        <v>45</v>
      </c>
      <c r="M165" t="s">
        <v>46</v>
      </c>
      <c r="N165" s="7">
        <v>2</v>
      </c>
      <c r="O165" s="8">
        <v>45641.502754629626</v>
      </c>
      <c r="P165" s="9">
        <v>45643</v>
      </c>
      <c r="Q165" t="s">
        <v>74</v>
      </c>
      <c r="R165" t="s">
        <v>48</v>
      </c>
      <c r="S165" t="s">
        <v>49</v>
      </c>
      <c r="T165" t="s">
        <v>117</v>
      </c>
      <c r="U165" t="s">
        <v>622</v>
      </c>
      <c r="V165">
        <v>42100</v>
      </c>
      <c r="W165" t="s">
        <v>48</v>
      </c>
      <c r="X165" t="s">
        <v>623</v>
      </c>
      <c r="Y165" t="s">
        <v>54</v>
      </c>
      <c r="Z165" s="12">
        <f>IF(N165&lt;=1,9,9+0.8*ROUNDUP(N165-1,0))</f>
        <v>9.8000000000000007</v>
      </c>
      <c r="AA165" s="11">
        <v>-2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6"/>
        <v>0.46800000000000003</v>
      </c>
      <c r="AG165" s="11">
        <f t="shared" si="7"/>
        <v>8.2680000000000007</v>
      </c>
      <c r="AH165" s="11">
        <v>0</v>
      </c>
      <c r="AI165" s="11">
        <f t="shared" si="8"/>
        <v>8.2680000000000007</v>
      </c>
      <c r="AJ165" t="s">
        <v>62</v>
      </c>
    </row>
    <row r="166" spans="1:36" ht="15" customHeight="1" x14ac:dyDescent="0.35">
      <c r="A166">
        <v>10428918</v>
      </c>
      <c r="B166" t="s">
        <v>36</v>
      </c>
      <c r="C166" t="s">
        <v>37</v>
      </c>
      <c r="D166" s="6" t="s">
        <v>38</v>
      </c>
      <c r="E166" t="s">
        <v>624</v>
      </c>
      <c r="F166" t="s">
        <v>40</v>
      </c>
      <c r="G166" t="s">
        <v>41</v>
      </c>
      <c r="H166" t="s">
        <v>625</v>
      </c>
      <c r="I166" t="s">
        <v>43</v>
      </c>
      <c r="J166">
        <v>2</v>
      </c>
      <c r="K166" t="s">
        <v>44</v>
      </c>
      <c r="L166" t="s">
        <v>45</v>
      </c>
      <c r="M166" t="s">
        <v>46</v>
      </c>
      <c r="N166" s="7">
        <v>1</v>
      </c>
      <c r="O166" s="8">
        <v>45641.502754629626</v>
      </c>
      <c r="P166" s="9">
        <v>45644</v>
      </c>
      <c r="Q166" t="s">
        <v>74</v>
      </c>
      <c r="R166" t="s">
        <v>48</v>
      </c>
      <c r="S166" t="s">
        <v>49</v>
      </c>
      <c r="T166" t="s">
        <v>50</v>
      </c>
      <c r="U166" t="s">
        <v>626</v>
      </c>
      <c r="V166">
        <v>88450</v>
      </c>
      <c r="W166" t="s">
        <v>52</v>
      </c>
      <c r="X166" t="s">
        <v>53</v>
      </c>
      <c r="Y166" t="s">
        <v>54</v>
      </c>
      <c r="Z166" s="10">
        <f>IF(N166&lt;=1,13,IF(N166&lt;=2,23,IF(N166&lt;=3,35,IF(N166&lt;=4,43,IF(N166&lt;=5,53,IF(N166&lt;=6,63,IF(N166&lt;=7,71,IF(N166&lt;=8,79,IF(N166&lt;=9,87,IF(N166&lt;=10,95,IF(N166&lt;=11,105,IF(N166&lt;=12,114,IF(N166&lt;=13,119,IF(N166&lt;=14,127,IF(N166&lt;=15,135,IF(N166&lt;=16,143,IF(N166&lt;=17,153,IF(N166&lt;=18,163,IF(N166&lt;=19,171,IF(N166&lt;=20,185,IF(N166&lt;=21,193,IF(N166&lt;=22,201,IF(N166&lt;=23,210,IF(N166&lt;=24,220,IF(N166&lt;=25,230,IF(N166&lt;=26,240,IF(N166&lt;=27,250,IF(N166&lt;=28,260,IF(N166&lt;=29,270,IF(N166&lt;=30,280,280+10*ROUNDUP(N166-30,0)))))))))))))))))))))))))))))))</f>
        <v>13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6"/>
        <v>0.78</v>
      </c>
      <c r="AG166" s="11">
        <f t="shared" si="7"/>
        <v>13.78</v>
      </c>
      <c r="AH166" s="11">
        <v>0</v>
      </c>
      <c r="AI166" s="11">
        <f t="shared" si="8"/>
        <v>13.78</v>
      </c>
      <c r="AJ166" t="s">
        <v>55</v>
      </c>
    </row>
    <row r="167" spans="1:36" ht="15" customHeight="1" x14ac:dyDescent="0.35">
      <c r="A167">
        <v>10428918</v>
      </c>
      <c r="B167" t="s">
        <v>36</v>
      </c>
      <c r="C167" t="s">
        <v>37</v>
      </c>
      <c r="D167" s="6" t="s">
        <v>38</v>
      </c>
      <c r="E167" t="s">
        <v>627</v>
      </c>
      <c r="F167" t="s">
        <v>40</v>
      </c>
      <c r="G167" t="s">
        <v>41</v>
      </c>
      <c r="H167" t="s">
        <v>628</v>
      </c>
      <c r="I167" t="s">
        <v>43</v>
      </c>
      <c r="J167">
        <v>2</v>
      </c>
      <c r="K167" t="s">
        <v>44</v>
      </c>
      <c r="L167" t="s">
        <v>45</v>
      </c>
      <c r="M167" t="s">
        <v>46</v>
      </c>
      <c r="N167" s="7">
        <v>17</v>
      </c>
      <c r="O167" s="8">
        <v>45642.479305555556</v>
      </c>
      <c r="P167" s="9">
        <v>45644</v>
      </c>
      <c r="Q167" t="s">
        <v>74</v>
      </c>
      <c r="R167" t="s">
        <v>48</v>
      </c>
      <c r="S167" t="s">
        <v>49</v>
      </c>
      <c r="T167" t="s">
        <v>117</v>
      </c>
      <c r="U167" t="s">
        <v>629</v>
      </c>
      <c r="V167">
        <v>43650</v>
      </c>
      <c r="W167" t="s">
        <v>48</v>
      </c>
      <c r="X167" t="s">
        <v>191</v>
      </c>
      <c r="Y167" t="s">
        <v>54</v>
      </c>
      <c r="Z167" s="12">
        <f>IF(N167&lt;=1,9,9+0.8*ROUNDUP(N167-1,0))</f>
        <v>21.8</v>
      </c>
      <c r="AA167" s="11">
        <v>-2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6"/>
        <v>1.1879999999999999</v>
      </c>
      <c r="AG167" s="11">
        <f t="shared" si="7"/>
        <v>20.988</v>
      </c>
      <c r="AH167" s="11">
        <v>0</v>
      </c>
      <c r="AI167" s="11">
        <f t="shared" si="8"/>
        <v>20.988</v>
      </c>
      <c r="AJ167" t="s">
        <v>62</v>
      </c>
    </row>
    <row r="168" spans="1:36" ht="15" customHeight="1" x14ac:dyDescent="0.35">
      <c r="A168">
        <v>10428918</v>
      </c>
      <c r="B168" t="s">
        <v>36</v>
      </c>
      <c r="C168" t="s">
        <v>37</v>
      </c>
      <c r="D168" s="6" t="s">
        <v>38</v>
      </c>
      <c r="E168" t="s">
        <v>630</v>
      </c>
      <c r="F168" t="s">
        <v>40</v>
      </c>
      <c r="G168" t="s">
        <v>41</v>
      </c>
      <c r="H168" t="s">
        <v>631</v>
      </c>
      <c r="I168" t="s">
        <v>43</v>
      </c>
      <c r="J168">
        <v>2</v>
      </c>
      <c r="K168" t="s">
        <v>44</v>
      </c>
      <c r="L168" t="s">
        <v>45</v>
      </c>
      <c r="M168" t="s">
        <v>46</v>
      </c>
      <c r="N168" s="7">
        <v>1</v>
      </c>
      <c r="O168" s="8">
        <v>45638.821134259262</v>
      </c>
      <c r="P168" s="9">
        <v>45644</v>
      </c>
      <c r="Q168" t="s">
        <v>58</v>
      </c>
      <c r="R168" t="s">
        <v>48</v>
      </c>
      <c r="S168" t="s">
        <v>49</v>
      </c>
      <c r="T168" t="s">
        <v>278</v>
      </c>
      <c r="U168" t="s">
        <v>632</v>
      </c>
      <c r="V168">
        <v>98000</v>
      </c>
      <c r="W168" t="s">
        <v>52</v>
      </c>
      <c r="X168" t="s">
        <v>53</v>
      </c>
      <c r="Y168" t="s">
        <v>54</v>
      </c>
      <c r="Z168" s="10">
        <f>IF(N168&lt;=1,13,IF(N168&lt;=2,23,IF(N168&lt;=3,35,IF(N168&lt;=4,43,IF(N168&lt;=5,53,IF(N168&lt;=6,63,IF(N168&lt;=7,71,IF(N168&lt;=8,79,IF(N168&lt;=9,87,IF(N168&lt;=10,95,IF(N168&lt;=11,105,IF(N168&lt;=12,114,IF(N168&lt;=13,119,IF(N168&lt;=14,127,IF(N168&lt;=15,135,IF(N168&lt;=16,143,IF(N168&lt;=17,153,IF(N168&lt;=18,163,IF(N168&lt;=19,171,IF(N168&lt;=20,185,IF(N168&lt;=21,193,IF(N168&lt;=22,201,IF(N168&lt;=23,210,IF(N168&lt;=24,220,IF(N168&lt;=25,230,IF(N168&lt;=26,240,IF(N168&lt;=27,250,IF(N168&lt;=28,260,IF(N168&lt;=29,270,IF(N168&lt;=30,280,280+10*ROUNDUP(N168-30,0)))))))))))))))))))))))))))))))</f>
        <v>13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6"/>
        <v>0.78</v>
      </c>
      <c r="AG168" s="11">
        <f t="shared" si="7"/>
        <v>13.78</v>
      </c>
      <c r="AH168" s="11">
        <v>0</v>
      </c>
      <c r="AI168" s="11">
        <f t="shared" si="8"/>
        <v>13.78</v>
      </c>
      <c r="AJ168" t="s">
        <v>55</v>
      </c>
    </row>
    <row r="169" spans="1:36" ht="15" customHeight="1" x14ac:dyDescent="0.35">
      <c r="A169">
        <v>10428918</v>
      </c>
      <c r="B169" t="s">
        <v>36</v>
      </c>
      <c r="C169" t="s">
        <v>37</v>
      </c>
      <c r="D169" s="6" t="s">
        <v>38</v>
      </c>
      <c r="E169" t="s">
        <v>633</v>
      </c>
      <c r="F169" t="s">
        <v>40</v>
      </c>
      <c r="G169" t="s">
        <v>41</v>
      </c>
      <c r="H169" t="s">
        <v>634</v>
      </c>
      <c r="I169" t="s">
        <v>43</v>
      </c>
      <c r="J169">
        <v>2</v>
      </c>
      <c r="K169" t="s">
        <v>44</v>
      </c>
      <c r="L169" t="s">
        <v>45</v>
      </c>
      <c r="M169" t="s">
        <v>46</v>
      </c>
      <c r="N169" s="7">
        <v>1</v>
      </c>
      <c r="O169" s="8">
        <v>45642.796122685184</v>
      </c>
      <c r="P169" s="9">
        <v>45644</v>
      </c>
      <c r="Q169" t="s">
        <v>74</v>
      </c>
      <c r="R169" t="s">
        <v>48</v>
      </c>
      <c r="S169" t="s">
        <v>49</v>
      </c>
      <c r="T169" t="s">
        <v>75</v>
      </c>
      <c r="U169" t="s">
        <v>635</v>
      </c>
      <c r="V169">
        <v>27600</v>
      </c>
      <c r="W169" t="s">
        <v>48</v>
      </c>
      <c r="X169" t="s">
        <v>77</v>
      </c>
      <c r="Y169" t="s">
        <v>54</v>
      </c>
      <c r="Z169" s="12">
        <f>IF(N169&lt;=1,9,9+0.8*ROUNDUP(N169-1,0))</f>
        <v>9</v>
      </c>
      <c r="AA169" s="11">
        <v>-2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6"/>
        <v>0.42</v>
      </c>
      <c r="AG169" s="11">
        <f t="shared" si="7"/>
        <v>7.42</v>
      </c>
      <c r="AH169" s="11">
        <v>0</v>
      </c>
      <c r="AI169" s="11">
        <f t="shared" si="8"/>
        <v>7.42</v>
      </c>
      <c r="AJ169" t="s">
        <v>62</v>
      </c>
    </row>
    <row r="170" spans="1:36" ht="15" customHeight="1" x14ac:dyDescent="0.35">
      <c r="A170">
        <v>10428918</v>
      </c>
      <c r="B170" t="s">
        <v>36</v>
      </c>
      <c r="C170" t="s">
        <v>37</v>
      </c>
      <c r="D170" s="6" t="s">
        <v>38</v>
      </c>
      <c r="E170" t="s">
        <v>636</v>
      </c>
      <c r="F170" t="s">
        <v>40</v>
      </c>
      <c r="G170" t="s">
        <v>41</v>
      </c>
      <c r="H170" t="s">
        <v>570</v>
      </c>
      <c r="I170" t="s">
        <v>43</v>
      </c>
      <c r="J170">
        <v>2</v>
      </c>
      <c r="K170" t="s">
        <v>44</v>
      </c>
      <c r="L170" t="s">
        <v>45</v>
      </c>
      <c r="M170" t="s">
        <v>46</v>
      </c>
      <c r="N170" s="7">
        <v>2</v>
      </c>
      <c r="O170" s="8">
        <v>45642.814467592594</v>
      </c>
      <c r="P170" s="9">
        <v>45644</v>
      </c>
      <c r="Q170" t="s">
        <v>74</v>
      </c>
      <c r="R170" t="s">
        <v>48</v>
      </c>
      <c r="S170" t="s">
        <v>49</v>
      </c>
      <c r="T170" t="s">
        <v>117</v>
      </c>
      <c r="U170" t="s">
        <v>571</v>
      </c>
      <c r="V170">
        <v>40000</v>
      </c>
      <c r="W170" t="s">
        <v>48</v>
      </c>
      <c r="X170" t="s">
        <v>473</v>
      </c>
      <c r="Y170" t="s">
        <v>54</v>
      </c>
      <c r="Z170" s="12">
        <f>IF(N170&lt;=1,9,9+0.8*ROUNDUP(N170-1,0))</f>
        <v>9.8000000000000007</v>
      </c>
      <c r="AA170" s="11">
        <v>-2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6"/>
        <v>0.46800000000000003</v>
      </c>
      <c r="AG170" s="11">
        <f t="shared" si="7"/>
        <v>8.2680000000000007</v>
      </c>
      <c r="AH170" s="11">
        <v>0</v>
      </c>
      <c r="AI170" s="11">
        <f t="shared" si="8"/>
        <v>8.2680000000000007</v>
      </c>
      <c r="AJ170" t="s">
        <v>62</v>
      </c>
    </row>
    <row r="171" spans="1:36" ht="15" customHeight="1" x14ac:dyDescent="0.35">
      <c r="A171">
        <v>10428918</v>
      </c>
      <c r="B171" t="s">
        <v>36</v>
      </c>
      <c r="C171" t="s">
        <v>37</v>
      </c>
      <c r="D171" s="6" t="s">
        <v>38</v>
      </c>
      <c r="E171" t="s">
        <v>637</v>
      </c>
      <c r="F171" t="s">
        <v>40</v>
      </c>
      <c r="G171" t="s">
        <v>41</v>
      </c>
      <c r="H171" t="s">
        <v>570</v>
      </c>
      <c r="I171" t="s">
        <v>43</v>
      </c>
      <c r="J171">
        <v>2</v>
      </c>
      <c r="K171" t="s">
        <v>44</v>
      </c>
      <c r="L171" t="s">
        <v>45</v>
      </c>
      <c r="M171" t="s">
        <v>46</v>
      </c>
      <c r="N171" s="7">
        <v>6</v>
      </c>
      <c r="O171" s="8">
        <v>45643.500335648147</v>
      </c>
      <c r="P171" s="9">
        <v>45644</v>
      </c>
      <c r="Q171" t="s">
        <v>74</v>
      </c>
      <c r="R171" t="s">
        <v>48</v>
      </c>
      <c r="S171" t="s">
        <v>49</v>
      </c>
      <c r="T171" t="s">
        <v>117</v>
      </c>
      <c r="U171" t="s">
        <v>571</v>
      </c>
      <c r="V171">
        <v>40000</v>
      </c>
      <c r="W171" t="s">
        <v>48</v>
      </c>
      <c r="X171" t="s">
        <v>473</v>
      </c>
      <c r="Y171" t="s">
        <v>54</v>
      </c>
      <c r="Z171" s="12">
        <f>IF(N171&lt;=1,9,9+0.8*ROUNDUP(N171-1,0))</f>
        <v>13</v>
      </c>
      <c r="AA171" s="11">
        <v>-2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6"/>
        <v>0.65999999999999992</v>
      </c>
      <c r="AG171" s="11">
        <f t="shared" si="7"/>
        <v>11.66</v>
      </c>
      <c r="AH171" s="11">
        <v>0</v>
      </c>
      <c r="AI171" s="11">
        <f t="shared" si="8"/>
        <v>11.66</v>
      </c>
      <c r="AJ171" t="s">
        <v>62</v>
      </c>
    </row>
    <row r="172" spans="1:36" ht="15" customHeight="1" x14ac:dyDescent="0.35">
      <c r="A172">
        <v>10428918</v>
      </c>
      <c r="B172" t="s">
        <v>36</v>
      </c>
      <c r="C172" t="s">
        <v>37</v>
      </c>
      <c r="D172" s="6" t="s">
        <v>38</v>
      </c>
      <c r="E172" t="s">
        <v>638</v>
      </c>
      <c r="F172" t="s">
        <v>40</v>
      </c>
      <c r="G172" t="s">
        <v>41</v>
      </c>
      <c r="H172" t="s">
        <v>639</v>
      </c>
      <c r="I172" t="s">
        <v>43</v>
      </c>
      <c r="J172">
        <v>2</v>
      </c>
      <c r="K172" t="s">
        <v>44</v>
      </c>
      <c r="L172" t="s">
        <v>45</v>
      </c>
      <c r="M172" t="s">
        <v>46</v>
      </c>
      <c r="N172" s="7">
        <v>1</v>
      </c>
      <c r="O172" s="8">
        <v>45642.702280092592</v>
      </c>
      <c r="P172" s="9">
        <v>45644</v>
      </c>
      <c r="Q172" t="s">
        <v>74</v>
      </c>
      <c r="R172" t="s">
        <v>48</v>
      </c>
      <c r="S172" t="s">
        <v>49</v>
      </c>
      <c r="T172" t="s">
        <v>65</v>
      </c>
      <c r="U172" t="s">
        <v>640</v>
      </c>
      <c r="V172">
        <v>76300</v>
      </c>
      <c r="W172" t="s">
        <v>48</v>
      </c>
      <c r="X172" t="s">
        <v>406</v>
      </c>
      <c r="Y172" t="s">
        <v>54</v>
      </c>
      <c r="Z172" s="12">
        <f>IF(N172&lt;=1,9,9+0.8*ROUNDUP(N172-1,0))</f>
        <v>9</v>
      </c>
      <c r="AA172" s="11">
        <v>-2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6"/>
        <v>0.42</v>
      </c>
      <c r="AG172" s="11">
        <f t="shared" si="7"/>
        <v>7.42</v>
      </c>
      <c r="AH172" s="11">
        <v>0</v>
      </c>
      <c r="AI172" s="11">
        <f t="shared" si="8"/>
        <v>7.42</v>
      </c>
      <c r="AJ172" t="s">
        <v>62</v>
      </c>
    </row>
    <row r="173" spans="1:36" ht="15" customHeight="1" x14ac:dyDescent="0.35">
      <c r="A173">
        <v>10428918</v>
      </c>
      <c r="B173" t="s">
        <v>36</v>
      </c>
      <c r="C173" t="s">
        <v>37</v>
      </c>
      <c r="D173" s="6" t="s">
        <v>38</v>
      </c>
      <c r="E173" t="s">
        <v>641</v>
      </c>
      <c r="F173" t="s">
        <v>40</v>
      </c>
      <c r="G173" t="s">
        <v>41</v>
      </c>
      <c r="H173" t="s">
        <v>642</v>
      </c>
      <c r="I173" t="s">
        <v>43</v>
      </c>
      <c r="J173">
        <v>2</v>
      </c>
      <c r="K173" t="s">
        <v>44</v>
      </c>
      <c r="L173" t="s">
        <v>45</v>
      </c>
      <c r="M173" t="s">
        <v>46</v>
      </c>
      <c r="N173" s="7">
        <v>1</v>
      </c>
      <c r="O173" s="8">
        <v>45642.661643518521</v>
      </c>
      <c r="P173" s="9">
        <v>45644</v>
      </c>
      <c r="Q173" t="s">
        <v>74</v>
      </c>
      <c r="R173" t="s">
        <v>48</v>
      </c>
      <c r="S173" t="s">
        <v>49</v>
      </c>
      <c r="T173" t="s">
        <v>75</v>
      </c>
      <c r="U173" t="s">
        <v>643</v>
      </c>
      <c r="V173">
        <v>28700</v>
      </c>
      <c r="W173" t="s">
        <v>48</v>
      </c>
      <c r="X173" t="s">
        <v>77</v>
      </c>
      <c r="Y173" t="s">
        <v>54</v>
      </c>
      <c r="Z173" s="12">
        <f>IF(N173&lt;=1,9,9+0.8*ROUNDUP(N173-1,0))</f>
        <v>9</v>
      </c>
      <c r="AA173" s="11">
        <v>-2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6"/>
        <v>0.42</v>
      </c>
      <c r="AG173" s="11">
        <f t="shared" si="7"/>
        <v>7.42</v>
      </c>
      <c r="AH173" s="11">
        <v>0</v>
      </c>
      <c r="AI173" s="11">
        <f t="shared" si="8"/>
        <v>7.42</v>
      </c>
      <c r="AJ173" t="s">
        <v>62</v>
      </c>
    </row>
    <row r="174" spans="1:36" ht="15" customHeight="1" x14ac:dyDescent="0.35">
      <c r="A174">
        <v>10428918</v>
      </c>
      <c r="B174" t="s">
        <v>36</v>
      </c>
      <c r="C174" t="s">
        <v>37</v>
      </c>
      <c r="D174" s="6" t="s">
        <v>38</v>
      </c>
      <c r="E174" t="s">
        <v>644</v>
      </c>
      <c r="F174" t="s">
        <v>40</v>
      </c>
      <c r="G174" t="s">
        <v>41</v>
      </c>
      <c r="H174" t="s">
        <v>645</v>
      </c>
      <c r="I174" t="s">
        <v>43</v>
      </c>
      <c r="J174">
        <v>2</v>
      </c>
      <c r="K174" t="s">
        <v>44</v>
      </c>
      <c r="L174" t="s">
        <v>45</v>
      </c>
      <c r="M174" t="s">
        <v>46</v>
      </c>
      <c r="N174" s="7">
        <v>6</v>
      </c>
      <c r="O174" s="8">
        <v>45642.686655092592</v>
      </c>
      <c r="P174" s="9">
        <v>45644</v>
      </c>
      <c r="Q174" t="s">
        <v>74</v>
      </c>
      <c r="R174" t="s">
        <v>48</v>
      </c>
      <c r="S174" t="s">
        <v>49</v>
      </c>
      <c r="T174" t="s">
        <v>85</v>
      </c>
      <c r="U174" t="s">
        <v>646</v>
      </c>
      <c r="V174">
        <v>70400</v>
      </c>
      <c r="W174" t="s">
        <v>48</v>
      </c>
      <c r="X174" t="s">
        <v>503</v>
      </c>
      <c r="Y174" t="s">
        <v>54</v>
      </c>
      <c r="Z174" s="12">
        <f>IF(N174&lt;=1,9,9+0.8*ROUNDUP(N174-1,0))</f>
        <v>13</v>
      </c>
      <c r="AA174" s="11">
        <v>-2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6"/>
        <v>0.65999999999999992</v>
      </c>
      <c r="AG174" s="11">
        <f t="shared" si="7"/>
        <v>11.66</v>
      </c>
      <c r="AH174" s="11">
        <v>0</v>
      </c>
      <c r="AI174" s="11">
        <f t="shared" si="8"/>
        <v>11.66</v>
      </c>
      <c r="AJ174" t="s">
        <v>62</v>
      </c>
    </row>
    <row r="175" spans="1:36" ht="15" customHeight="1" x14ac:dyDescent="0.35">
      <c r="A175">
        <v>10428918</v>
      </c>
      <c r="B175" t="s">
        <v>36</v>
      </c>
      <c r="C175" t="s">
        <v>37</v>
      </c>
      <c r="D175" s="6" t="s">
        <v>38</v>
      </c>
      <c r="E175" t="s">
        <v>647</v>
      </c>
      <c r="F175" t="s">
        <v>40</v>
      </c>
      <c r="G175" t="s">
        <v>41</v>
      </c>
      <c r="H175" t="s">
        <v>648</v>
      </c>
      <c r="I175" t="s">
        <v>43</v>
      </c>
      <c r="J175">
        <v>2</v>
      </c>
      <c r="K175" t="s">
        <v>44</v>
      </c>
      <c r="L175" t="s">
        <v>45</v>
      </c>
      <c r="M175" t="s">
        <v>46</v>
      </c>
      <c r="N175" s="7">
        <v>1</v>
      </c>
      <c r="O175" s="8">
        <v>45643.591921296298</v>
      </c>
      <c r="P175" s="9">
        <v>45644</v>
      </c>
      <c r="Q175" t="s">
        <v>74</v>
      </c>
      <c r="R175" t="s">
        <v>48</v>
      </c>
      <c r="S175" t="s">
        <v>49</v>
      </c>
      <c r="T175" t="s">
        <v>117</v>
      </c>
      <c r="U175" t="s">
        <v>649</v>
      </c>
      <c r="V175">
        <v>42920</v>
      </c>
      <c r="W175" t="s">
        <v>48</v>
      </c>
      <c r="X175" t="s">
        <v>149</v>
      </c>
      <c r="Y175" t="s">
        <v>54</v>
      </c>
      <c r="Z175" s="12">
        <f>IF(N175&lt;=1,9,9+0.8*ROUNDUP(N175-1,0))</f>
        <v>9</v>
      </c>
      <c r="AA175" s="11">
        <v>-2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6"/>
        <v>0.42</v>
      </c>
      <c r="AG175" s="11">
        <f t="shared" si="7"/>
        <v>7.42</v>
      </c>
      <c r="AH175" s="11">
        <v>0</v>
      </c>
      <c r="AI175" s="11">
        <f t="shared" si="8"/>
        <v>7.42</v>
      </c>
      <c r="AJ175" t="s">
        <v>62</v>
      </c>
    </row>
    <row r="176" spans="1:36" ht="15" customHeight="1" x14ac:dyDescent="0.35">
      <c r="A176">
        <v>10428918</v>
      </c>
      <c r="B176" t="s">
        <v>36</v>
      </c>
      <c r="C176" t="s">
        <v>37</v>
      </c>
      <c r="D176" s="6" t="s">
        <v>38</v>
      </c>
      <c r="E176" t="s">
        <v>650</v>
      </c>
      <c r="F176" t="s">
        <v>40</v>
      </c>
      <c r="G176" t="s">
        <v>41</v>
      </c>
      <c r="H176" t="s">
        <v>651</v>
      </c>
      <c r="I176" t="s">
        <v>43</v>
      </c>
      <c r="J176">
        <v>2</v>
      </c>
      <c r="K176" t="s">
        <v>44</v>
      </c>
      <c r="L176" t="s">
        <v>45</v>
      </c>
      <c r="M176" t="s">
        <v>46</v>
      </c>
      <c r="N176" s="7">
        <v>1</v>
      </c>
      <c r="O176" s="8">
        <v>45643.461388888885</v>
      </c>
      <c r="P176" s="9">
        <v>45644</v>
      </c>
      <c r="Q176" t="s">
        <v>74</v>
      </c>
      <c r="R176" t="s">
        <v>48</v>
      </c>
      <c r="S176" t="s">
        <v>49</v>
      </c>
      <c r="T176" t="s">
        <v>90</v>
      </c>
      <c r="U176" t="s">
        <v>652</v>
      </c>
      <c r="V176">
        <v>24100</v>
      </c>
      <c r="W176" t="s">
        <v>48</v>
      </c>
      <c r="X176" t="s">
        <v>77</v>
      </c>
      <c r="Y176" t="s">
        <v>54</v>
      </c>
      <c r="Z176" s="12">
        <f>IF(N176&lt;=1,9,9+0.8*ROUNDUP(N176-1,0))</f>
        <v>9</v>
      </c>
      <c r="AA176" s="11">
        <v>-2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6"/>
        <v>0.42</v>
      </c>
      <c r="AG176" s="11">
        <f t="shared" si="7"/>
        <v>7.42</v>
      </c>
      <c r="AH176" s="11">
        <v>0</v>
      </c>
      <c r="AI176" s="11">
        <f t="shared" si="8"/>
        <v>7.42</v>
      </c>
      <c r="AJ176" t="s">
        <v>62</v>
      </c>
    </row>
    <row r="177" spans="1:36" ht="15" customHeight="1" x14ac:dyDescent="0.35">
      <c r="A177">
        <v>10428918</v>
      </c>
      <c r="B177" t="s">
        <v>36</v>
      </c>
      <c r="C177" t="s">
        <v>37</v>
      </c>
      <c r="D177" s="6" t="s">
        <v>38</v>
      </c>
      <c r="E177" t="s">
        <v>653</v>
      </c>
      <c r="F177" t="s">
        <v>40</v>
      </c>
      <c r="G177" t="s">
        <v>41</v>
      </c>
      <c r="H177" t="s">
        <v>654</v>
      </c>
      <c r="I177" t="s">
        <v>43</v>
      </c>
      <c r="J177">
        <v>2</v>
      </c>
      <c r="K177" t="s">
        <v>44</v>
      </c>
      <c r="L177" t="s">
        <v>45</v>
      </c>
      <c r="M177" t="s">
        <v>46</v>
      </c>
      <c r="N177" s="7">
        <v>1</v>
      </c>
      <c r="O177" s="8">
        <v>45641.502754629626</v>
      </c>
      <c r="P177" s="9">
        <v>45644</v>
      </c>
      <c r="Q177" t="s">
        <v>74</v>
      </c>
      <c r="R177" t="s">
        <v>48</v>
      </c>
      <c r="S177" t="s">
        <v>49</v>
      </c>
      <c r="T177" t="s">
        <v>50</v>
      </c>
      <c r="U177" t="s">
        <v>655</v>
      </c>
      <c r="V177">
        <v>88400</v>
      </c>
      <c r="W177" t="s">
        <v>52</v>
      </c>
      <c r="X177" t="s">
        <v>53</v>
      </c>
      <c r="Y177" t="s">
        <v>54</v>
      </c>
      <c r="Z177" s="10">
        <f>IF(N177&lt;=1,13,IF(N177&lt;=2,23,IF(N177&lt;=3,35,IF(N177&lt;=4,43,IF(N177&lt;=5,53,IF(N177&lt;=6,63,IF(N177&lt;=7,71,IF(N177&lt;=8,79,IF(N177&lt;=9,87,IF(N177&lt;=10,95,IF(N177&lt;=11,105,IF(N177&lt;=12,114,IF(N177&lt;=13,119,IF(N177&lt;=14,127,IF(N177&lt;=15,135,IF(N177&lt;=16,143,IF(N177&lt;=17,153,IF(N177&lt;=18,163,IF(N177&lt;=19,171,IF(N177&lt;=20,185,IF(N177&lt;=21,193,IF(N177&lt;=22,201,IF(N177&lt;=23,210,IF(N177&lt;=24,220,IF(N177&lt;=25,230,IF(N177&lt;=26,240,IF(N177&lt;=27,250,IF(N177&lt;=28,260,IF(N177&lt;=29,270,IF(N177&lt;=30,280,280+10*ROUNDUP(N177-30,0)))))))))))))))))))))))))))))))</f>
        <v>13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6"/>
        <v>0.78</v>
      </c>
      <c r="AG177" s="11">
        <f t="shared" si="7"/>
        <v>13.78</v>
      </c>
      <c r="AH177" s="11">
        <v>0</v>
      </c>
      <c r="AI177" s="11">
        <f t="shared" si="8"/>
        <v>13.78</v>
      </c>
      <c r="AJ177" t="s">
        <v>55</v>
      </c>
    </row>
    <row r="178" spans="1:36" ht="15" customHeight="1" x14ac:dyDescent="0.35">
      <c r="A178">
        <v>10428918</v>
      </c>
      <c r="B178" t="s">
        <v>36</v>
      </c>
      <c r="C178" t="s">
        <v>37</v>
      </c>
      <c r="D178" s="6" t="s">
        <v>38</v>
      </c>
      <c r="E178" t="s">
        <v>656</v>
      </c>
      <c r="F178" t="s">
        <v>40</v>
      </c>
      <c r="G178" t="s">
        <v>41</v>
      </c>
      <c r="H178" t="s">
        <v>657</v>
      </c>
      <c r="I178" t="s">
        <v>43</v>
      </c>
      <c r="J178">
        <v>2</v>
      </c>
      <c r="K178" t="s">
        <v>44</v>
      </c>
      <c r="L178" t="s">
        <v>45</v>
      </c>
      <c r="M178" t="s">
        <v>46</v>
      </c>
      <c r="N178" s="7">
        <v>1</v>
      </c>
      <c r="O178" s="8">
        <v>45641.66883101852</v>
      </c>
      <c r="P178" s="9">
        <v>45644</v>
      </c>
      <c r="Q178" t="s">
        <v>74</v>
      </c>
      <c r="R178" t="s">
        <v>48</v>
      </c>
      <c r="S178" t="s">
        <v>49</v>
      </c>
      <c r="T178" t="s">
        <v>80</v>
      </c>
      <c r="U178" t="s">
        <v>658</v>
      </c>
      <c r="V178">
        <v>9600</v>
      </c>
      <c r="W178" t="s">
        <v>48</v>
      </c>
      <c r="X178" t="s">
        <v>53</v>
      </c>
      <c r="Y178" t="s">
        <v>54</v>
      </c>
      <c r="Z178" s="12">
        <f>IF(N178&lt;=1,9,9+0.8*ROUNDUP(N178-1,0))</f>
        <v>9</v>
      </c>
      <c r="AA178" s="11">
        <v>-2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6"/>
        <v>0.42</v>
      </c>
      <c r="AG178" s="11">
        <f t="shared" si="7"/>
        <v>7.42</v>
      </c>
      <c r="AH178" s="11">
        <v>0</v>
      </c>
      <c r="AI178" s="11">
        <f t="shared" si="8"/>
        <v>7.42</v>
      </c>
      <c r="AJ178" t="s">
        <v>62</v>
      </c>
    </row>
    <row r="179" spans="1:36" ht="15" customHeight="1" x14ac:dyDescent="0.35">
      <c r="A179">
        <v>10428918</v>
      </c>
      <c r="B179" t="s">
        <v>36</v>
      </c>
      <c r="C179" t="s">
        <v>37</v>
      </c>
      <c r="D179" s="6" t="s">
        <v>38</v>
      </c>
      <c r="E179" t="s">
        <v>659</v>
      </c>
      <c r="F179" t="s">
        <v>40</v>
      </c>
      <c r="G179" t="s">
        <v>41</v>
      </c>
      <c r="H179" t="s">
        <v>660</v>
      </c>
      <c r="I179" t="s">
        <v>43</v>
      </c>
      <c r="J179">
        <v>2</v>
      </c>
      <c r="K179" t="s">
        <v>44</v>
      </c>
      <c r="L179" t="s">
        <v>45</v>
      </c>
      <c r="M179" t="s">
        <v>46</v>
      </c>
      <c r="N179" s="7">
        <v>1</v>
      </c>
      <c r="O179" s="8">
        <v>45642.825439814813</v>
      </c>
      <c r="P179" s="9">
        <v>45644</v>
      </c>
      <c r="Q179" t="s">
        <v>74</v>
      </c>
      <c r="R179" t="s">
        <v>48</v>
      </c>
      <c r="S179" t="s">
        <v>49</v>
      </c>
      <c r="T179" t="s">
        <v>117</v>
      </c>
      <c r="U179" t="s">
        <v>661</v>
      </c>
      <c r="V179">
        <v>40000</v>
      </c>
      <c r="W179" t="s">
        <v>48</v>
      </c>
      <c r="X179" t="s">
        <v>662</v>
      </c>
      <c r="Y179" t="s">
        <v>54</v>
      </c>
      <c r="Z179" s="12">
        <f>IF(N179&lt;=1,9,9+0.8*ROUNDUP(N179-1,0))</f>
        <v>9</v>
      </c>
      <c r="AA179" s="11">
        <v>-2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6"/>
        <v>0.42</v>
      </c>
      <c r="AG179" s="11">
        <f t="shared" si="7"/>
        <v>7.42</v>
      </c>
      <c r="AH179" s="11">
        <v>0</v>
      </c>
      <c r="AI179" s="11">
        <f t="shared" si="8"/>
        <v>7.42</v>
      </c>
      <c r="AJ179" t="s">
        <v>62</v>
      </c>
    </row>
    <row r="180" spans="1:36" ht="15" customHeight="1" x14ac:dyDescent="0.35">
      <c r="A180">
        <v>10428918</v>
      </c>
      <c r="B180" t="s">
        <v>36</v>
      </c>
      <c r="C180" t="s">
        <v>37</v>
      </c>
      <c r="D180" s="6" t="s">
        <v>38</v>
      </c>
      <c r="E180" t="s">
        <v>663</v>
      </c>
      <c r="F180" t="s">
        <v>40</v>
      </c>
      <c r="G180" t="s">
        <v>41</v>
      </c>
      <c r="H180" t="s">
        <v>664</v>
      </c>
      <c r="I180" t="s">
        <v>43</v>
      </c>
      <c r="J180">
        <v>2</v>
      </c>
      <c r="K180" t="s">
        <v>44</v>
      </c>
      <c r="L180" t="s">
        <v>45</v>
      </c>
      <c r="M180" t="s">
        <v>46</v>
      </c>
      <c r="N180" s="7">
        <v>1</v>
      </c>
      <c r="O180" s="8">
        <v>45641.82335648148</v>
      </c>
      <c r="P180" s="9">
        <v>45644</v>
      </c>
      <c r="Q180" t="s">
        <v>74</v>
      </c>
      <c r="R180" t="s">
        <v>48</v>
      </c>
      <c r="S180" t="s">
        <v>49</v>
      </c>
      <c r="T180" t="s">
        <v>161</v>
      </c>
      <c r="U180" t="s">
        <v>665</v>
      </c>
      <c r="V180">
        <v>14110</v>
      </c>
      <c r="W180" t="s">
        <v>48</v>
      </c>
      <c r="X180" t="s">
        <v>666</v>
      </c>
      <c r="Y180" t="s">
        <v>54</v>
      </c>
      <c r="Z180" s="12">
        <f>IF(N180&lt;=1,9,9+0.8*ROUNDUP(N180-1,0))</f>
        <v>9</v>
      </c>
      <c r="AA180" s="11">
        <v>-2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6"/>
        <v>0.42</v>
      </c>
      <c r="AG180" s="11">
        <f t="shared" si="7"/>
        <v>7.42</v>
      </c>
      <c r="AH180" s="11">
        <v>0</v>
      </c>
      <c r="AI180" s="11">
        <f t="shared" si="8"/>
        <v>7.42</v>
      </c>
      <c r="AJ180" t="s">
        <v>62</v>
      </c>
    </row>
    <row r="181" spans="1:36" ht="15" customHeight="1" x14ac:dyDescent="0.35">
      <c r="A181">
        <v>10428918</v>
      </c>
      <c r="B181" t="s">
        <v>36</v>
      </c>
      <c r="C181" t="s">
        <v>37</v>
      </c>
      <c r="D181" s="6" t="s">
        <v>38</v>
      </c>
      <c r="E181" t="s">
        <v>667</v>
      </c>
      <c r="F181" t="s">
        <v>40</v>
      </c>
      <c r="G181" t="s">
        <v>41</v>
      </c>
      <c r="H181" t="s">
        <v>668</v>
      </c>
      <c r="I181" t="s">
        <v>43</v>
      </c>
      <c r="J181">
        <v>2</v>
      </c>
      <c r="K181" t="s">
        <v>44</v>
      </c>
      <c r="L181" t="s">
        <v>45</v>
      </c>
      <c r="M181" t="s">
        <v>46</v>
      </c>
      <c r="N181" s="7">
        <v>1</v>
      </c>
      <c r="O181" s="8">
        <v>45641.83935185185</v>
      </c>
      <c r="P181" s="9">
        <v>45644</v>
      </c>
      <c r="Q181" t="s">
        <v>74</v>
      </c>
      <c r="R181" t="s">
        <v>48</v>
      </c>
      <c r="S181" t="s">
        <v>49</v>
      </c>
      <c r="T181" t="s">
        <v>80</v>
      </c>
      <c r="U181" t="s">
        <v>669</v>
      </c>
      <c r="V181">
        <v>6700</v>
      </c>
      <c r="W181" t="s">
        <v>48</v>
      </c>
      <c r="X181" t="s">
        <v>670</v>
      </c>
      <c r="Y181" t="s">
        <v>54</v>
      </c>
      <c r="Z181" s="12">
        <f>IF(N181&lt;=1,9,9+0.8*ROUNDUP(N181-1,0))</f>
        <v>9</v>
      </c>
      <c r="AA181" s="11">
        <v>-2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6"/>
        <v>0.42</v>
      </c>
      <c r="AG181" s="11">
        <f t="shared" si="7"/>
        <v>7.42</v>
      </c>
      <c r="AH181" s="11">
        <v>0</v>
      </c>
      <c r="AI181" s="11">
        <f t="shared" si="8"/>
        <v>7.42</v>
      </c>
      <c r="AJ181" t="s">
        <v>62</v>
      </c>
    </row>
    <row r="182" spans="1:36" ht="15" customHeight="1" x14ac:dyDescent="0.35">
      <c r="A182">
        <v>10428918</v>
      </c>
      <c r="B182" t="s">
        <v>36</v>
      </c>
      <c r="C182" t="s">
        <v>37</v>
      </c>
      <c r="D182" s="6" t="s">
        <v>38</v>
      </c>
      <c r="E182" t="s">
        <v>671</v>
      </c>
      <c r="F182" t="s">
        <v>40</v>
      </c>
      <c r="G182" t="s">
        <v>41</v>
      </c>
      <c r="H182" t="s">
        <v>672</v>
      </c>
      <c r="I182" t="s">
        <v>43</v>
      </c>
      <c r="J182">
        <v>2</v>
      </c>
      <c r="K182" t="s">
        <v>44</v>
      </c>
      <c r="L182" t="s">
        <v>45</v>
      </c>
      <c r="M182" t="s">
        <v>46</v>
      </c>
      <c r="N182" s="7">
        <v>2</v>
      </c>
      <c r="O182" s="8">
        <v>45641.6637962963</v>
      </c>
      <c r="P182" s="9">
        <v>45644</v>
      </c>
      <c r="Q182" t="s">
        <v>74</v>
      </c>
      <c r="R182" t="s">
        <v>48</v>
      </c>
      <c r="S182" t="s">
        <v>49</v>
      </c>
      <c r="T182" t="s">
        <v>101</v>
      </c>
      <c r="U182" t="s">
        <v>673</v>
      </c>
      <c r="V182">
        <v>36000</v>
      </c>
      <c r="W182" t="s">
        <v>48</v>
      </c>
      <c r="X182" t="s">
        <v>674</v>
      </c>
      <c r="Y182" t="s">
        <v>54</v>
      </c>
      <c r="Z182" s="12">
        <f>IF(N182&lt;=1,9,9+0.8*ROUNDUP(N182-1,0))</f>
        <v>9.8000000000000007</v>
      </c>
      <c r="AA182" s="11">
        <v>-2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6"/>
        <v>0.46800000000000003</v>
      </c>
      <c r="AG182" s="11">
        <f t="shared" si="7"/>
        <v>8.2680000000000007</v>
      </c>
      <c r="AH182" s="11">
        <v>0</v>
      </c>
      <c r="AI182" s="11">
        <f t="shared" si="8"/>
        <v>8.2680000000000007</v>
      </c>
      <c r="AJ182" t="s">
        <v>62</v>
      </c>
    </row>
    <row r="183" spans="1:36" ht="15" customHeight="1" x14ac:dyDescent="0.35">
      <c r="A183">
        <v>10428918</v>
      </c>
      <c r="B183" t="s">
        <v>36</v>
      </c>
      <c r="C183" t="s">
        <v>37</v>
      </c>
      <c r="D183" s="6" t="s">
        <v>38</v>
      </c>
      <c r="E183" t="s">
        <v>675</v>
      </c>
      <c r="F183" t="s">
        <v>40</v>
      </c>
      <c r="G183" t="s">
        <v>41</v>
      </c>
      <c r="H183" t="s">
        <v>676</v>
      </c>
      <c r="I183" t="s">
        <v>43</v>
      </c>
      <c r="J183">
        <v>2</v>
      </c>
      <c r="K183" t="s">
        <v>44</v>
      </c>
      <c r="L183" t="s">
        <v>45</v>
      </c>
      <c r="M183" t="s">
        <v>46</v>
      </c>
      <c r="N183" s="7">
        <v>1</v>
      </c>
      <c r="O183" s="8">
        <v>45643.461377314816</v>
      </c>
      <c r="P183" s="9">
        <v>45644</v>
      </c>
      <c r="Q183" t="s">
        <v>74</v>
      </c>
      <c r="R183" t="s">
        <v>48</v>
      </c>
      <c r="S183" t="s">
        <v>49</v>
      </c>
      <c r="T183" t="s">
        <v>75</v>
      </c>
      <c r="U183" t="s">
        <v>677</v>
      </c>
      <c r="V183">
        <v>26400</v>
      </c>
      <c r="W183" t="s">
        <v>48</v>
      </c>
      <c r="X183" t="s">
        <v>77</v>
      </c>
      <c r="Y183" t="s">
        <v>54</v>
      </c>
      <c r="Z183" s="12">
        <f>IF(N183&lt;=1,9,9+0.8*ROUNDUP(N183-1,0))</f>
        <v>9</v>
      </c>
      <c r="AA183" s="11">
        <v>-2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6"/>
        <v>0.42</v>
      </c>
      <c r="AG183" s="11">
        <f t="shared" si="7"/>
        <v>7.42</v>
      </c>
      <c r="AH183" s="11">
        <v>0</v>
      </c>
      <c r="AI183" s="11">
        <f t="shared" si="8"/>
        <v>7.42</v>
      </c>
      <c r="AJ183" t="s">
        <v>62</v>
      </c>
    </row>
    <row r="184" spans="1:36" ht="15" customHeight="1" x14ac:dyDescent="0.35">
      <c r="A184">
        <v>10428918</v>
      </c>
      <c r="B184" t="s">
        <v>36</v>
      </c>
      <c r="C184" t="s">
        <v>37</v>
      </c>
      <c r="D184" s="6" t="s">
        <v>38</v>
      </c>
      <c r="E184" t="s">
        <v>678</v>
      </c>
      <c r="F184" t="s">
        <v>40</v>
      </c>
      <c r="G184" t="s">
        <v>41</v>
      </c>
      <c r="H184" t="s">
        <v>679</v>
      </c>
      <c r="I184" t="s">
        <v>43</v>
      </c>
      <c r="J184">
        <v>2</v>
      </c>
      <c r="K184" t="s">
        <v>44</v>
      </c>
      <c r="L184" t="s">
        <v>45</v>
      </c>
      <c r="M184" t="s">
        <v>46</v>
      </c>
      <c r="N184" s="7">
        <v>1</v>
      </c>
      <c r="O184" s="8">
        <v>45641.821712962963</v>
      </c>
      <c r="P184" s="9">
        <v>45644</v>
      </c>
      <c r="Q184" t="s">
        <v>74</v>
      </c>
      <c r="R184" t="s">
        <v>48</v>
      </c>
      <c r="S184" t="s">
        <v>49</v>
      </c>
      <c r="T184" t="s">
        <v>69</v>
      </c>
      <c r="U184" t="s">
        <v>680</v>
      </c>
      <c r="V184">
        <v>81300</v>
      </c>
      <c r="W184" t="s">
        <v>48</v>
      </c>
      <c r="X184" t="s">
        <v>394</v>
      </c>
      <c r="Y184" t="s">
        <v>54</v>
      </c>
      <c r="Z184" s="12">
        <f>IF(N184&lt;=1,9,9+0.8*ROUNDUP(N184-1,0))</f>
        <v>9</v>
      </c>
      <c r="AA184" s="11">
        <v>-2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6"/>
        <v>0.42</v>
      </c>
      <c r="AG184" s="11">
        <f t="shared" si="7"/>
        <v>7.42</v>
      </c>
      <c r="AH184" s="11">
        <v>0</v>
      </c>
      <c r="AI184" s="11">
        <f t="shared" si="8"/>
        <v>7.42</v>
      </c>
      <c r="AJ184" t="s">
        <v>62</v>
      </c>
    </row>
    <row r="185" spans="1:36" ht="15" customHeight="1" x14ac:dyDescent="0.35">
      <c r="A185">
        <v>10428918</v>
      </c>
      <c r="B185" t="s">
        <v>36</v>
      </c>
      <c r="C185" t="s">
        <v>37</v>
      </c>
      <c r="D185" s="6" t="s">
        <v>38</v>
      </c>
      <c r="E185" t="s">
        <v>681</v>
      </c>
      <c r="F185" t="s">
        <v>40</v>
      </c>
      <c r="G185" t="s">
        <v>41</v>
      </c>
      <c r="H185" t="s">
        <v>682</v>
      </c>
      <c r="I185" t="s">
        <v>43</v>
      </c>
      <c r="J185">
        <v>2</v>
      </c>
      <c r="K185" t="s">
        <v>44</v>
      </c>
      <c r="L185" t="s">
        <v>45</v>
      </c>
      <c r="M185" t="s">
        <v>46</v>
      </c>
      <c r="N185" s="7">
        <v>1</v>
      </c>
      <c r="O185" s="8">
        <v>45642.66165509259</v>
      </c>
      <c r="P185" s="9">
        <v>45644</v>
      </c>
      <c r="Q185" t="s">
        <v>74</v>
      </c>
      <c r="R185" t="s">
        <v>48</v>
      </c>
      <c r="S185" t="s">
        <v>49</v>
      </c>
      <c r="T185" t="s">
        <v>85</v>
      </c>
      <c r="U185" t="s">
        <v>683</v>
      </c>
      <c r="V185">
        <v>71800</v>
      </c>
      <c r="W185" t="s">
        <v>48</v>
      </c>
      <c r="X185" t="s">
        <v>53</v>
      </c>
      <c r="Y185" t="s">
        <v>54</v>
      </c>
      <c r="Z185" s="12">
        <f>IF(N185&lt;=1,9,9+0.8*ROUNDUP(N185-1,0))</f>
        <v>9</v>
      </c>
      <c r="AA185" s="11">
        <v>-2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6"/>
        <v>0.42</v>
      </c>
      <c r="AG185" s="11">
        <f t="shared" si="7"/>
        <v>7.42</v>
      </c>
      <c r="AH185" s="11">
        <v>0</v>
      </c>
      <c r="AI185" s="11">
        <f t="shared" si="8"/>
        <v>7.42</v>
      </c>
      <c r="AJ185" t="s">
        <v>62</v>
      </c>
    </row>
    <row r="186" spans="1:36" ht="15" customHeight="1" x14ac:dyDescent="0.35">
      <c r="A186">
        <v>10428918</v>
      </c>
      <c r="B186" t="s">
        <v>36</v>
      </c>
      <c r="C186" t="s">
        <v>37</v>
      </c>
      <c r="D186" s="6" t="s">
        <v>38</v>
      </c>
      <c r="E186" t="s">
        <v>684</v>
      </c>
      <c r="F186" t="s">
        <v>40</v>
      </c>
      <c r="G186" t="s">
        <v>41</v>
      </c>
      <c r="H186" t="s">
        <v>685</v>
      </c>
      <c r="I186" t="s">
        <v>43</v>
      </c>
      <c r="J186">
        <v>2</v>
      </c>
      <c r="K186" t="s">
        <v>44</v>
      </c>
      <c r="L186" t="s">
        <v>45</v>
      </c>
      <c r="M186" t="s">
        <v>46</v>
      </c>
      <c r="N186" s="7">
        <v>1</v>
      </c>
      <c r="O186" s="8">
        <v>45642.796111111114</v>
      </c>
      <c r="P186" s="9">
        <v>45644</v>
      </c>
      <c r="Q186" t="s">
        <v>74</v>
      </c>
      <c r="R186" t="s">
        <v>48</v>
      </c>
      <c r="S186" t="s">
        <v>49</v>
      </c>
      <c r="T186" t="s">
        <v>90</v>
      </c>
      <c r="U186" t="s">
        <v>686</v>
      </c>
      <c r="V186">
        <v>23000</v>
      </c>
      <c r="W186" t="s">
        <v>48</v>
      </c>
      <c r="X186" t="s">
        <v>92</v>
      </c>
      <c r="Y186" t="s">
        <v>54</v>
      </c>
      <c r="Z186" s="12">
        <f>IF(N186&lt;=1,9,9+0.8*ROUNDUP(N186-1,0))</f>
        <v>9</v>
      </c>
      <c r="AA186" s="11">
        <v>-2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6"/>
        <v>0.42</v>
      </c>
      <c r="AG186" s="11">
        <f t="shared" si="7"/>
        <v>7.42</v>
      </c>
      <c r="AH186" s="11">
        <v>0</v>
      </c>
      <c r="AI186" s="11">
        <f t="shared" si="8"/>
        <v>7.42</v>
      </c>
      <c r="AJ186" t="s">
        <v>62</v>
      </c>
    </row>
    <row r="187" spans="1:36" ht="15" customHeight="1" x14ac:dyDescent="0.35">
      <c r="A187">
        <v>10428918</v>
      </c>
      <c r="B187" t="s">
        <v>36</v>
      </c>
      <c r="C187" t="s">
        <v>37</v>
      </c>
      <c r="D187" s="6" t="s">
        <v>38</v>
      </c>
      <c r="E187" t="s">
        <v>687</v>
      </c>
      <c r="F187" t="s">
        <v>40</v>
      </c>
      <c r="G187" t="s">
        <v>41</v>
      </c>
      <c r="H187" t="s">
        <v>688</v>
      </c>
      <c r="I187" t="s">
        <v>43</v>
      </c>
      <c r="J187">
        <v>2</v>
      </c>
      <c r="K187" t="s">
        <v>44</v>
      </c>
      <c r="L187" t="s">
        <v>45</v>
      </c>
      <c r="M187" t="s">
        <v>46</v>
      </c>
      <c r="N187" s="7">
        <v>1</v>
      </c>
      <c r="O187" s="8">
        <v>45642.72415509259</v>
      </c>
      <c r="P187" s="9">
        <v>45644</v>
      </c>
      <c r="Q187" t="s">
        <v>74</v>
      </c>
      <c r="R187" t="s">
        <v>48</v>
      </c>
      <c r="S187" t="s">
        <v>49</v>
      </c>
      <c r="T187" t="s">
        <v>80</v>
      </c>
      <c r="U187" t="s">
        <v>689</v>
      </c>
      <c r="V187">
        <v>9700</v>
      </c>
      <c r="W187" t="s">
        <v>48</v>
      </c>
      <c r="X187" t="s">
        <v>690</v>
      </c>
      <c r="Y187" t="s">
        <v>54</v>
      </c>
      <c r="Z187" s="12">
        <f>IF(N187&lt;=1,9,9+0.8*ROUNDUP(N187-1,0))</f>
        <v>9</v>
      </c>
      <c r="AA187" s="11">
        <v>-2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6"/>
        <v>0.42</v>
      </c>
      <c r="AG187" s="11">
        <f t="shared" si="7"/>
        <v>7.42</v>
      </c>
      <c r="AH187" s="11">
        <v>0</v>
      </c>
      <c r="AI187" s="11">
        <f t="shared" si="8"/>
        <v>7.42</v>
      </c>
      <c r="AJ187" t="s">
        <v>62</v>
      </c>
    </row>
    <row r="188" spans="1:36" ht="15" customHeight="1" x14ac:dyDescent="0.35">
      <c r="A188">
        <v>10428918</v>
      </c>
      <c r="B188" t="s">
        <v>36</v>
      </c>
      <c r="C188" t="s">
        <v>37</v>
      </c>
      <c r="D188" s="6" t="s">
        <v>38</v>
      </c>
      <c r="E188" t="s">
        <v>691</v>
      </c>
      <c r="F188" t="s">
        <v>40</v>
      </c>
      <c r="G188" t="s">
        <v>41</v>
      </c>
      <c r="H188" t="s">
        <v>692</v>
      </c>
      <c r="I188" t="s">
        <v>43</v>
      </c>
      <c r="J188">
        <v>2</v>
      </c>
      <c r="K188" t="s">
        <v>44</v>
      </c>
      <c r="L188" t="s">
        <v>45</v>
      </c>
      <c r="M188" t="s">
        <v>46</v>
      </c>
      <c r="N188" s="7">
        <v>1</v>
      </c>
      <c r="O188" s="8">
        <v>45642.724166666667</v>
      </c>
      <c r="P188" s="9">
        <v>45644</v>
      </c>
      <c r="Q188" t="s">
        <v>74</v>
      </c>
      <c r="R188" t="s">
        <v>48</v>
      </c>
      <c r="S188" t="s">
        <v>49</v>
      </c>
      <c r="T188" t="s">
        <v>693</v>
      </c>
      <c r="U188" t="s">
        <v>694</v>
      </c>
      <c r="V188">
        <v>1000</v>
      </c>
      <c r="W188" t="s">
        <v>48</v>
      </c>
      <c r="X188" t="s">
        <v>695</v>
      </c>
      <c r="Y188" t="s">
        <v>54</v>
      </c>
      <c r="Z188" s="12">
        <f>IF(N188&lt;=1,9,9+0.8*ROUNDUP(N188-1,0))</f>
        <v>9</v>
      </c>
      <c r="AA188" s="11">
        <v>-2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6"/>
        <v>0.42</v>
      </c>
      <c r="AG188" s="11">
        <f t="shared" si="7"/>
        <v>7.42</v>
      </c>
      <c r="AH188" s="11">
        <v>0</v>
      </c>
      <c r="AI188" s="11">
        <f t="shared" si="8"/>
        <v>7.42</v>
      </c>
      <c r="AJ188" t="s">
        <v>62</v>
      </c>
    </row>
    <row r="189" spans="1:36" ht="15" customHeight="1" x14ac:dyDescent="0.35">
      <c r="A189">
        <v>10428918</v>
      </c>
      <c r="B189" t="s">
        <v>36</v>
      </c>
      <c r="C189" t="s">
        <v>37</v>
      </c>
      <c r="D189" s="6" t="s">
        <v>38</v>
      </c>
      <c r="E189" t="s">
        <v>696</v>
      </c>
      <c r="F189" t="s">
        <v>40</v>
      </c>
      <c r="G189" t="s">
        <v>41</v>
      </c>
      <c r="H189" t="s">
        <v>697</v>
      </c>
      <c r="I189" t="s">
        <v>43</v>
      </c>
      <c r="J189">
        <v>2</v>
      </c>
      <c r="K189" t="s">
        <v>44</v>
      </c>
      <c r="L189" t="s">
        <v>45</v>
      </c>
      <c r="M189" t="s">
        <v>46</v>
      </c>
      <c r="N189" s="7">
        <v>1</v>
      </c>
      <c r="O189" s="8">
        <v>45641.502754629626</v>
      </c>
      <c r="P189" s="9">
        <v>45644</v>
      </c>
      <c r="Q189" t="s">
        <v>74</v>
      </c>
      <c r="R189" t="s">
        <v>48</v>
      </c>
      <c r="S189" t="s">
        <v>49</v>
      </c>
      <c r="T189" t="s">
        <v>69</v>
      </c>
      <c r="U189" t="s">
        <v>698</v>
      </c>
      <c r="V189">
        <v>82020</v>
      </c>
      <c r="W189" t="s">
        <v>48</v>
      </c>
      <c r="X189" t="s">
        <v>295</v>
      </c>
      <c r="Y189" t="s">
        <v>54</v>
      </c>
      <c r="Z189" s="12">
        <f>IF(N189&lt;=1,9,9+0.8*ROUNDUP(N189-1,0))</f>
        <v>9</v>
      </c>
      <c r="AA189" s="11">
        <v>-2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6"/>
        <v>0.42</v>
      </c>
      <c r="AG189" s="11">
        <f t="shared" si="7"/>
        <v>7.42</v>
      </c>
      <c r="AH189" s="11">
        <v>0</v>
      </c>
      <c r="AI189" s="11">
        <f t="shared" si="8"/>
        <v>7.42</v>
      </c>
      <c r="AJ189" t="s">
        <v>62</v>
      </c>
    </row>
    <row r="190" spans="1:36" ht="15" customHeight="1" x14ac:dyDescent="0.35">
      <c r="A190">
        <v>10428918</v>
      </c>
      <c r="B190" t="s">
        <v>36</v>
      </c>
      <c r="C190" t="s">
        <v>37</v>
      </c>
      <c r="D190" s="6" t="s">
        <v>38</v>
      </c>
      <c r="E190" t="s">
        <v>699</v>
      </c>
      <c r="F190" t="s">
        <v>40</v>
      </c>
      <c r="G190" t="s">
        <v>41</v>
      </c>
      <c r="H190" t="s">
        <v>700</v>
      </c>
      <c r="I190" t="s">
        <v>43</v>
      </c>
      <c r="J190">
        <v>2</v>
      </c>
      <c r="K190" t="s">
        <v>44</v>
      </c>
      <c r="L190" t="s">
        <v>45</v>
      </c>
      <c r="M190" t="s">
        <v>46</v>
      </c>
      <c r="N190" s="7">
        <v>1</v>
      </c>
      <c r="O190" s="8">
        <v>45641.663784722223</v>
      </c>
      <c r="P190" s="9">
        <v>45644</v>
      </c>
      <c r="Q190" t="s">
        <v>74</v>
      </c>
      <c r="R190" t="s">
        <v>48</v>
      </c>
      <c r="S190" t="s">
        <v>49</v>
      </c>
      <c r="T190" t="s">
        <v>69</v>
      </c>
      <c r="U190" t="s">
        <v>701</v>
      </c>
      <c r="V190">
        <v>83400</v>
      </c>
      <c r="W190" t="s">
        <v>48</v>
      </c>
      <c r="X190" t="s">
        <v>71</v>
      </c>
      <c r="Y190" t="s">
        <v>54</v>
      </c>
      <c r="Z190" s="12">
        <f>IF(N190&lt;=1,9,9+0.8*ROUNDUP(N190-1,0))</f>
        <v>9</v>
      </c>
      <c r="AA190" s="11">
        <v>-2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6"/>
        <v>0.42</v>
      </c>
      <c r="AG190" s="11">
        <f t="shared" si="7"/>
        <v>7.42</v>
      </c>
      <c r="AH190" s="11">
        <v>0</v>
      </c>
      <c r="AI190" s="11">
        <f t="shared" si="8"/>
        <v>7.42</v>
      </c>
      <c r="AJ190" t="s">
        <v>62</v>
      </c>
    </row>
    <row r="191" spans="1:36" ht="15" customHeight="1" x14ac:dyDescent="0.35">
      <c r="A191">
        <v>10428918</v>
      </c>
      <c r="B191" t="s">
        <v>36</v>
      </c>
      <c r="C191" t="s">
        <v>37</v>
      </c>
      <c r="D191" s="6" t="s">
        <v>38</v>
      </c>
      <c r="E191" t="s">
        <v>702</v>
      </c>
      <c r="F191" t="s">
        <v>40</v>
      </c>
      <c r="G191" t="s">
        <v>41</v>
      </c>
      <c r="H191" t="s">
        <v>703</v>
      </c>
      <c r="I191" t="s">
        <v>43</v>
      </c>
      <c r="J191">
        <v>2</v>
      </c>
      <c r="K191" t="s">
        <v>44</v>
      </c>
      <c r="L191" t="s">
        <v>45</v>
      </c>
      <c r="M191" t="s">
        <v>46</v>
      </c>
      <c r="N191" s="7">
        <v>1</v>
      </c>
      <c r="O191" s="8">
        <v>45643.438483796293</v>
      </c>
      <c r="P191" s="9">
        <v>45644</v>
      </c>
      <c r="Q191" t="s">
        <v>74</v>
      </c>
      <c r="R191" t="s">
        <v>48</v>
      </c>
      <c r="S191" t="s">
        <v>49</v>
      </c>
      <c r="T191" t="s">
        <v>90</v>
      </c>
      <c r="U191" t="s">
        <v>704</v>
      </c>
      <c r="V191">
        <v>24050</v>
      </c>
      <c r="W191" t="s">
        <v>48</v>
      </c>
      <c r="X191" t="s">
        <v>77</v>
      </c>
      <c r="Y191" t="s">
        <v>54</v>
      </c>
      <c r="Z191" s="12">
        <f>IF(N191&lt;=1,9,9+0.8*ROUNDUP(N191-1,0))</f>
        <v>9</v>
      </c>
      <c r="AA191" s="11">
        <v>-2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6"/>
        <v>0.42</v>
      </c>
      <c r="AG191" s="11">
        <f t="shared" si="7"/>
        <v>7.42</v>
      </c>
      <c r="AH191" s="11">
        <v>0</v>
      </c>
      <c r="AI191" s="11">
        <f t="shared" si="8"/>
        <v>7.42</v>
      </c>
      <c r="AJ191" t="s">
        <v>62</v>
      </c>
    </row>
    <row r="192" spans="1:36" ht="15" customHeight="1" x14ac:dyDescent="0.35">
      <c r="A192">
        <v>10428918</v>
      </c>
      <c r="B192" t="s">
        <v>36</v>
      </c>
      <c r="C192" t="s">
        <v>37</v>
      </c>
      <c r="D192" s="6" t="s">
        <v>38</v>
      </c>
      <c r="E192" t="s">
        <v>705</v>
      </c>
      <c r="F192" t="s">
        <v>40</v>
      </c>
      <c r="G192" t="s">
        <v>41</v>
      </c>
      <c r="H192" t="s">
        <v>706</v>
      </c>
      <c r="I192" t="s">
        <v>43</v>
      </c>
      <c r="J192">
        <v>2</v>
      </c>
      <c r="K192" t="s">
        <v>44</v>
      </c>
      <c r="L192" t="s">
        <v>45</v>
      </c>
      <c r="M192" t="s">
        <v>46</v>
      </c>
      <c r="N192" s="7">
        <v>1</v>
      </c>
      <c r="O192" s="8">
        <v>45642.796122685184</v>
      </c>
      <c r="P192" s="9">
        <v>45644</v>
      </c>
      <c r="Q192" t="s">
        <v>74</v>
      </c>
      <c r="R192" t="s">
        <v>48</v>
      </c>
      <c r="S192" t="s">
        <v>49</v>
      </c>
      <c r="T192" t="s">
        <v>59</v>
      </c>
      <c r="U192" t="s">
        <v>707</v>
      </c>
      <c r="V192">
        <v>16310</v>
      </c>
      <c r="W192" t="s">
        <v>48</v>
      </c>
      <c r="X192" t="s">
        <v>77</v>
      </c>
      <c r="Y192" t="s">
        <v>54</v>
      </c>
      <c r="Z192" s="12">
        <f>IF(N192&lt;=1,9,9+0.8*ROUNDUP(N192-1,0))</f>
        <v>9</v>
      </c>
      <c r="AA192" s="11">
        <v>-2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6"/>
        <v>0.42</v>
      </c>
      <c r="AG192" s="11">
        <f t="shared" si="7"/>
        <v>7.42</v>
      </c>
      <c r="AH192" s="11">
        <v>0</v>
      </c>
      <c r="AI192" s="11">
        <f t="shared" si="8"/>
        <v>7.42</v>
      </c>
      <c r="AJ192" t="s">
        <v>62</v>
      </c>
    </row>
    <row r="193" spans="1:36" ht="15" customHeight="1" x14ac:dyDescent="0.35">
      <c r="A193">
        <v>10428918</v>
      </c>
      <c r="B193" t="s">
        <v>36</v>
      </c>
      <c r="C193" t="s">
        <v>37</v>
      </c>
      <c r="D193" s="6" t="s">
        <v>38</v>
      </c>
      <c r="E193" t="s">
        <v>708</v>
      </c>
      <c r="F193" t="s">
        <v>40</v>
      </c>
      <c r="G193" t="s">
        <v>41</v>
      </c>
      <c r="H193" t="s">
        <v>709</v>
      </c>
      <c r="I193" t="s">
        <v>43</v>
      </c>
      <c r="J193">
        <v>2</v>
      </c>
      <c r="K193" t="s">
        <v>44</v>
      </c>
      <c r="L193" t="s">
        <v>45</v>
      </c>
      <c r="M193" t="s">
        <v>46</v>
      </c>
      <c r="N193" s="7">
        <v>1</v>
      </c>
      <c r="O193" s="8">
        <v>45641.502766203703</v>
      </c>
      <c r="P193" s="9">
        <v>45644</v>
      </c>
      <c r="Q193" t="s">
        <v>74</v>
      </c>
      <c r="R193" t="s">
        <v>48</v>
      </c>
      <c r="S193" t="s">
        <v>49</v>
      </c>
      <c r="T193" t="s">
        <v>80</v>
      </c>
      <c r="U193" t="s">
        <v>710</v>
      </c>
      <c r="V193">
        <v>5200</v>
      </c>
      <c r="W193" t="s">
        <v>48</v>
      </c>
      <c r="X193" t="s">
        <v>137</v>
      </c>
      <c r="Y193" t="s">
        <v>54</v>
      </c>
      <c r="Z193" s="12">
        <f>IF(N193&lt;=1,9,9+0.8*ROUNDUP(N193-1,0))</f>
        <v>9</v>
      </c>
      <c r="AA193" s="11">
        <v>-2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6"/>
        <v>0.42</v>
      </c>
      <c r="AG193" s="11">
        <f t="shared" si="7"/>
        <v>7.42</v>
      </c>
      <c r="AH193" s="11">
        <v>0</v>
      </c>
      <c r="AI193" s="11">
        <f t="shared" si="8"/>
        <v>7.42</v>
      </c>
      <c r="AJ193" t="s">
        <v>62</v>
      </c>
    </row>
    <row r="194" spans="1:36" ht="15" customHeight="1" x14ac:dyDescent="0.35">
      <c r="A194">
        <v>10428918</v>
      </c>
      <c r="B194" t="s">
        <v>36</v>
      </c>
      <c r="C194" t="s">
        <v>37</v>
      </c>
      <c r="D194" s="6" t="s">
        <v>38</v>
      </c>
      <c r="E194" t="s">
        <v>711</v>
      </c>
      <c r="F194" t="s">
        <v>40</v>
      </c>
      <c r="G194" t="s">
        <v>41</v>
      </c>
      <c r="H194" t="s">
        <v>712</v>
      </c>
      <c r="I194" t="s">
        <v>43</v>
      </c>
      <c r="J194">
        <v>2</v>
      </c>
      <c r="K194" t="s">
        <v>44</v>
      </c>
      <c r="L194" t="s">
        <v>45</v>
      </c>
      <c r="M194" t="s">
        <v>46</v>
      </c>
      <c r="N194" s="7">
        <v>2</v>
      </c>
      <c r="O194" s="8">
        <v>45641.66883101852</v>
      </c>
      <c r="P194" s="9">
        <v>45644</v>
      </c>
      <c r="Q194" t="s">
        <v>74</v>
      </c>
      <c r="R194" t="s">
        <v>48</v>
      </c>
      <c r="S194" t="s">
        <v>49</v>
      </c>
      <c r="T194" t="s">
        <v>50</v>
      </c>
      <c r="U194" t="s">
        <v>713</v>
      </c>
      <c r="V194">
        <v>88450</v>
      </c>
      <c r="W194" t="s">
        <v>52</v>
      </c>
      <c r="X194" t="s">
        <v>53</v>
      </c>
      <c r="Y194" t="s">
        <v>54</v>
      </c>
      <c r="Z194" s="10">
        <f>IF(N194&lt;=1,13,IF(N194&lt;=2,23,IF(N194&lt;=3,35,IF(N194&lt;=4,43,IF(N194&lt;=5,53,IF(N194&lt;=6,63,IF(N194&lt;=7,71,IF(N194&lt;=8,79,IF(N194&lt;=9,87,IF(N194&lt;=10,95,IF(N194&lt;=11,105,IF(N194&lt;=12,114,IF(N194&lt;=13,119,IF(N194&lt;=14,127,IF(N194&lt;=15,135,IF(N194&lt;=16,143,IF(N194&lt;=17,153,IF(N194&lt;=18,163,IF(N194&lt;=19,171,IF(N194&lt;=20,185,IF(N194&lt;=21,193,IF(N194&lt;=22,201,IF(N194&lt;=23,210,IF(N194&lt;=24,220,IF(N194&lt;=25,230,IF(N194&lt;=26,240,IF(N194&lt;=27,250,IF(N194&lt;=28,260,IF(N194&lt;=29,270,IF(N194&lt;=30,280,280+10*ROUNDUP(N194-30,0)))))))))))))))))))))))))))))))</f>
        <v>23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9">(Z194+AA194+AC194+AE194)*6%</f>
        <v>1.38</v>
      </c>
      <c r="AG194" s="11">
        <f t="shared" ref="AG194:AG257" si="10">Z194+AA194+AC194+AE194+AF194</f>
        <v>24.38</v>
      </c>
      <c r="AH194" s="11">
        <v>0</v>
      </c>
      <c r="AI194" s="11">
        <f t="shared" ref="AI194:AI257" si="11">AG194+AH194</f>
        <v>24.38</v>
      </c>
      <c r="AJ194" t="s">
        <v>55</v>
      </c>
    </row>
    <row r="195" spans="1:36" ht="15" customHeight="1" x14ac:dyDescent="0.35">
      <c r="A195">
        <v>10428918</v>
      </c>
      <c r="B195" t="s">
        <v>36</v>
      </c>
      <c r="C195" t="s">
        <v>37</v>
      </c>
      <c r="D195" s="6" t="s">
        <v>38</v>
      </c>
      <c r="E195" t="s">
        <v>714</v>
      </c>
      <c r="F195" t="s">
        <v>40</v>
      </c>
      <c r="G195" t="s">
        <v>41</v>
      </c>
      <c r="H195" t="s">
        <v>715</v>
      </c>
      <c r="I195" t="s">
        <v>43</v>
      </c>
      <c r="J195">
        <v>2</v>
      </c>
      <c r="K195" t="s">
        <v>44</v>
      </c>
      <c r="L195" t="s">
        <v>45</v>
      </c>
      <c r="M195" t="s">
        <v>46</v>
      </c>
      <c r="N195" s="7">
        <v>1</v>
      </c>
      <c r="O195" s="8">
        <v>45642.782719907409</v>
      </c>
      <c r="P195" s="9">
        <v>45644</v>
      </c>
      <c r="Q195" t="s">
        <v>74</v>
      </c>
      <c r="R195" t="s">
        <v>48</v>
      </c>
      <c r="S195" t="s">
        <v>49</v>
      </c>
      <c r="T195" t="s">
        <v>75</v>
      </c>
      <c r="U195" t="s">
        <v>716</v>
      </c>
      <c r="V195">
        <v>26400</v>
      </c>
      <c r="W195" t="s">
        <v>48</v>
      </c>
      <c r="X195" t="s">
        <v>77</v>
      </c>
      <c r="Y195" t="s">
        <v>54</v>
      </c>
      <c r="Z195" s="12">
        <f>IF(N195&lt;=1,9,9+0.8*ROUNDUP(N195-1,0))</f>
        <v>9</v>
      </c>
      <c r="AA195" s="11">
        <v>-2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9"/>
        <v>0.42</v>
      </c>
      <c r="AG195" s="11">
        <f t="shared" si="10"/>
        <v>7.42</v>
      </c>
      <c r="AH195" s="11">
        <v>0</v>
      </c>
      <c r="AI195" s="11">
        <f t="shared" si="11"/>
        <v>7.42</v>
      </c>
      <c r="AJ195" t="s">
        <v>62</v>
      </c>
    </row>
    <row r="196" spans="1:36" ht="15" customHeight="1" x14ac:dyDescent="0.35">
      <c r="A196">
        <v>10428918</v>
      </c>
      <c r="B196" t="s">
        <v>36</v>
      </c>
      <c r="C196" t="s">
        <v>37</v>
      </c>
      <c r="D196" s="6" t="s">
        <v>38</v>
      </c>
      <c r="E196" t="s">
        <v>717</v>
      </c>
      <c r="F196" t="s">
        <v>40</v>
      </c>
      <c r="G196" t="s">
        <v>41</v>
      </c>
      <c r="H196" t="s">
        <v>718</v>
      </c>
      <c r="I196" t="s">
        <v>43</v>
      </c>
      <c r="J196">
        <v>2</v>
      </c>
      <c r="K196" t="s">
        <v>44</v>
      </c>
      <c r="L196" t="s">
        <v>45</v>
      </c>
      <c r="M196" t="s">
        <v>46</v>
      </c>
      <c r="N196" s="7">
        <v>1</v>
      </c>
      <c r="O196" s="8">
        <v>45641.839363425926</v>
      </c>
      <c r="P196" s="9">
        <v>45644</v>
      </c>
      <c r="Q196" t="s">
        <v>74</v>
      </c>
      <c r="R196" t="s">
        <v>48</v>
      </c>
      <c r="S196" t="s">
        <v>49</v>
      </c>
      <c r="T196" t="s">
        <v>117</v>
      </c>
      <c r="U196" t="s">
        <v>719</v>
      </c>
      <c r="V196">
        <v>41000</v>
      </c>
      <c r="W196" t="s">
        <v>48</v>
      </c>
      <c r="X196" t="s">
        <v>53</v>
      </c>
      <c r="Y196" t="s">
        <v>54</v>
      </c>
      <c r="Z196" s="12">
        <f>IF(N196&lt;=1,9,9+0.8*ROUNDUP(N196-1,0))</f>
        <v>9</v>
      </c>
      <c r="AA196" s="11">
        <v>-2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9"/>
        <v>0.42</v>
      </c>
      <c r="AG196" s="11">
        <f t="shared" si="10"/>
        <v>7.42</v>
      </c>
      <c r="AH196" s="11">
        <v>0</v>
      </c>
      <c r="AI196" s="11">
        <f t="shared" si="11"/>
        <v>7.42</v>
      </c>
      <c r="AJ196" t="s">
        <v>62</v>
      </c>
    </row>
    <row r="197" spans="1:36" ht="15" customHeight="1" x14ac:dyDescent="0.35">
      <c r="A197">
        <v>10428918</v>
      </c>
      <c r="B197" t="s">
        <v>36</v>
      </c>
      <c r="C197" t="s">
        <v>37</v>
      </c>
      <c r="D197" s="6" t="s">
        <v>38</v>
      </c>
      <c r="E197" t="s">
        <v>720</v>
      </c>
      <c r="F197" t="s">
        <v>40</v>
      </c>
      <c r="G197" t="s">
        <v>41</v>
      </c>
      <c r="H197" t="s">
        <v>721</v>
      </c>
      <c r="I197" t="s">
        <v>43</v>
      </c>
      <c r="J197">
        <v>2</v>
      </c>
      <c r="K197" t="s">
        <v>44</v>
      </c>
      <c r="L197" t="s">
        <v>45</v>
      </c>
      <c r="M197" t="s">
        <v>46</v>
      </c>
      <c r="N197" s="7">
        <v>1</v>
      </c>
      <c r="O197" s="8">
        <v>45641.653622685182</v>
      </c>
      <c r="P197" s="9">
        <v>45644</v>
      </c>
      <c r="Q197" t="s">
        <v>74</v>
      </c>
      <c r="R197" t="s">
        <v>48</v>
      </c>
      <c r="S197" t="s">
        <v>49</v>
      </c>
      <c r="T197" t="s">
        <v>69</v>
      </c>
      <c r="U197" t="s">
        <v>722</v>
      </c>
      <c r="V197">
        <v>81300</v>
      </c>
      <c r="W197" t="s">
        <v>48</v>
      </c>
      <c r="X197" t="s">
        <v>394</v>
      </c>
      <c r="Y197" t="s">
        <v>54</v>
      </c>
      <c r="Z197" s="12">
        <f>IF(N197&lt;=1,9,9+0.8*ROUNDUP(N197-1,0))</f>
        <v>9</v>
      </c>
      <c r="AA197" s="11">
        <v>-2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9"/>
        <v>0.42</v>
      </c>
      <c r="AG197" s="11">
        <f t="shared" si="10"/>
        <v>7.42</v>
      </c>
      <c r="AH197" s="11">
        <v>0</v>
      </c>
      <c r="AI197" s="11">
        <f t="shared" si="11"/>
        <v>7.42</v>
      </c>
      <c r="AJ197" t="s">
        <v>62</v>
      </c>
    </row>
    <row r="198" spans="1:36" ht="15" customHeight="1" x14ac:dyDescent="0.35">
      <c r="A198">
        <v>10428918</v>
      </c>
      <c r="B198" t="s">
        <v>36</v>
      </c>
      <c r="C198" t="s">
        <v>37</v>
      </c>
      <c r="D198" s="6" t="s">
        <v>38</v>
      </c>
      <c r="E198" t="s">
        <v>723</v>
      </c>
      <c r="F198" t="s">
        <v>40</v>
      </c>
      <c r="G198" t="s">
        <v>41</v>
      </c>
      <c r="H198" t="s">
        <v>724</v>
      </c>
      <c r="I198" t="s">
        <v>43</v>
      </c>
      <c r="J198">
        <v>2</v>
      </c>
      <c r="K198" t="s">
        <v>44</v>
      </c>
      <c r="L198" t="s">
        <v>45</v>
      </c>
      <c r="M198" t="s">
        <v>46</v>
      </c>
      <c r="N198" s="7">
        <v>1</v>
      </c>
      <c r="O198" s="8">
        <v>45643.652048611111</v>
      </c>
      <c r="P198" s="9">
        <v>45644</v>
      </c>
      <c r="Q198" t="s">
        <v>74</v>
      </c>
      <c r="R198" t="s">
        <v>48</v>
      </c>
      <c r="S198" t="s">
        <v>49</v>
      </c>
      <c r="T198" t="s">
        <v>170</v>
      </c>
      <c r="U198" t="s">
        <v>725</v>
      </c>
      <c r="V198">
        <v>50400</v>
      </c>
      <c r="W198" t="s">
        <v>48</v>
      </c>
      <c r="X198" t="s">
        <v>172</v>
      </c>
      <c r="Y198" t="s">
        <v>54</v>
      </c>
      <c r="Z198" s="12">
        <f>IF(N198&lt;=1,9,9+0.8*ROUNDUP(N198-1,0))</f>
        <v>9</v>
      </c>
      <c r="AA198" s="11">
        <v>-2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9"/>
        <v>0.42</v>
      </c>
      <c r="AG198" s="11">
        <f t="shared" si="10"/>
        <v>7.42</v>
      </c>
      <c r="AH198" s="11">
        <v>0</v>
      </c>
      <c r="AI198" s="11">
        <f t="shared" si="11"/>
        <v>7.42</v>
      </c>
      <c r="AJ198" t="s">
        <v>62</v>
      </c>
    </row>
    <row r="199" spans="1:36" ht="15" customHeight="1" x14ac:dyDescent="0.35">
      <c r="A199">
        <v>10428918</v>
      </c>
      <c r="B199" t="s">
        <v>36</v>
      </c>
      <c r="C199" t="s">
        <v>37</v>
      </c>
      <c r="D199" s="6" t="s">
        <v>38</v>
      </c>
      <c r="E199" t="s">
        <v>726</v>
      </c>
      <c r="F199" t="s">
        <v>40</v>
      </c>
      <c r="G199" t="s">
        <v>41</v>
      </c>
      <c r="H199" t="s">
        <v>727</v>
      </c>
      <c r="I199" t="s">
        <v>43</v>
      </c>
      <c r="J199">
        <v>2</v>
      </c>
      <c r="K199" t="s">
        <v>44</v>
      </c>
      <c r="L199" t="s">
        <v>45</v>
      </c>
      <c r="M199" t="s">
        <v>46</v>
      </c>
      <c r="N199" s="7">
        <v>1</v>
      </c>
      <c r="O199" s="8">
        <v>45643.540671296294</v>
      </c>
      <c r="P199" s="9">
        <v>45644</v>
      </c>
      <c r="Q199" t="s">
        <v>74</v>
      </c>
      <c r="R199" t="s">
        <v>48</v>
      </c>
      <c r="S199" t="s">
        <v>49</v>
      </c>
      <c r="T199" t="s">
        <v>75</v>
      </c>
      <c r="U199" t="s">
        <v>728</v>
      </c>
      <c r="V199">
        <v>28000</v>
      </c>
      <c r="W199" t="s">
        <v>48</v>
      </c>
      <c r="X199" t="s">
        <v>77</v>
      </c>
      <c r="Y199" t="s">
        <v>54</v>
      </c>
      <c r="Z199" s="12">
        <f>IF(N199&lt;=1,9,9+0.8*ROUNDUP(N199-1,0))</f>
        <v>9</v>
      </c>
      <c r="AA199" s="11">
        <v>-2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9"/>
        <v>0.42</v>
      </c>
      <c r="AG199" s="11">
        <f t="shared" si="10"/>
        <v>7.42</v>
      </c>
      <c r="AH199" s="11">
        <v>0</v>
      </c>
      <c r="AI199" s="11">
        <f t="shared" si="11"/>
        <v>7.42</v>
      </c>
      <c r="AJ199" t="s">
        <v>62</v>
      </c>
    </row>
    <row r="200" spans="1:36" ht="15" customHeight="1" x14ac:dyDescent="0.35">
      <c r="A200">
        <v>10428918</v>
      </c>
      <c r="B200" t="s">
        <v>36</v>
      </c>
      <c r="C200" t="s">
        <v>37</v>
      </c>
      <c r="D200" s="6" t="s">
        <v>38</v>
      </c>
      <c r="E200" t="s">
        <v>729</v>
      </c>
      <c r="F200" t="s">
        <v>40</v>
      </c>
      <c r="G200" t="s">
        <v>41</v>
      </c>
      <c r="H200" t="s">
        <v>730</v>
      </c>
      <c r="I200" t="s">
        <v>43</v>
      </c>
      <c r="J200">
        <v>2</v>
      </c>
      <c r="K200" t="s">
        <v>44</v>
      </c>
      <c r="L200" t="s">
        <v>45</v>
      </c>
      <c r="M200" t="s">
        <v>46</v>
      </c>
      <c r="N200" s="7">
        <v>1</v>
      </c>
      <c r="O200" s="8">
        <v>45641.653622685182</v>
      </c>
      <c r="P200" s="9">
        <v>45644</v>
      </c>
      <c r="Q200" t="s">
        <v>74</v>
      </c>
      <c r="R200" t="s">
        <v>48</v>
      </c>
      <c r="S200" t="s">
        <v>49</v>
      </c>
      <c r="T200" t="s">
        <v>101</v>
      </c>
      <c r="U200" t="s">
        <v>731</v>
      </c>
      <c r="V200">
        <v>33000</v>
      </c>
      <c r="W200" t="s">
        <v>48</v>
      </c>
      <c r="X200" t="s">
        <v>103</v>
      </c>
      <c r="Y200" t="s">
        <v>54</v>
      </c>
      <c r="Z200" s="12">
        <f>IF(N200&lt;=1,9,9+0.8*ROUNDUP(N200-1,0))</f>
        <v>9</v>
      </c>
      <c r="AA200" s="11">
        <v>-2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9"/>
        <v>0.42</v>
      </c>
      <c r="AG200" s="11">
        <f t="shared" si="10"/>
        <v>7.42</v>
      </c>
      <c r="AH200" s="11">
        <v>0</v>
      </c>
      <c r="AI200" s="11">
        <f t="shared" si="11"/>
        <v>7.42</v>
      </c>
      <c r="AJ200" t="s">
        <v>62</v>
      </c>
    </row>
    <row r="201" spans="1:36" ht="15" customHeight="1" x14ac:dyDescent="0.35">
      <c r="A201">
        <v>10428918</v>
      </c>
      <c r="B201" t="s">
        <v>36</v>
      </c>
      <c r="C201" t="s">
        <v>37</v>
      </c>
      <c r="D201" s="6" t="s">
        <v>38</v>
      </c>
      <c r="E201" t="s">
        <v>732</v>
      </c>
      <c r="F201" t="s">
        <v>40</v>
      </c>
      <c r="G201" t="s">
        <v>41</v>
      </c>
      <c r="H201" t="s">
        <v>733</v>
      </c>
      <c r="I201" t="s">
        <v>43</v>
      </c>
      <c r="J201">
        <v>2</v>
      </c>
      <c r="K201" t="s">
        <v>44</v>
      </c>
      <c r="L201" t="s">
        <v>45</v>
      </c>
      <c r="M201" t="s">
        <v>46</v>
      </c>
      <c r="N201" s="7">
        <v>3</v>
      </c>
      <c r="O201" s="8">
        <v>45643.626388888886</v>
      </c>
      <c r="P201" s="9">
        <v>45644</v>
      </c>
      <c r="Q201" t="s">
        <v>74</v>
      </c>
      <c r="R201" t="s">
        <v>48</v>
      </c>
      <c r="S201" t="s">
        <v>49</v>
      </c>
      <c r="T201" t="s">
        <v>59</v>
      </c>
      <c r="U201" t="s">
        <v>734</v>
      </c>
      <c r="V201">
        <v>18000</v>
      </c>
      <c r="W201" t="s">
        <v>48</v>
      </c>
      <c r="X201" t="s">
        <v>77</v>
      </c>
      <c r="Y201" t="s">
        <v>54</v>
      </c>
      <c r="Z201" s="12">
        <f>IF(N201&lt;=1,9,9+0.8*ROUNDUP(N201-1,0))</f>
        <v>10.6</v>
      </c>
      <c r="AA201" s="11">
        <v>-2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9"/>
        <v>0.51600000000000001</v>
      </c>
      <c r="AG201" s="11">
        <f t="shared" si="10"/>
        <v>9.1159999999999997</v>
      </c>
      <c r="AH201" s="11">
        <v>0</v>
      </c>
      <c r="AI201" s="11">
        <f t="shared" si="11"/>
        <v>9.1159999999999997</v>
      </c>
      <c r="AJ201" t="s">
        <v>62</v>
      </c>
    </row>
    <row r="202" spans="1:36" ht="15" customHeight="1" x14ac:dyDescent="0.35">
      <c r="A202">
        <v>10428918</v>
      </c>
      <c r="B202" t="s">
        <v>36</v>
      </c>
      <c r="C202" t="s">
        <v>37</v>
      </c>
      <c r="D202" s="6" t="s">
        <v>38</v>
      </c>
      <c r="E202" t="s">
        <v>735</v>
      </c>
      <c r="F202" t="s">
        <v>40</v>
      </c>
      <c r="G202" t="s">
        <v>41</v>
      </c>
      <c r="H202" t="s">
        <v>736</v>
      </c>
      <c r="I202" t="s">
        <v>43</v>
      </c>
      <c r="J202">
        <v>2</v>
      </c>
      <c r="K202" t="s">
        <v>44</v>
      </c>
      <c r="L202" t="s">
        <v>45</v>
      </c>
      <c r="M202" t="s">
        <v>46</v>
      </c>
      <c r="N202" s="7">
        <v>1</v>
      </c>
      <c r="O202" s="8">
        <v>45641.502754629626</v>
      </c>
      <c r="P202" s="9">
        <v>45644</v>
      </c>
      <c r="Q202" t="s">
        <v>74</v>
      </c>
      <c r="R202" t="s">
        <v>48</v>
      </c>
      <c r="S202" t="s">
        <v>49</v>
      </c>
      <c r="T202" t="s">
        <v>117</v>
      </c>
      <c r="U202" t="s">
        <v>737</v>
      </c>
      <c r="V202">
        <v>53100</v>
      </c>
      <c r="W202" t="s">
        <v>48</v>
      </c>
      <c r="X202" t="s">
        <v>350</v>
      </c>
      <c r="Y202" t="s">
        <v>54</v>
      </c>
      <c r="Z202" s="12">
        <f>IF(N202&lt;=1,9,9+0.8*ROUNDUP(N202-1,0))</f>
        <v>9</v>
      </c>
      <c r="AA202" s="11">
        <v>-2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9"/>
        <v>0.42</v>
      </c>
      <c r="AG202" s="11">
        <f t="shared" si="10"/>
        <v>7.42</v>
      </c>
      <c r="AH202" s="11">
        <v>0</v>
      </c>
      <c r="AI202" s="11">
        <f t="shared" si="11"/>
        <v>7.42</v>
      </c>
      <c r="AJ202" t="s">
        <v>62</v>
      </c>
    </row>
    <row r="203" spans="1:36" ht="15" customHeight="1" x14ac:dyDescent="0.35">
      <c r="A203">
        <v>10428918</v>
      </c>
      <c r="B203" t="s">
        <v>36</v>
      </c>
      <c r="C203" t="s">
        <v>37</v>
      </c>
      <c r="D203" s="6" t="s">
        <v>38</v>
      </c>
      <c r="E203" t="s">
        <v>738</v>
      </c>
      <c r="F203" t="s">
        <v>40</v>
      </c>
      <c r="G203" t="s">
        <v>41</v>
      </c>
      <c r="H203" t="s">
        <v>739</v>
      </c>
      <c r="I203" t="s">
        <v>43</v>
      </c>
      <c r="J203">
        <v>2</v>
      </c>
      <c r="K203" t="s">
        <v>44</v>
      </c>
      <c r="L203" t="s">
        <v>45</v>
      </c>
      <c r="M203" t="s">
        <v>46</v>
      </c>
      <c r="N203" s="7">
        <v>1</v>
      </c>
      <c r="O203" s="8">
        <v>45642.66165509259</v>
      </c>
      <c r="P203" s="9">
        <v>45644</v>
      </c>
      <c r="Q203" t="s">
        <v>74</v>
      </c>
      <c r="R203" t="s">
        <v>48</v>
      </c>
      <c r="S203" t="s">
        <v>49</v>
      </c>
      <c r="T203" t="s">
        <v>101</v>
      </c>
      <c r="U203" t="s">
        <v>740</v>
      </c>
      <c r="V203">
        <v>35350</v>
      </c>
      <c r="W203" t="s">
        <v>48</v>
      </c>
      <c r="X203" t="s">
        <v>110</v>
      </c>
      <c r="Y203" t="s">
        <v>54</v>
      </c>
      <c r="Z203" s="12">
        <f>IF(N203&lt;=1,9,9+0.8*ROUNDUP(N203-1,0))</f>
        <v>9</v>
      </c>
      <c r="AA203" s="11">
        <v>-2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9"/>
        <v>0.42</v>
      </c>
      <c r="AG203" s="11">
        <f t="shared" si="10"/>
        <v>7.42</v>
      </c>
      <c r="AH203" s="11">
        <v>0</v>
      </c>
      <c r="AI203" s="11">
        <f t="shared" si="11"/>
        <v>7.42</v>
      </c>
      <c r="AJ203" t="s">
        <v>62</v>
      </c>
    </row>
    <row r="204" spans="1:36" ht="15" customHeight="1" x14ac:dyDescent="0.35">
      <c r="A204">
        <v>10428918</v>
      </c>
      <c r="B204" t="s">
        <v>36</v>
      </c>
      <c r="C204" t="s">
        <v>37</v>
      </c>
      <c r="D204" s="6" t="s">
        <v>38</v>
      </c>
      <c r="E204" t="s">
        <v>741</v>
      </c>
      <c r="F204" t="s">
        <v>40</v>
      </c>
      <c r="G204" t="s">
        <v>41</v>
      </c>
      <c r="H204" t="s">
        <v>742</v>
      </c>
      <c r="I204" t="s">
        <v>43</v>
      </c>
      <c r="J204">
        <v>2</v>
      </c>
      <c r="K204" t="s">
        <v>44</v>
      </c>
      <c r="L204" t="s">
        <v>45</v>
      </c>
      <c r="M204" t="s">
        <v>46</v>
      </c>
      <c r="N204" s="7">
        <v>1</v>
      </c>
      <c r="O204" s="8">
        <v>45641.502754629626</v>
      </c>
      <c r="P204" s="9">
        <v>45644</v>
      </c>
      <c r="Q204" t="s">
        <v>74</v>
      </c>
      <c r="R204" t="s">
        <v>48</v>
      </c>
      <c r="S204" t="s">
        <v>49</v>
      </c>
      <c r="T204" t="s">
        <v>69</v>
      </c>
      <c r="U204" t="s">
        <v>743</v>
      </c>
      <c r="V204">
        <v>86800</v>
      </c>
      <c r="W204" t="s">
        <v>48</v>
      </c>
      <c r="X204" t="s">
        <v>744</v>
      </c>
      <c r="Y204" t="s">
        <v>54</v>
      </c>
      <c r="Z204" s="12">
        <f>IF(N204&lt;=1,9,9+0.8*ROUNDUP(N204-1,0))</f>
        <v>9</v>
      </c>
      <c r="AA204" s="11">
        <v>-2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9"/>
        <v>0.42</v>
      </c>
      <c r="AG204" s="11">
        <f t="shared" si="10"/>
        <v>7.42</v>
      </c>
      <c r="AH204" s="11">
        <v>0</v>
      </c>
      <c r="AI204" s="11">
        <f t="shared" si="11"/>
        <v>7.42</v>
      </c>
      <c r="AJ204" t="s">
        <v>62</v>
      </c>
    </row>
    <row r="205" spans="1:36" ht="15" customHeight="1" x14ac:dyDescent="0.35">
      <c r="A205">
        <v>10428918</v>
      </c>
      <c r="B205" t="s">
        <v>36</v>
      </c>
      <c r="C205" t="s">
        <v>37</v>
      </c>
      <c r="D205" s="6" t="s">
        <v>38</v>
      </c>
      <c r="E205" t="s">
        <v>745</v>
      </c>
      <c r="F205" t="s">
        <v>40</v>
      </c>
      <c r="G205" t="s">
        <v>41</v>
      </c>
      <c r="H205" t="s">
        <v>746</v>
      </c>
      <c r="I205" t="s">
        <v>43</v>
      </c>
      <c r="J205">
        <v>2</v>
      </c>
      <c r="K205" t="s">
        <v>44</v>
      </c>
      <c r="L205" t="s">
        <v>45</v>
      </c>
      <c r="M205" t="s">
        <v>46</v>
      </c>
      <c r="N205" s="7">
        <v>1</v>
      </c>
      <c r="O205" s="8">
        <v>45642.796134259261</v>
      </c>
      <c r="P205" s="9">
        <v>45644</v>
      </c>
      <c r="Q205" t="s">
        <v>74</v>
      </c>
      <c r="R205" t="s">
        <v>48</v>
      </c>
      <c r="S205" t="s">
        <v>49</v>
      </c>
      <c r="T205" t="s">
        <v>90</v>
      </c>
      <c r="U205" t="s">
        <v>747</v>
      </c>
      <c r="V205">
        <v>23000</v>
      </c>
      <c r="W205" t="s">
        <v>48</v>
      </c>
      <c r="X205" t="s">
        <v>92</v>
      </c>
      <c r="Y205" t="s">
        <v>54</v>
      </c>
      <c r="Z205" s="12">
        <f>IF(N205&lt;=1,9,9+0.8*ROUNDUP(N205-1,0))</f>
        <v>9</v>
      </c>
      <c r="AA205" s="11">
        <v>-2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9"/>
        <v>0.42</v>
      </c>
      <c r="AG205" s="11">
        <f t="shared" si="10"/>
        <v>7.42</v>
      </c>
      <c r="AH205" s="11">
        <v>0</v>
      </c>
      <c r="AI205" s="11">
        <f t="shared" si="11"/>
        <v>7.42</v>
      </c>
      <c r="AJ205" t="s">
        <v>62</v>
      </c>
    </row>
    <row r="206" spans="1:36" ht="15" customHeight="1" x14ac:dyDescent="0.35">
      <c r="A206">
        <v>10428918</v>
      </c>
      <c r="B206" t="s">
        <v>36</v>
      </c>
      <c r="C206" t="s">
        <v>37</v>
      </c>
      <c r="D206" s="6" t="s">
        <v>38</v>
      </c>
      <c r="E206" t="s">
        <v>748</v>
      </c>
      <c r="F206" t="s">
        <v>40</v>
      </c>
      <c r="G206" t="s">
        <v>41</v>
      </c>
      <c r="H206" t="s">
        <v>749</v>
      </c>
      <c r="I206" t="s">
        <v>43</v>
      </c>
      <c r="J206">
        <v>2</v>
      </c>
      <c r="K206" t="s">
        <v>44</v>
      </c>
      <c r="L206" t="s">
        <v>45</v>
      </c>
      <c r="M206" t="s">
        <v>46</v>
      </c>
      <c r="N206" s="7">
        <v>1</v>
      </c>
      <c r="O206" s="8">
        <v>45643.412222222221</v>
      </c>
      <c r="P206" s="9">
        <v>45644</v>
      </c>
      <c r="Q206" t="s">
        <v>74</v>
      </c>
      <c r="R206" t="s">
        <v>48</v>
      </c>
      <c r="S206" t="s">
        <v>49</v>
      </c>
      <c r="T206" t="s">
        <v>90</v>
      </c>
      <c r="U206" t="s">
        <v>750</v>
      </c>
      <c r="V206">
        <v>24200</v>
      </c>
      <c r="W206" t="s">
        <v>48</v>
      </c>
      <c r="X206" t="s">
        <v>77</v>
      </c>
      <c r="Y206" t="s">
        <v>54</v>
      </c>
      <c r="Z206" s="12">
        <f>IF(N206&lt;=1,9,9+0.8*ROUNDUP(N206-1,0))</f>
        <v>9</v>
      </c>
      <c r="AA206" s="11">
        <v>-2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9"/>
        <v>0.42</v>
      </c>
      <c r="AG206" s="11">
        <f t="shared" si="10"/>
        <v>7.42</v>
      </c>
      <c r="AH206" s="11">
        <v>0</v>
      </c>
      <c r="AI206" s="11">
        <f t="shared" si="11"/>
        <v>7.42</v>
      </c>
      <c r="AJ206" t="s">
        <v>62</v>
      </c>
    </row>
    <row r="207" spans="1:36" ht="15" customHeight="1" x14ac:dyDescent="0.35">
      <c r="A207">
        <v>10428918</v>
      </c>
      <c r="B207" t="s">
        <v>36</v>
      </c>
      <c r="C207" t="s">
        <v>37</v>
      </c>
      <c r="D207" s="6" t="s">
        <v>38</v>
      </c>
      <c r="E207" t="s">
        <v>751</v>
      </c>
      <c r="F207" t="s">
        <v>40</v>
      </c>
      <c r="G207" t="s">
        <v>41</v>
      </c>
      <c r="H207" t="s">
        <v>752</v>
      </c>
      <c r="I207" t="s">
        <v>43</v>
      </c>
      <c r="J207">
        <v>2</v>
      </c>
      <c r="K207" t="s">
        <v>44</v>
      </c>
      <c r="L207" t="s">
        <v>45</v>
      </c>
      <c r="M207" t="s">
        <v>46</v>
      </c>
      <c r="N207" s="7">
        <v>1</v>
      </c>
      <c r="O207" s="8">
        <v>45642.661643518521</v>
      </c>
      <c r="P207" s="9">
        <v>45644</v>
      </c>
      <c r="Q207" t="s">
        <v>74</v>
      </c>
      <c r="R207" t="s">
        <v>48</v>
      </c>
      <c r="S207" t="s">
        <v>49</v>
      </c>
      <c r="T207" t="s">
        <v>101</v>
      </c>
      <c r="U207" t="s">
        <v>753</v>
      </c>
      <c r="V207">
        <v>34900</v>
      </c>
      <c r="W207" t="s">
        <v>48</v>
      </c>
      <c r="X207" t="s">
        <v>754</v>
      </c>
      <c r="Y207" t="s">
        <v>54</v>
      </c>
      <c r="Z207" s="12">
        <f>IF(N207&lt;=1,9,9+0.8*ROUNDUP(N207-1,0))</f>
        <v>9</v>
      </c>
      <c r="AA207" s="11">
        <v>-2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9"/>
        <v>0.42</v>
      </c>
      <c r="AG207" s="11">
        <f t="shared" si="10"/>
        <v>7.42</v>
      </c>
      <c r="AH207" s="11">
        <v>0</v>
      </c>
      <c r="AI207" s="11">
        <f t="shared" si="11"/>
        <v>7.42</v>
      </c>
      <c r="AJ207" t="s">
        <v>62</v>
      </c>
    </row>
    <row r="208" spans="1:36" ht="15" customHeight="1" x14ac:dyDescent="0.35">
      <c r="A208">
        <v>10428918</v>
      </c>
      <c r="B208" t="s">
        <v>36</v>
      </c>
      <c r="C208" t="s">
        <v>37</v>
      </c>
      <c r="D208" s="6" t="s">
        <v>38</v>
      </c>
      <c r="E208" t="s">
        <v>755</v>
      </c>
      <c r="F208" t="s">
        <v>40</v>
      </c>
      <c r="G208" t="s">
        <v>41</v>
      </c>
      <c r="H208" t="s">
        <v>756</v>
      </c>
      <c r="I208" t="s">
        <v>43</v>
      </c>
      <c r="J208">
        <v>2</v>
      </c>
      <c r="K208" t="s">
        <v>44</v>
      </c>
      <c r="L208" t="s">
        <v>45</v>
      </c>
      <c r="M208" t="s">
        <v>46</v>
      </c>
      <c r="N208" s="7">
        <v>1</v>
      </c>
      <c r="O208" s="8">
        <v>45641.82335648148</v>
      </c>
      <c r="P208" s="9">
        <v>45644</v>
      </c>
      <c r="Q208" t="s">
        <v>74</v>
      </c>
      <c r="R208" t="s">
        <v>48</v>
      </c>
      <c r="S208" t="s">
        <v>49</v>
      </c>
      <c r="T208" t="s">
        <v>85</v>
      </c>
      <c r="U208" t="s">
        <v>757</v>
      </c>
      <c r="V208">
        <v>71500</v>
      </c>
      <c r="W208" t="s">
        <v>48</v>
      </c>
      <c r="X208" t="s">
        <v>243</v>
      </c>
      <c r="Y208" t="s">
        <v>54</v>
      </c>
      <c r="Z208" s="12">
        <f>IF(N208&lt;=1,9,9+0.8*ROUNDUP(N208-1,0))</f>
        <v>9</v>
      </c>
      <c r="AA208" s="11">
        <v>-2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9"/>
        <v>0.42</v>
      </c>
      <c r="AG208" s="11">
        <f t="shared" si="10"/>
        <v>7.42</v>
      </c>
      <c r="AH208" s="11">
        <v>0</v>
      </c>
      <c r="AI208" s="11">
        <f t="shared" si="11"/>
        <v>7.42</v>
      </c>
      <c r="AJ208" t="s">
        <v>62</v>
      </c>
    </row>
    <row r="209" spans="1:36" ht="15" customHeight="1" x14ac:dyDescent="0.35">
      <c r="A209">
        <v>10428918</v>
      </c>
      <c r="B209" t="s">
        <v>36</v>
      </c>
      <c r="C209" t="s">
        <v>37</v>
      </c>
      <c r="D209" s="6" t="s">
        <v>38</v>
      </c>
      <c r="E209" t="s">
        <v>758</v>
      </c>
      <c r="F209" t="s">
        <v>40</v>
      </c>
      <c r="G209" t="s">
        <v>41</v>
      </c>
      <c r="H209" t="s">
        <v>759</v>
      </c>
      <c r="I209" t="s">
        <v>43</v>
      </c>
      <c r="J209">
        <v>2</v>
      </c>
      <c r="K209" t="s">
        <v>44</v>
      </c>
      <c r="L209" t="s">
        <v>45</v>
      </c>
      <c r="M209" t="s">
        <v>46</v>
      </c>
      <c r="N209" s="7">
        <v>1</v>
      </c>
      <c r="O209" s="8">
        <v>45641.854432870372</v>
      </c>
      <c r="P209" s="9">
        <v>45644</v>
      </c>
      <c r="Q209" t="s">
        <v>74</v>
      </c>
      <c r="R209" t="s">
        <v>48</v>
      </c>
      <c r="S209" t="s">
        <v>49</v>
      </c>
      <c r="T209" t="s">
        <v>69</v>
      </c>
      <c r="U209" t="s">
        <v>760</v>
      </c>
      <c r="V209">
        <v>80150</v>
      </c>
      <c r="W209" t="s">
        <v>48</v>
      </c>
      <c r="X209" t="s">
        <v>761</v>
      </c>
      <c r="Y209" t="s">
        <v>54</v>
      </c>
      <c r="Z209" s="12">
        <f>IF(N209&lt;=1,9,9+0.8*ROUNDUP(N209-1,0))</f>
        <v>9</v>
      </c>
      <c r="AA209" s="11">
        <v>-2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9"/>
        <v>0.42</v>
      </c>
      <c r="AG209" s="11">
        <f t="shared" si="10"/>
        <v>7.42</v>
      </c>
      <c r="AH209" s="11">
        <v>0</v>
      </c>
      <c r="AI209" s="11">
        <f t="shared" si="11"/>
        <v>7.42</v>
      </c>
      <c r="AJ209" t="s">
        <v>62</v>
      </c>
    </row>
    <row r="210" spans="1:36" ht="15" customHeight="1" x14ac:dyDescent="0.35">
      <c r="A210">
        <v>10428918</v>
      </c>
      <c r="B210" t="s">
        <v>36</v>
      </c>
      <c r="C210" t="s">
        <v>37</v>
      </c>
      <c r="D210" s="6" t="s">
        <v>38</v>
      </c>
      <c r="E210" t="s">
        <v>762</v>
      </c>
      <c r="F210" t="s">
        <v>40</v>
      </c>
      <c r="G210" t="s">
        <v>41</v>
      </c>
      <c r="H210" t="s">
        <v>763</v>
      </c>
      <c r="I210" t="s">
        <v>43</v>
      </c>
      <c r="J210">
        <v>2</v>
      </c>
      <c r="K210" t="s">
        <v>44</v>
      </c>
      <c r="L210" t="s">
        <v>45</v>
      </c>
      <c r="M210" t="s">
        <v>46</v>
      </c>
      <c r="N210" s="7">
        <v>1</v>
      </c>
      <c r="O210" s="8">
        <v>45643.438483796293</v>
      </c>
      <c r="P210" s="9">
        <v>45644</v>
      </c>
      <c r="Q210" t="s">
        <v>74</v>
      </c>
      <c r="R210" t="s">
        <v>48</v>
      </c>
      <c r="S210" t="s">
        <v>49</v>
      </c>
      <c r="T210" t="s">
        <v>117</v>
      </c>
      <c r="U210" t="s">
        <v>764</v>
      </c>
      <c r="V210">
        <v>43200</v>
      </c>
      <c r="W210" t="s">
        <v>48</v>
      </c>
      <c r="X210" t="s">
        <v>357</v>
      </c>
      <c r="Y210" t="s">
        <v>54</v>
      </c>
      <c r="Z210" s="12">
        <f>IF(N210&lt;=1,9,9+0.8*ROUNDUP(N210-1,0))</f>
        <v>9</v>
      </c>
      <c r="AA210" s="11">
        <v>-2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9"/>
        <v>0.42</v>
      </c>
      <c r="AG210" s="11">
        <f t="shared" si="10"/>
        <v>7.42</v>
      </c>
      <c r="AH210" s="11">
        <v>0</v>
      </c>
      <c r="AI210" s="11">
        <f t="shared" si="11"/>
        <v>7.42</v>
      </c>
      <c r="AJ210" t="s">
        <v>62</v>
      </c>
    </row>
    <row r="211" spans="1:36" ht="15" customHeight="1" x14ac:dyDescent="0.35">
      <c r="A211">
        <v>10428918</v>
      </c>
      <c r="B211" t="s">
        <v>36</v>
      </c>
      <c r="C211" t="s">
        <v>37</v>
      </c>
      <c r="D211" s="6" t="s">
        <v>38</v>
      </c>
      <c r="E211" t="s">
        <v>765</v>
      </c>
      <c r="F211" t="s">
        <v>40</v>
      </c>
      <c r="G211" t="s">
        <v>41</v>
      </c>
      <c r="H211" t="s">
        <v>766</v>
      </c>
      <c r="I211" t="s">
        <v>43</v>
      </c>
      <c r="J211">
        <v>2</v>
      </c>
      <c r="K211" t="s">
        <v>44</v>
      </c>
      <c r="L211" t="s">
        <v>45</v>
      </c>
      <c r="M211" t="s">
        <v>46</v>
      </c>
      <c r="N211" s="7">
        <v>2</v>
      </c>
      <c r="O211" s="8">
        <v>45641.66883101852</v>
      </c>
      <c r="P211" s="9">
        <v>45644</v>
      </c>
      <c r="Q211" t="s">
        <v>74</v>
      </c>
      <c r="R211" t="s">
        <v>48</v>
      </c>
      <c r="S211" t="s">
        <v>49</v>
      </c>
      <c r="T211" t="s">
        <v>65</v>
      </c>
      <c r="U211" t="s">
        <v>767</v>
      </c>
      <c r="V211">
        <v>75260</v>
      </c>
      <c r="W211" t="s">
        <v>48</v>
      </c>
      <c r="X211" t="s">
        <v>53</v>
      </c>
      <c r="Y211" t="s">
        <v>54</v>
      </c>
      <c r="Z211" s="12">
        <f>IF(N211&lt;=1,9,9+0.8*ROUNDUP(N211-1,0))</f>
        <v>9.8000000000000007</v>
      </c>
      <c r="AA211" s="11">
        <v>-2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9"/>
        <v>0.46800000000000003</v>
      </c>
      <c r="AG211" s="11">
        <f t="shared" si="10"/>
        <v>8.2680000000000007</v>
      </c>
      <c r="AH211" s="11">
        <v>0</v>
      </c>
      <c r="AI211" s="11">
        <f t="shared" si="11"/>
        <v>8.2680000000000007</v>
      </c>
      <c r="AJ211" t="s">
        <v>62</v>
      </c>
    </row>
    <row r="212" spans="1:36" ht="15" customHeight="1" x14ac:dyDescent="0.35">
      <c r="A212">
        <v>10428918</v>
      </c>
      <c r="B212" t="s">
        <v>36</v>
      </c>
      <c r="C212" t="s">
        <v>37</v>
      </c>
      <c r="D212" s="6" t="s">
        <v>38</v>
      </c>
      <c r="E212" t="s">
        <v>768</v>
      </c>
      <c r="F212" t="s">
        <v>40</v>
      </c>
      <c r="G212" t="s">
        <v>41</v>
      </c>
      <c r="H212" t="s">
        <v>769</v>
      </c>
      <c r="I212" t="s">
        <v>43</v>
      </c>
      <c r="J212">
        <v>2</v>
      </c>
      <c r="K212" t="s">
        <v>44</v>
      </c>
      <c r="L212" t="s">
        <v>45</v>
      </c>
      <c r="M212" t="s">
        <v>46</v>
      </c>
      <c r="N212" s="7">
        <v>1</v>
      </c>
      <c r="O212" s="8">
        <v>45641.668819444443</v>
      </c>
      <c r="P212" s="9">
        <v>45644</v>
      </c>
      <c r="Q212" t="s">
        <v>74</v>
      </c>
      <c r="R212" t="s">
        <v>48</v>
      </c>
      <c r="S212" t="s">
        <v>49</v>
      </c>
      <c r="T212" t="s">
        <v>69</v>
      </c>
      <c r="U212" t="s">
        <v>770</v>
      </c>
      <c r="V212">
        <v>81300</v>
      </c>
      <c r="W212" t="s">
        <v>48</v>
      </c>
      <c r="X212" t="s">
        <v>771</v>
      </c>
      <c r="Y212" t="s">
        <v>54</v>
      </c>
      <c r="Z212" s="12">
        <f>IF(N212&lt;=1,9,9+0.8*ROUNDUP(N212-1,0))</f>
        <v>9</v>
      </c>
      <c r="AA212" s="11">
        <v>-2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9"/>
        <v>0.42</v>
      </c>
      <c r="AG212" s="11">
        <f t="shared" si="10"/>
        <v>7.42</v>
      </c>
      <c r="AH212" s="11">
        <v>0</v>
      </c>
      <c r="AI212" s="11">
        <f t="shared" si="11"/>
        <v>7.42</v>
      </c>
      <c r="AJ212" t="s">
        <v>62</v>
      </c>
    </row>
    <row r="213" spans="1:36" ht="15" customHeight="1" x14ac:dyDescent="0.35">
      <c r="A213">
        <v>10428918</v>
      </c>
      <c r="B213" t="s">
        <v>36</v>
      </c>
      <c r="C213" t="s">
        <v>37</v>
      </c>
      <c r="D213" s="6" t="s">
        <v>38</v>
      </c>
      <c r="E213" t="s">
        <v>772</v>
      </c>
      <c r="F213" t="s">
        <v>40</v>
      </c>
      <c r="G213" t="s">
        <v>41</v>
      </c>
      <c r="H213" t="s">
        <v>773</v>
      </c>
      <c r="I213" t="s">
        <v>43</v>
      </c>
      <c r="J213">
        <v>2</v>
      </c>
      <c r="K213" t="s">
        <v>44</v>
      </c>
      <c r="L213" t="s">
        <v>45</v>
      </c>
      <c r="M213" t="s">
        <v>46</v>
      </c>
      <c r="N213" s="7">
        <v>1</v>
      </c>
      <c r="O213" s="8">
        <v>45642.470613425925</v>
      </c>
      <c r="P213" s="9">
        <v>45644</v>
      </c>
      <c r="Q213" t="s">
        <v>74</v>
      </c>
      <c r="R213" t="s">
        <v>48</v>
      </c>
      <c r="S213" t="s">
        <v>49</v>
      </c>
      <c r="T213" t="s">
        <v>65</v>
      </c>
      <c r="U213" t="s">
        <v>774</v>
      </c>
      <c r="V213">
        <v>75250</v>
      </c>
      <c r="W213" t="s">
        <v>48</v>
      </c>
      <c r="X213" t="s">
        <v>53</v>
      </c>
      <c r="Y213" t="s">
        <v>54</v>
      </c>
      <c r="Z213" s="12">
        <f>IF(N213&lt;=1,9,9+0.8*ROUNDUP(N213-1,0))</f>
        <v>9</v>
      </c>
      <c r="AA213" s="11">
        <v>-2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9"/>
        <v>0.42</v>
      </c>
      <c r="AG213" s="11">
        <f t="shared" si="10"/>
        <v>7.42</v>
      </c>
      <c r="AH213" s="11">
        <v>0</v>
      </c>
      <c r="AI213" s="11">
        <f t="shared" si="11"/>
        <v>7.42</v>
      </c>
      <c r="AJ213" t="s">
        <v>62</v>
      </c>
    </row>
    <row r="214" spans="1:36" ht="15" customHeight="1" x14ac:dyDescent="0.35">
      <c r="A214">
        <v>10428918</v>
      </c>
      <c r="B214" t="s">
        <v>36</v>
      </c>
      <c r="C214" t="s">
        <v>37</v>
      </c>
      <c r="D214" s="6" t="s">
        <v>38</v>
      </c>
      <c r="E214" t="s">
        <v>775</v>
      </c>
      <c r="F214" t="s">
        <v>40</v>
      </c>
      <c r="G214" t="s">
        <v>41</v>
      </c>
      <c r="H214" t="s">
        <v>776</v>
      </c>
      <c r="I214" t="s">
        <v>43</v>
      </c>
      <c r="J214">
        <v>2</v>
      </c>
      <c r="K214" t="s">
        <v>44</v>
      </c>
      <c r="L214" t="s">
        <v>45</v>
      </c>
      <c r="M214" t="s">
        <v>46</v>
      </c>
      <c r="N214" s="7">
        <v>1</v>
      </c>
      <c r="O214" s="8">
        <v>45642.796122685184</v>
      </c>
      <c r="P214" s="9">
        <v>45644</v>
      </c>
      <c r="Q214" t="s">
        <v>74</v>
      </c>
      <c r="R214" t="s">
        <v>48</v>
      </c>
      <c r="S214" t="s">
        <v>49</v>
      </c>
      <c r="T214" t="s">
        <v>59</v>
      </c>
      <c r="U214" t="s">
        <v>777</v>
      </c>
      <c r="V214">
        <v>18300</v>
      </c>
      <c r="W214" t="s">
        <v>48</v>
      </c>
      <c r="X214" t="s">
        <v>77</v>
      </c>
      <c r="Y214" t="s">
        <v>54</v>
      </c>
      <c r="Z214" s="12">
        <f>IF(N214&lt;=1,9,9+0.8*ROUNDUP(N214-1,0))</f>
        <v>9</v>
      </c>
      <c r="AA214" s="11">
        <v>-2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9"/>
        <v>0.42</v>
      </c>
      <c r="AG214" s="11">
        <f t="shared" si="10"/>
        <v>7.42</v>
      </c>
      <c r="AH214" s="11">
        <v>0</v>
      </c>
      <c r="AI214" s="11">
        <f t="shared" si="11"/>
        <v>7.42</v>
      </c>
      <c r="AJ214" t="s">
        <v>62</v>
      </c>
    </row>
    <row r="215" spans="1:36" ht="15" customHeight="1" x14ac:dyDescent="0.35">
      <c r="A215">
        <v>10428918</v>
      </c>
      <c r="B215" t="s">
        <v>36</v>
      </c>
      <c r="C215" t="s">
        <v>37</v>
      </c>
      <c r="D215" s="6" t="s">
        <v>38</v>
      </c>
      <c r="E215" t="s">
        <v>778</v>
      </c>
      <c r="F215" t="s">
        <v>40</v>
      </c>
      <c r="G215" t="s">
        <v>41</v>
      </c>
      <c r="H215" t="s">
        <v>779</v>
      </c>
      <c r="I215" t="s">
        <v>43</v>
      </c>
      <c r="J215">
        <v>2</v>
      </c>
      <c r="K215" t="s">
        <v>44</v>
      </c>
      <c r="L215" t="s">
        <v>45</v>
      </c>
      <c r="M215" t="s">
        <v>46</v>
      </c>
      <c r="N215" s="7">
        <v>1</v>
      </c>
      <c r="O215" s="8">
        <v>45642.796122685184</v>
      </c>
      <c r="P215" s="9">
        <v>45644</v>
      </c>
      <c r="Q215" t="s">
        <v>74</v>
      </c>
      <c r="R215" t="s">
        <v>48</v>
      </c>
      <c r="S215" t="s">
        <v>49</v>
      </c>
      <c r="T215" t="s">
        <v>59</v>
      </c>
      <c r="U215" t="s">
        <v>780</v>
      </c>
      <c r="V215">
        <v>17020</v>
      </c>
      <c r="W215" t="s">
        <v>48</v>
      </c>
      <c r="X215" t="s">
        <v>77</v>
      </c>
      <c r="Y215" t="s">
        <v>54</v>
      </c>
      <c r="Z215" s="12">
        <f>IF(N215&lt;=1,9,9+0.8*ROUNDUP(N215-1,0))</f>
        <v>9</v>
      </c>
      <c r="AA215" s="11">
        <v>-2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9"/>
        <v>0.42</v>
      </c>
      <c r="AG215" s="11">
        <f t="shared" si="10"/>
        <v>7.42</v>
      </c>
      <c r="AH215" s="11">
        <v>0</v>
      </c>
      <c r="AI215" s="11">
        <f t="shared" si="11"/>
        <v>7.42</v>
      </c>
      <c r="AJ215" t="s">
        <v>62</v>
      </c>
    </row>
    <row r="216" spans="1:36" ht="15" customHeight="1" x14ac:dyDescent="0.35">
      <c r="A216">
        <v>10428918</v>
      </c>
      <c r="B216" t="s">
        <v>36</v>
      </c>
      <c r="C216" t="s">
        <v>37</v>
      </c>
      <c r="D216" s="6" t="s">
        <v>38</v>
      </c>
      <c r="E216" t="s">
        <v>781</v>
      </c>
      <c r="F216" t="s">
        <v>40</v>
      </c>
      <c r="G216" t="s">
        <v>41</v>
      </c>
      <c r="H216" t="s">
        <v>782</v>
      </c>
      <c r="I216" t="s">
        <v>43</v>
      </c>
      <c r="J216">
        <v>2</v>
      </c>
      <c r="K216" t="s">
        <v>44</v>
      </c>
      <c r="L216" t="s">
        <v>45</v>
      </c>
      <c r="M216" t="s">
        <v>46</v>
      </c>
      <c r="N216" s="7">
        <v>5</v>
      </c>
      <c r="O216" s="8">
        <v>45643.602314814816</v>
      </c>
      <c r="P216" s="9">
        <v>45644</v>
      </c>
      <c r="Q216" t="s">
        <v>74</v>
      </c>
      <c r="R216" t="s">
        <v>48</v>
      </c>
      <c r="S216" t="s">
        <v>49</v>
      </c>
      <c r="T216" t="s">
        <v>90</v>
      </c>
      <c r="U216" t="s">
        <v>783</v>
      </c>
      <c r="V216">
        <v>22100</v>
      </c>
      <c r="W216" t="s">
        <v>48</v>
      </c>
      <c r="X216" t="s">
        <v>425</v>
      </c>
      <c r="Y216" t="s">
        <v>54</v>
      </c>
      <c r="Z216" s="12">
        <f>IF(N216&lt;=1,9,9+0.8*ROUNDUP(N216-1,0))</f>
        <v>12.2</v>
      </c>
      <c r="AA216" s="11">
        <v>-2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9"/>
        <v>0.61199999999999999</v>
      </c>
      <c r="AG216" s="11">
        <f t="shared" si="10"/>
        <v>10.811999999999999</v>
      </c>
      <c r="AH216" s="11">
        <v>0</v>
      </c>
      <c r="AI216" s="11">
        <f t="shared" si="11"/>
        <v>10.811999999999999</v>
      </c>
      <c r="AJ216" t="s">
        <v>62</v>
      </c>
    </row>
    <row r="217" spans="1:36" ht="15" customHeight="1" x14ac:dyDescent="0.35">
      <c r="A217">
        <v>10428918</v>
      </c>
      <c r="B217" t="s">
        <v>36</v>
      </c>
      <c r="C217" t="s">
        <v>37</v>
      </c>
      <c r="D217" s="6" t="s">
        <v>38</v>
      </c>
      <c r="E217" t="s">
        <v>784</v>
      </c>
      <c r="F217" t="s">
        <v>40</v>
      </c>
      <c r="G217" t="s">
        <v>41</v>
      </c>
      <c r="H217" t="s">
        <v>785</v>
      </c>
      <c r="I217" t="s">
        <v>43</v>
      </c>
      <c r="J217">
        <v>2</v>
      </c>
      <c r="K217" t="s">
        <v>44</v>
      </c>
      <c r="L217" t="s">
        <v>45</v>
      </c>
      <c r="M217" t="s">
        <v>46</v>
      </c>
      <c r="N217" s="7">
        <v>1</v>
      </c>
      <c r="O217" s="8">
        <v>45642.796122685184</v>
      </c>
      <c r="P217" s="9">
        <v>45644</v>
      </c>
      <c r="Q217" t="s">
        <v>74</v>
      </c>
      <c r="R217" t="s">
        <v>48</v>
      </c>
      <c r="S217" t="s">
        <v>49</v>
      </c>
      <c r="T217" t="s">
        <v>117</v>
      </c>
      <c r="U217" t="s">
        <v>786</v>
      </c>
      <c r="V217">
        <v>45500</v>
      </c>
      <c r="W217" t="s">
        <v>48</v>
      </c>
      <c r="X217" t="s">
        <v>258</v>
      </c>
      <c r="Y217" t="s">
        <v>54</v>
      </c>
      <c r="Z217" s="12">
        <f>IF(N217&lt;=1,9,9+0.8*ROUNDUP(N217-1,0))</f>
        <v>9</v>
      </c>
      <c r="AA217" s="11">
        <v>-2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9"/>
        <v>0.42</v>
      </c>
      <c r="AG217" s="11">
        <f t="shared" si="10"/>
        <v>7.42</v>
      </c>
      <c r="AH217" s="11">
        <v>0</v>
      </c>
      <c r="AI217" s="11">
        <f t="shared" si="11"/>
        <v>7.42</v>
      </c>
      <c r="AJ217" t="s">
        <v>62</v>
      </c>
    </row>
    <row r="218" spans="1:36" ht="15" customHeight="1" x14ac:dyDescent="0.35">
      <c r="A218">
        <v>10428918</v>
      </c>
      <c r="B218" t="s">
        <v>36</v>
      </c>
      <c r="C218" t="s">
        <v>37</v>
      </c>
      <c r="D218" s="6" t="s">
        <v>38</v>
      </c>
      <c r="E218" t="s">
        <v>787</v>
      </c>
      <c r="F218" t="s">
        <v>40</v>
      </c>
      <c r="G218" t="s">
        <v>41</v>
      </c>
      <c r="H218" t="s">
        <v>788</v>
      </c>
      <c r="I218" t="s">
        <v>43</v>
      </c>
      <c r="J218">
        <v>2</v>
      </c>
      <c r="K218" t="s">
        <v>44</v>
      </c>
      <c r="L218" t="s">
        <v>45</v>
      </c>
      <c r="M218" t="s">
        <v>46</v>
      </c>
      <c r="N218" s="7">
        <v>1</v>
      </c>
      <c r="O218" s="8">
        <v>45643.547685185185</v>
      </c>
      <c r="P218" s="9">
        <v>45644</v>
      </c>
      <c r="Q218" t="s">
        <v>74</v>
      </c>
      <c r="R218" t="s">
        <v>48</v>
      </c>
      <c r="S218" t="s">
        <v>49</v>
      </c>
      <c r="T218" t="s">
        <v>170</v>
      </c>
      <c r="U218" t="s">
        <v>789</v>
      </c>
      <c r="V218">
        <v>57100</v>
      </c>
      <c r="W218" t="s">
        <v>48</v>
      </c>
      <c r="X218" t="s">
        <v>790</v>
      </c>
      <c r="Y218" t="s">
        <v>54</v>
      </c>
      <c r="Z218" s="12">
        <f>IF(N218&lt;=1,9,9+0.8*ROUNDUP(N218-1,0))</f>
        <v>9</v>
      </c>
      <c r="AA218" s="11">
        <v>-2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9"/>
        <v>0.42</v>
      </c>
      <c r="AG218" s="11">
        <f t="shared" si="10"/>
        <v>7.42</v>
      </c>
      <c r="AH218" s="11">
        <v>0</v>
      </c>
      <c r="AI218" s="11">
        <f t="shared" si="11"/>
        <v>7.42</v>
      </c>
      <c r="AJ218" t="s">
        <v>62</v>
      </c>
    </row>
    <row r="219" spans="1:36" ht="15" customHeight="1" x14ac:dyDescent="0.35">
      <c r="A219">
        <v>10428918</v>
      </c>
      <c r="B219" t="s">
        <v>36</v>
      </c>
      <c r="C219" t="s">
        <v>37</v>
      </c>
      <c r="D219" s="6" t="s">
        <v>38</v>
      </c>
      <c r="E219" t="s">
        <v>791</v>
      </c>
      <c r="F219" t="s">
        <v>40</v>
      </c>
      <c r="G219" t="s">
        <v>41</v>
      </c>
      <c r="H219" t="s">
        <v>792</v>
      </c>
      <c r="I219" t="s">
        <v>43</v>
      </c>
      <c r="J219">
        <v>2</v>
      </c>
      <c r="K219" t="s">
        <v>44</v>
      </c>
      <c r="L219" t="s">
        <v>45</v>
      </c>
      <c r="M219" t="s">
        <v>46</v>
      </c>
      <c r="N219" s="7">
        <v>1</v>
      </c>
      <c r="O219" s="8">
        <v>45642.832812499997</v>
      </c>
      <c r="P219" s="9">
        <v>45644</v>
      </c>
      <c r="Q219" t="s">
        <v>74</v>
      </c>
      <c r="R219" t="s">
        <v>48</v>
      </c>
      <c r="S219" t="s">
        <v>49</v>
      </c>
      <c r="T219" t="s">
        <v>117</v>
      </c>
      <c r="U219" t="s">
        <v>793</v>
      </c>
      <c r="V219">
        <v>43650</v>
      </c>
      <c r="W219" t="s">
        <v>48</v>
      </c>
      <c r="X219" t="s">
        <v>191</v>
      </c>
      <c r="Y219" t="s">
        <v>54</v>
      </c>
      <c r="Z219" s="12">
        <f>IF(N219&lt;=1,9,9+0.8*ROUNDUP(N219-1,0))</f>
        <v>9</v>
      </c>
      <c r="AA219" s="11">
        <v>-2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9"/>
        <v>0.42</v>
      </c>
      <c r="AG219" s="11">
        <f t="shared" si="10"/>
        <v>7.42</v>
      </c>
      <c r="AH219" s="11">
        <v>0</v>
      </c>
      <c r="AI219" s="11">
        <f t="shared" si="11"/>
        <v>7.42</v>
      </c>
      <c r="AJ219" t="s">
        <v>62</v>
      </c>
    </row>
    <row r="220" spans="1:36" ht="15" customHeight="1" x14ac:dyDescent="0.35">
      <c r="A220">
        <v>10428918</v>
      </c>
      <c r="B220" t="s">
        <v>36</v>
      </c>
      <c r="C220" t="s">
        <v>37</v>
      </c>
      <c r="D220" s="6" t="s">
        <v>38</v>
      </c>
      <c r="E220" t="s">
        <v>794</v>
      </c>
      <c r="F220" t="s">
        <v>40</v>
      </c>
      <c r="G220" t="s">
        <v>41</v>
      </c>
      <c r="H220" t="s">
        <v>795</v>
      </c>
      <c r="I220" t="s">
        <v>43</v>
      </c>
      <c r="J220">
        <v>2</v>
      </c>
      <c r="K220" t="s">
        <v>44</v>
      </c>
      <c r="L220" t="s">
        <v>45</v>
      </c>
      <c r="M220" t="s">
        <v>46</v>
      </c>
      <c r="N220" s="7">
        <v>2</v>
      </c>
      <c r="O220" s="8">
        <v>45642.66165509259</v>
      </c>
      <c r="P220" s="9">
        <v>45644</v>
      </c>
      <c r="Q220" t="s">
        <v>74</v>
      </c>
      <c r="R220" t="s">
        <v>48</v>
      </c>
      <c r="S220" t="s">
        <v>49</v>
      </c>
      <c r="T220" t="s">
        <v>101</v>
      </c>
      <c r="U220" t="s">
        <v>796</v>
      </c>
      <c r="V220">
        <v>33700</v>
      </c>
      <c r="W220" t="s">
        <v>48</v>
      </c>
      <c r="X220" t="s">
        <v>103</v>
      </c>
      <c r="Y220" t="s">
        <v>54</v>
      </c>
      <c r="Z220" s="12">
        <f>IF(N220&lt;=1,9,9+0.8*ROUNDUP(N220-1,0))</f>
        <v>9.8000000000000007</v>
      </c>
      <c r="AA220" s="11">
        <v>-2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9"/>
        <v>0.46800000000000003</v>
      </c>
      <c r="AG220" s="11">
        <f t="shared" si="10"/>
        <v>8.2680000000000007</v>
      </c>
      <c r="AH220" s="11">
        <v>0</v>
      </c>
      <c r="AI220" s="11">
        <f t="shared" si="11"/>
        <v>8.2680000000000007</v>
      </c>
      <c r="AJ220" t="s">
        <v>62</v>
      </c>
    </row>
    <row r="221" spans="1:36" ht="15" customHeight="1" x14ac:dyDescent="0.35">
      <c r="A221">
        <v>10428918</v>
      </c>
      <c r="B221" t="s">
        <v>36</v>
      </c>
      <c r="C221" t="s">
        <v>37</v>
      </c>
      <c r="D221" s="6" t="s">
        <v>38</v>
      </c>
      <c r="E221" t="s">
        <v>797</v>
      </c>
      <c r="F221" t="s">
        <v>40</v>
      </c>
      <c r="G221" t="s">
        <v>41</v>
      </c>
      <c r="H221" t="s">
        <v>798</v>
      </c>
      <c r="I221" t="s">
        <v>43</v>
      </c>
      <c r="J221">
        <v>2</v>
      </c>
      <c r="K221" t="s">
        <v>44</v>
      </c>
      <c r="L221" t="s">
        <v>45</v>
      </c>
      <c r="M221" t="s">
        <v>46</v>
      </c>
      <c r="N221" s="7">
        <v>2</v>
      </c>
      <c r="O221" s="8">
        <v>45641.50922453704</v>
      </c>
      <c r="P221" s="9">
        <v>45644</v>
      </c>
      <c r="Q221" t="s">
        <v>74</v>
      </c>
      <c r="R221" t="s">
        <v>48</v>
      </c>
      <c r="S221" t="s">
        <v>49</v>
      </c>
      <c r="T221" t="s">
        <v>80</v>
      </c>
      <c r="U221" t="s">
        <v>799</v>
      </c>
      <c r="V221">
        <v>6000</v>
      </c>
      <c r="W221" t="s">
        <v>48</v>
      </c>
      <c r="X221" t="s">
        <v>522</v>
      </c>
      <c r="Y221" t="s">
        <v>54</v>
      </c>
      <c r="Z221" s="12">
        <f>IF(N221&lt;=1,9,9+0.8*ROUNDUP(N221-1,0))</f>
        <v>9.8000000000000007</v>
      </c>
      <c r="AA221" s="11">
        <v>-2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9"/>
        <v>0.46800000000000003</v>
      </c>
      <c r="AG221" s="11">
        <f t="shared" si="10"/>
        <v>8.2680000000000007</v>
      </c>
      <c r="AH221" s="11">
        <v>0</v>
      </c>
      <c r="AI221" s="11">
        <f t="shared" si="11"/>
        <v>8.2680000000000007</v>
      </c>
      <c r="AJ221" t="s">
        <v>62</v>
      </c>
    </row>
    <row r="222" spans="1:36" ht="15" customHeight="1" x14ac:dyDescent="0.35">
      <c r="A222">
        <v>10428918</v>
      </c>
      <c r="B222" t="s">
        <v>36</v>
      </c>
      <c r="C222" t="s">
        <v>37</v>
      </c>
      <c r="D222" s="6" t="s">
        <v>38</v>
      </c>
      <c r="E222" t="s">
        <v>800</v>
      </c>
      <c r="F222" t="s">
        <v>40</v>
      </c>
      <c r="G222" t="s">
        <v>41</v>
      </c>
      <c r="H222" t="s">
        <v>801</v>
      </c>
      <c r="I222" t="s">
        <v>43</v>
      </c>
      <c r="J222">
        <v>2</v>
      </c>
      <c r="K222" t="s">
        <v>44</v>
      </c>
      <c r="L222" t="s">
        <v>45</v>
      </c>
      <c r="M222" t="s">
        <v>46</v>
      </c>
      <c r="N222" s="7">
        <v>2</v>
      </c>
      <c r="O222" s="8">
        <v>45642.66165509259</v>
      </c>
      <c r="P222" s="9">
        <v>45644</v>
      </c>
      <c r="Q222" t="s">
        <v>74</v>
      </c>
      <c r="R222" t="s">
        <v>48</v>
      </c>
      <c r="S222" t="s">
        <v>49</v>
      </c>
      <c r="T222" t="s">
        <v>101</v>
      </c>
      <c r="U222" t="s">
        <v>802</v>
      </c>
      <c r="V222">
        <v>31900</v>
      </c>
      <c r="W222" t="s">
        <v>48</v>
      </c>
      <c r="X222" t="s">
        <v>53</v>
      </c>
      <c r="Y222" t="s">
        <v>54</v>
      </c>
      <c r="Z222" s="12">
        <f>IF(N222&lt;=1,9,9+0.8*ROUNDUP(N222-1,0))</f>
        <v>9.8000000000000007</v>
      </c>
      <c r="AA222" s="11">
        <v>-2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9"/>
        <v>0.46800000000000003</v>
      </c>
      <c r="AG222" s="11">
        <f t="shared" si="10"/>
        <v>8.2680000000000007</v>
      </c>
      <c r="AH222" s="11">
        <v>0</v>
      </c>
      <c r="AI222" s="11">
        <f t="shared" si="11"/>
        <v>8.2680000000000007</v>
      </c>
      <c r="AJ222" t="s">
        <v>62</v>
      </c>
    </row>
    <row r="223" spans="1:36" ht="15" customHeight="1" x14ac:dyDescent="0.35">
      <c r="A223">
        <v>10428918</v>
      </c>
      <c r="B223" t="s">
        <v>36</v>
      </c>
      <c r="C223" t="s">
        <v>37</v>
      </c>
      <c r="D223" s="6" t="s">
        <v>38</v>
      </c>
      <c r="E223" t="s">
        <v>803</v>
      </c>
      <c r="F223" t="s">
        <v>40</v>
      </c>
      <c r="G223" t="s">
        <v>41</v>
      </c>
      <c r="H223" t="s">
        <v>804</v>
      </c>
      <c r="I223" t="s">
        <v>43</v>
      </c>
      <c r="J223">
        <v>2</v>
      </c>
      <c r="K223" t="s">
        <v>44</v>
      </c>
      <c r="L223" t="s">
        <v>45</v>
      </c>
      <c r="M223" t="s">
        <v>46</v>
      </c>
      <c r="N223" s="7">
        <v>1</v>
      </c>
      <c r="O223" s="8">
        <v>45642.572789351849</v>
      </c>
      <c r="P223" s="9">
        <v>45644</v>
      </c>
      <c r="Q223" t="s">
        <v>74</v>
      </c>
      <c r="R223" t="s">
        <v>48</v>
      </c>
      <c r="S223" t="s">
        <v>49</v>
      </c>
      <c r="T223" t="s">
        <v>101</v>
      </c>
      <c r="U223" t="s">
        <v>805</v>
      </c>
      <c r="V223">
        <v>34600</v>
      </c>
      <c r="W223" t="s">
        <v>48</v>
      </c>
      <c r="X223" t="s">
        <v>53</v>
      </c>
      <c r="Y223" t="s">
        <v>54</v>
      </c>
      <c r="Z223" s="12">
        <f>IF(N223&lt;=1,9,9+0.8*ROUNDUP(N223-1,0))</f>
        <v>9</v>
      </c>
      <c r="AA223" s="11">
        <v>-2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9"/>
        <v>0.42</v>
      </c>
      <c r="AG223" s="11">
        <f t="shared" si="10"/>
        <v>7.42</v>
      </c>
      <c r="AH223" s="11">
        <v>0</v>
      </c>
      <c r="AI223" s="11">
        <f t="shared" si="11"/>
        <v>7.42</v>
      </c>
      <c r="AJ223" t="s">
        <v>62</v>
      </c>
    </row>
    <row r="224" spans="1:36" ht="15" customHeight="1" x14ac:dyDescent="0.35">
      <c r="A224">
        <v>10428918</v>
      </c>
      <c r="B224" t="s">
        <v>36</v>
      </c>
      <c r="C224" t="s">
        <v>37</v>
      </c>
      <c r="D224" s="6" t="s">
        <v>38</v>
      </c>
      <c r="E224" t="s">
        <v>806</v>
      </c>
      <c r="F224" t="s">
        <v>40</v>
      </c>
      <c r="G224" t="s">
        <v>41</v>
      </c>
      <c r="H224" t="s">
        <v>807</v>
      </c>
      <c r="I224" t="s">
        <v>43</v>
      </c>
      <c r="J224">
        <v>2</v>
      </c>
      <c r="K224" t="s">
        <v>44</v>
      </c>
      <c r="L224" t="s">
        <v>45</v>
      </c>
      <c r="M224" t="s">
        <v>46</v>
      </c>
      <c r="N224" s="7">
        <v>1</v>
      </c>
      <c r="O224" s="8">
        <v>45642.661643518521</v>
      </c>
      <c r="P224" s="9">
        <v>45644</v>
      </c>
      <c r="Q224" t="s">
        <v>74</v>
      </c>
      <c r="R224" t="s">
        <v>48</v>
      </c>
      <c r="S224" t="s">
        <v>49</v>
      </c>
      <c r="T224" t="s">
        <v>101</v>
      </c>
      <c r="U224" t="s">
        <v>808</v>
      </c>
      <c r="V224">
        <v>32800</v>
      </c>
      <c r="W224" t="s">
        <v>48</v>
      </c>
      <c r="X224" t="s">
        <v>754</v>
      </c>
      <c r="Y224" t="s">
        <v>54</v>
      </c>
      <c r="Z224" s="12">
        <f>IF(N224&lt;=1,9,9+0.8*ROUNDUP(N224-1,0))</f>
        <v>9</v>
      </c>
      <c r="AA224" s="11">
        <v>-2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9"/>
        <v>0.42</v>
      </c>
      <c r="AG224" s="11">
        <f t="shared" si="10"/>
        <v>7.42</v>
      </c>
      <c r="AH224" s="11">
        <v>0</v>
      </c>
      <c r="AI224" s="11">
        <f t="shared" si="11"/>
        <v>7.42</v>
      </c>
      <c r="AJ224" t="s">
        <v>62</v>
      </c>
    </row>
    <row r="225" spans="1:36" ht="15" customHeight="1" x14ac:dyDescent="0.35">
      <c r="A225">
        <v>10428918</v>
      </c>
      <c r="B225" t="s">
        <v>36</v>
      </c>
      <c r="C225" t="s">
        <v>37</v>
      </c>
      <c r="D225" s="6" t="s">
        <v>38</v>
      </c>
      <c r="E225" t="s">
        <v>809</v>
      </c>
      <c r="F225" t="s">
        <v>40</v>
      </c>
      <c r="G225" t="s">
        <v>41</v>
      </c>
      <c r="H225" t="s">
        <v>810</v>
      </c>
      <c r="I225" t="s">
        <v>43</v>
      </c>
      <c r="J225">
        <v>2</v>
      </c>
      <c r="K225" t="s">
        <v>44</v>
      </c>
      <c r="L225" t="s">
        <v>45</v>
      </c>
      <c r="M225" t="s">
        <v>46</v>
      </c>
      <c r="N225" s="7">
        <v>1</v>
      </c>
      <c r="O225" s="8">
        <v>45642.724166666667</v>
      </c>
      <c r="P225" s="9">
        <v>45644</v>
      </c>
      <c r="Q225" t="s">
        <v>74</v>
      </c>
      <c r="R225" t="s">
        <v>48</v>
      </c>
      <c r="S225" t="s">
        <v>49</v>
      </c>
      <c r="T225" t="s">
        <v>161</v>
      </c>
      <c r="U225" t="s">
        <v>811</v>
      </c>
      <c r="V225">
        <v>13200</v>
      </c>
      <c r="W225" t="s">
        <v>48</v>
      </c>
      <c r="X225" t="s">
        <v>812</v>
      </c>
      <c r="Y225" t="s">
        <v>54</v>
      </c>
      <c r="Z225" s="12">
        <f>IF(N225&lt;=1,9,9+0.8*ROUNDUP(N225-1,0))</f>
        <v>9</v>
      </c>
      <c r="AA225" s="11">
        <v>-2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9"/>
        <v>0.42</v>
      </c>
      <c r="AG225" s="11">
        <f t="shared" si="10"/>
        <v>7.42</v>
      </c>
      <c r="AH225" s="11">
        <v>0</v>
      </c>
      <c r="AI225" s="11">
        <f t="shared" si="11"/>
        <v>7.42</v>
      </c>
      <c r="AJ225" t="s">
        <v>62</v>
      </c>
    </row>
    <row r="226" spans="1:36" ht="15" customHeight="1" x14ac:dyDescent="0.35">
      <c r="A226">
        <v>10428918</v>
      </c>
      <c r="B226" t="s">
        <v>36</v>
      </c>
      <c r="C226" t="s">
        <v>37</v>
      </c>
      <c r="D226" s="6" t="s">
        <v>38</v>
      </c>
      <c r="E226" t="s">
        <v>813</v>
      </c>
      <c r="F226" t="s">
        <v>40</v>
      </c>
      <c r="G226" t="s">
        <v>41</v>
      </c>
      <c r="H226" t="s">
        <v>589</v>
      </c>
      <c r="I226" t="s">
        <v>43</v>
      </c>
      <c r="J226">
        <v>2</v>
      </c>
      <c r="K226" t="s">
        <v>44</v>
      </c>
      <c r="L226" t="s">
        <v>45</v>
      </c>
      <c r="M226" t="s">
        <v>46</v>
      </c>
      <c r="N226" s="7">
        <v>1</v>
      </c>
      <c r="O226" s="8">
        <v>45643.547685185185</v>
      </c>
      <c r="P226" s="9">
        <v>45644</v>
      </c>
      <c r="Q226" t="s">
        <v>74</v>
      </c>
      <c r="R226" t="s">
        <v>48</v>
      </c>
      <c r="S226" t="s">
        <v>49</v>
      </c>
      <c r="T226" t="s">
        <v>117</v>
      </c>
      <c r="U226" t="s">
        <v>590</v>
      </c>
      <c r="V226">
        <v>42000</v>
      </c>
      <c r="W226" t="s">
        <v>48</v>
      </c>
      <c r="X226" t="s">
        <v>591</v>
      </c>
      <c r="Y226" t="s">
        <v>54</v>
      </c>
      <c r="Z226" s="12">
        <f>IF(N226&lt;=1,9,9+0.8*ROUNDUP(N226-1,0))</f>
        <v>9</v>
      </c>
      <c r="AA226" s="11">
        <v>-2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9"/>
        <v>0.42</v>
      </c>
      <c r="AG226" s="11">
        <f t="shared" si="10"/>
        <v>7.42</v>
      </c>
      <c r="AH226" s="11">
        <v>0</v>
      </c>
      <c r="AI226" s="11">
        <f t="shared" si="11"/>
        <v>7.42</v>
      </c>
      <c r="AJ226" t="s">
        <v>62</v>
      </c>
    </row>
    <row r="227" spans="1:36" ht="15" customHeight="1" x14ac:dyDescent="0.35">
      <c r="A227">
        <v>10428918</v>
      </c>
      <c r="B227" t="s">
        <v>36</v>
      </c>
      <c r="C227" t="s">
        <v>37</v>
      </c>
      <c r="D227" s="6" t="s">
        <v>38</v>
      </c>
      <c r="E227" t="s">
        <v>814</v>
      </c>
      <c r="F227" t="s">
        <v>40</v>
      </c>
      <c r="G227" t="s">
        <v>41</v>
      </c>
      <c r="H227" t="s">
        <v>815</v>
      </c>
      <c r="I227" t="s">
        <v>43</v>
      </c>
      <c r="J227">
        <v>2</v>
      </c>
      <c r="K227" t="s">
        <v>44</v>
      </c>
      <c r="L227" t="s">
        <v>45</v>
      </c>
      <c r="M227" t="s">
        <v>46</v>
      </c>
      <c r="N227" s="7">
        <v>1</v>
      </c>
      <c r="O227" s="8">
        <v>45642.796122685184</v>
      </c>
      <c r="P227" s="9">
        <v>45644</v>
      </c>
      <c r="Q227" t="s">
        <v>74</v>
      </c>
      <c r="R227" t="s">
        <v>48</v>
      </c>
      <c r="S227" t="s">
        <v>49</v>
      </c>
      <c r="T227" t="s">
        <v>90</v>
      </c>
      <c r="U227" t="s">
        <v>816</v>
      </c>
      <c r="V227">
        <v>22020</v>
      </c>
      <c r="W227" t="s">
        <v>48</v>
      </c>
      <c r="X227" t="s">
        <v>92</v>
      </c>
      <c r="Y227" t="s">
        <v>54</v>
      </c>
      <c r="Z227" s="12">
        <f>IF(N227&lt;=1,9,9+0.8*ROUNDUP(N227-1,0))</f>
        <v>9</v>
      </c>
      <c r="AA227" s="11">
        <v>-2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9"/>
        <v>0.42</v>
      </c>
      <c r="AG227" s="11">
        <f t="shared" si="10"/>
        <v>7.42</v>
      </c>
      <c r="AH227" s="11">
        <v>0</v>
      </c>
      <c r="AI227" s="11">
        <f t="shared" si="11"/>
        <v>7.42</v>
      </c>
      <c r="AJ227" t="s">
        <v>62</v>
      </c>
    </row>
    <row r="228" spans="1:36" ht="15" customHeight="1" x14ac:dyDescent="0.35">
      <c r="A228">
        <v>10428918</v>
      </c>
      <c r="B228" t="s">
        <v>36</v>
      </c>
      <c r="C228" t="s">
        <v>37</v>
      </c>
      <c r="D228" s="6" t="s">
        <v>38</v>
      </c>
      <c r="E228" t="s">
        <v>817</v>
      </c>
      <c r="F228" t="s">
        <v>40</v>
      </c>
      <c r="G228" t="s">
        <v>41</v>
      </c>
      <c r="H228" t="s">
        <v>818</v>
      </c>
      <c r="I228" t="s">
        <v>43</v>
      </c>
      <c r="J228">
        <v>2</v>
      </c>
      <c r="K228" t="s">
        <v>44</v>
      </c>
      <c r="L228" t="s">
        <v>45</v>
      </c>
      <c r="M228" t="s">
        <v>46</v>
      </c>
      <c r="N228" s="7">
        <v>3</v>
      </c>
      <c r="O228" s="8">
        <v>45641.653622685182</v>
      </c>
      <c r="P228" s="9">
        <v>45644</v>
      </c>
      <c r="Q228" t="s">
        <v>74</v>
      </c>
      <c r="R228" t="s">
        <v>48</v>
      </c>
      <c r="S228" t="s">
        <v>49</v>
      </c>
      <c r="T228" t="s">
        <v>161</v>
      </c>
      <c r="U228" t="s">
        <v>819</v>
      </c>
      <c r="V228">
        <v>11950</v>
      </c>
      <c r="W228" t="s">
        <v>48</v>
      </c>
      <c r="X228" t="s">
        <v>820</v>
      </c>
      <c r="Y228" t="s">
        <v>54</v>
      </c>
      <c r="Z228" s="12">
        <f>IF(N228&lt;=1,9,9+0.8*ROUNDUP(N228-1,0))</f>
        <v>10.6</v>
      </c>
      <c r="AA228" s="11">
        <v>-2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9"/>
        <v>0.51600000000000001</v>
      </c>
      <c r="AG228" s="11">
        <f t="shared" si="10"/>
        <v>9.1159999999999997</v>
      </c>
      <c r="AH228" s="11">
        <v>0</v>
      </c>
      <c r="AI228" s="11">
        <f t="shared" si="11"/>
        <v>9.1159999999999997</v>
      </c>
      <c r="AJ228" t="s">
        <v>62</v>
      </c>
    </row>
    <row r="229" spans="1:36" ht="15" customHeight="1" x14ac:dyDescent="0.35">
      <c r="A229">
        <v>10428918</v>
      </c>
      <c r="B229" t="s">
        <v>36</v>
      </c>
      <c r="C229" t="s">
        <v>37</v>
      </c>
      <c r="D229" s="6" t="s">
        <v>38</v>
      </c>
      <c r="E229" t="s">
        <v>821</v>
      </c>
      <c r="F229" t="s">
        <v>40</v>
      </c>
      <c r="G229" t="s">
        <v>41</v>
      </c>
      <c r="H229" t="s">
        <v>822</v>
      </c>
      <c r="I229" t="s">
        <v>43</v>
      </c>
      <c r="J229">
        <v>2</v>
      </c>
      <c r="K229" t="s">
        <v>44</v>
      </c>
      <c r="L229" t="s">
        <v>45</v>
      </c>
      <c r="M229" t="s">
        <v>46</v>
      </c>
      <c r="N229" s="7">
        <v>1</v>
      </c>
      <c r="O229" s="8">
        <v>45643.477835648147</v>
      </c>
      <c r="P229" s="9">
        <v>45644</v>
      </c>
      <c r="Q229" t="s">
        <v>74</v>
      </c>
      <c r="R229" t="s">
        <v>48</v>
      </c>
      <c r="S229" t="s">
        <v>49</v>
      </c>
      <c r="T229" t="s">
        <v>170</v>
      </c>
      <c r="U229" t="s">
        <v>823</v>
      </c>
      <c r="V229">
        <v>55100</v>
      </c>
      <c r="W229" t="s">
        <v>48</v>
      </c>
      <c r="X229" t="s">
        <v>172</v>
      </c>
      <c r="Y229" t="s">
        <v>54</v>
      </c>
      <c r="Z229" s="12">
        <f>IF(N229&lt;=1,9,9+0.8*ROUNDUP(N229-1,0))</f>
        <v>9</v>
      </c>
      <c r="AA229" s="11">
        <v>-2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9"/>
        <v>0.42</v>
      </c>
      <c r="AG229" s="11">
        <f t="shared" si="10"/>
        <v>7.42</v>
      </c>
      <c r="AH229" s="11">
        <v>0</v>
      </c>
      <c r="AI229" s="11">
        <f t="shared" si="11"/>
        <v>7.42</v>
      </c>
      <c r="AJ229" t="s">
        <v>62</v>
      </c>
    </row>
    <row r="230" spans="1:36" ht="15" customHeight="1" x14ac:dyDescent="0.35">
      <c r="A230">
        <v>10428918</v>
      </c>
      <c r="B230" t="s">
        <v>36</v>
      </c>
      <c r="C230" t="s">
        <v>37</v>
      </c>
      <c r="D230" s="6" t="s">
        <v>38</v>
      </c>
      <c r="E230" t="s">
        <v>824</v>
      </c>
      <c r="F230" t="s">
        <v>40</v>
      </c>
      <c r="G230" t="s">
        <v>41</v>
      </c>
      <c r="H230" t="s">
        <v>825</v>
      </c>
      <c r="I230" t="s">
        <v>43</v>
      </c>
      <c r="J230">
        <v>2</v>
      </c>
      <c r="K230" t="s">
        <v>44</v>
      </c>
      <c r="L230" t="s">
        <v>45</v>
      </c>
      <c r="M230" t="s">
        <v>46</v>
      </c>
      <c r="N230" s="7">
        <v>2</v>
      </c>
      <c r="O230" s="8">
        <v>45641.653611111113</v>
      </c>
      <c r="P230" s="9">
        <v>45644</v>
      </c>
      <c r="Q230" t="s">
        <v>74</v>
      </c>
      <c r="R230" t="s">
        <v>48</v>
      </c>
      <c r="S230" t="s">
        <v>49</v>
      </c>
      <c r="T230" t="s">
        <v>101</v>
      </c>
      <c r="U230" t="s">
        <v>826</v>
      </c>
      <c r="V230">
        <v>34000</v>
      </c>
      <c r="W230" t="s">
        <v>48</v>
      </c>
      <c r="X230" t="s">
        <v>827</v>
      </c>
      <c r="Y230" t="s">
        <v>54</v>
      </c>
      <c r="Z230" s="12">
        <f>IF(N230&lt;=1,9,9+0.8*ROUNDUP(N230-1,0))</f>
        <v>9.8000000000000007</v>
      </c>
      <c r="AA230" s="11">
        <v>-2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9"/>
        <v>0.46800000000000003</v>
      </c>
      <c r="AG230" s="11">
        <f t="shared" si="10"/>
        <v>8.2680000000000007</v>
      </c>
      <c r="AH230" s="11">
        <v>0</v>
      </c>
      <c r="AI230" s="11">
        <f t="shared" si="11"/>
        <v>8.2680000000000007</v>
      </c>
      <c r="AJ230" t="s">
        <v>62</v>
      </c>
    </row>
    <row r="231" spans="1:36" ht="15" customHeight="1" x14ac:dyDescent="0.35">
      <c r="A231">
        <v>10428918</v>
      </c>
      <c r="B231" t="s">
        <v>36</v>
      </c>
      <c r="C231" t="s">
        <v>37</v>
      </c>
      <c r="D231" s="6" t="s">
        <v>38</v>
      </c>
      <c r="E231" t="s">
        <v>828</v>
      </c>
      <c r="F231" t="s">
        <v>40</v>
      </c>
      <c r="G231" t="s">
        <v>41</v>
      </c>
      <c r="H231" t="s">
        <v>829</v>
      </c>
      <c r="I231" t="s">
        <v>43</v>
      </c>
      <c r="J231">
        <v>2</v>
      </c>
      <c r="K231" t="s">
        <v>44</v>
      </c>
      <c r="L231" t="s">
        <v>45</v>
      </c>
      <c r="M231" t="s">
        <v>46</v>
      </c>
      <c r="N231" s="7">
        <v>5</v>
      </c>
      <c r="O231" s="8">
        <v>45643.602314814816</v>
      </c>
      <c r="P231" s="9">
        <v>45644</v>
      </c>
      <c r="Q231" t="s">
        <v>74</v>
      </c>
      <c r="R231" t="s">
        <v>48</v>
      </c>
      <c r="S231" t="s">
        <v>49</v>
      </c>
      <c r="T231" t="s">
        <v>59</v>
      </c>
      <c r="U231" t="s">
        <v>830</v>
      </c>
      <c r="V231">
        <v>18300</v>
      </c>
      <c r="W231" t="s">
        <v>48</v>
      </c>
      <c r="X231" t="s">
        <v>831</v>
      </c>
      <c r="Y231" t="s">
        <v>54</v>
      </c>
      <c r="Z231" s="12">
        <f>IF(N231&lt;=1,9,9+0.8*ROUNDUP(N231-1,0))</f>
        <v>12.2</v>
      </c>
      <c r="AA231" s="11">
        <v>-2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9"/>
        <v>0.61199999999999999</v>
      </c>
      <c r="AG231" s="11">
        <f t="shared" si="10"/>
        <v>10.811999999999999</v>
      </c>
      <c r="AH231" s="11">
        <v>0</v>
      </c>
      <c r="AI231" s="11">
        <f t="shared" si="11"/>
        <v>10.811999999999999</v>
      </c>
      <c r="AJ231" t="s">
        <v>62</v>
      </c>
    </row>
    <row r="232" spans="1:36" ht="15" customHeight="1" x14ac:dyDescent="0.35">
      <c r="A232">
        <v>10428918</v>
      </c>
      <c r="B232" t="s">
        <v>36</v>
      </c>
      <c r="C232" t="s">
        <v>37</v>
      </c>
      <c r="D232" s="6" t="s">
        <v>38</v>
      </c>
      <c r="E232" t="s">
        <v>832</v>
      </c>
      <c r="F232" t="s">
        <v>40</v>
      </c>
      <c r="G232" t="s">
        <v>41</v>
      </c>
      <c r="H232" t="s">
        <v>833</v>
      </c>
      <c r="I232" t="s">
        <v>43</v>
      </c>
      <c r="J232">
        <v>2</v>
      </c>
      <c r="K232" t="s">
        <v>44</v>
      </c>
      <c r="L232" t="s">
        <v>45</v>
      </c>
      <c r="M232" t="s">
        <v>46</v>
      </c>
      <c r="N232" s="7">
        <v>1</v>
      </c>
      <c r="O232" s="8">
        <v>45642.796111111114</v>
      </c>
      <c r="P232" s="9">
        <v>45644</v>
      </c>
      <c r="Q232" t="s">
        <v>74</v>
      </c>
      <c r="R232" t="s">
        <v>48</v>
      </c>
      <c r="S232" t="s">
        <v>49</v>
      </c>
      <c r="T232" t="s">
        <v>59</v>
      </c>
      <c r="U232" t="s">
        <v>834</v>
      </c>
      <c r="V232">
        <v>15150</v>
      </c>
      <c r="W232" t="s">
        <v>48</v>
      </c>
      <c r="X232" t="s">
        <v>77</v>
      </c>
      <c r="Y232" t="s">
        <v>54</v>
      </c>
      <c r="Z232" s="12">
        <f>IF(N232&lt;=1,9,9+0.8*ROUNDUP(N232-1,0))</f>
        <v>9</v>
      </c>
      <c r="AA232" s="11">
        <v>-2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9"/>
        <v>0.42</v>
      </c>
      <c r="AG232" s="11">
        <f t="shared" si="10"/>
        <v>7.42</v>
      </c>
      <c r="AH232" s="11">
        <v>0</v>
      </c>
      <c r="AI232" s="11">
        <f t="shared" si="11"/>
        <v>7.42</v>
      </c>
      <c r="AJ232" t="s">
        <v>62</v>
      </c>
    </row>
    <row r="233" spans="1:36" ht="15" customHeight="1" x14ac:dyDescent="0.35">
      <c r="A233">
        <v>10428918</v>
      </c>
      <c r="B233" t="s">
        <v>36</v>
      </c>
      <c r="C233" t="s">
        <v>37</v>
      </c>
      <c r="D233" s="6" t="s">
        <v>38</v>
      </c>
      <c r="E233" t="s">
        <v>835</v>
      </c>
      <c r="F233" t="s">
        <v>40</v>
      </c>
      <c r="G233" t="s">
        <v>41</v>
      </c>
      <c r="H233" t="s">
        <v>836</v>
      </c>
      <c r="I233" t="s">
        <v>43</v>
      </c>
      <c r="J233">
        <v>2</v>
      </c>
      <c r="K233" t="s">
        <v>44</v>
      </c>
      <c r="L233" t="s">
        <v>45</v>
      </c>
      <c r="M233" t="s">
        <v>46</v>
      </c>
      <c r="N233" s="7">
        <v>2</v>
      </c>
      <c r="O233" s="8">
        <v>45642.66165509259</v>
      </c>
      <c r="P233" s="9">
        <v>45644</v>
      </c>
      <c r="Q233" t="s">
        <v>74</v>
      </c>
      <c r="R233" t="s">
        <v>48</v>
      </c>
      <c r="S233" t="s">
        <v>49</v>
      </c>
      <c r="T233" t="s">
        <v>80</v>
      </c>
      <c r="U233" t="s">
        <v>837</v>
      </c>
      <c r="V233">
        <v>6150</v>
      </c>
      <c r="W233" t="s">
        <v>48</v>
      </c>
      <c r="X233" t="s">
        <v>522</v>
      </c>
      <c r="Y233" t="s">
        <v>54</v>
      </c>
      <c r="Z233" s="12">
        <f>IF(N233&lt;=1,9,9+0.8*ROUNDUP(N233-1,0))</f>
        <v>9.8000000000000007</v>
      </c>
      <c r="AA233" s="11">
        <v>-2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9"/>
        <v>0.46800000000000003</v>
      </c>
      <c r="AG233" s="11">
        <f t="shared" si="10"/>
        <v>8.2680000000000007</v>
      </c>
      <c r="AH233" s="11">
        <v>0</v>
      </c>
      <c r="AI233" s="11">
        <f t="shared" si="11"/>
        <v>8.2680000000000007</v>
      </c>
      <c r="AJ233" t="s">
        <v>62</v>
      </c>
    </row>
    <row r="234" spans="1:36" ht="15" customHeight="1" x14ac:dyDescent="0.35">
      <c r="A234">
        <v>10428918</v>
      </c>
      <c r="B234" t="s">
        <v>36</v>
      </c>
      <c r="C234" t="s">
        <v>37</v>
      </c>
      <c r="D234" s="6" t="s">
        <v>38</v>
      </c>
      <c r="E234" t="s">
        <v>838</v>
      </c>
      <c r="F234" t="s">
        <v>40</v>
      </c>
      <c r="G234" t="s">
        <v>41</v>
      </c>
      <c r="H234" t="s">
        <v>839</v>
      </c>
      <c r="I234" t="s">
        <v>43</v>
      </c>
      <c r="J234">
        <v>2</v>
      </c>
      <c r="K234" t="s">
        <v>44</v>
      </c>
      <c r="L234" t="s">
        <v>45</v>
      </c>
      <c r="M234" t="s">
        <v>46</v>
      </c>
      <c r="N234" s="7">
        <v>1</v>
      </c>
      <c r="O234" s="8">
        <v>45641.6637962963</v>
      </c>
      <c r="P234" s="9">
        <v>45644</v>
      </c>
      <c r="Q234" t="s">
        <v>74</v>
      </c>
      <c r="R234" t="s">
        <v>48</v>
      </c>
      <c r="S234" t="s">
        <v>49</v>
      </c>
      <c r="T234" t="s">
        <v>69</v>
      </c>
      <c r="U234" t="s">
        <v>840</v>
      </c>
      <c r="V234">
        <v>81700</v>
      </c>
      <c r="W234" t="s">
        <v>48</v>
      </c>
      <c r="X234" t="s">
        <v>841</v>
      </c>
      <c r="Y234" t="s">
        <v>54</v>
      </c>
      <c r="Z234" s="12">
        <f>IF(N234&lt;=1,9,9+0.8*ROUNDUP(N234-1,0))</f>
        <v>9</v>
      </c>
      <c r="AA234" s="11">
        <v>-2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9"/>
        <v>0.42</v>
      </c>
      <c r="AG234" s="11">
        <f t="shared" si="10"/>
        <v>7.42</v>
      </c>
      <c r="AH234" s="11">
        <v>0</v>
      </c>
      <c r="AI234" s="11">
        <f t="shared" si="11"/>
        <v>7.42</v>
      </c>
      <c r="AJ234" t="s">
        <v>62</v>
      </c>
    </row>
    <row r="235" spans="1:36" ht="15" customHeight="1" x14ac:dyDescent="0.35">
      <c r="A235">
        <v>10428918</v>
      </c>
      <c r="B235" t="s">
        <v>36</v>
      </c>
      <c r="C235" t="s">
        <v>37</v>
      </c>
      <c r="D235" s="6" t="s">
        <v>38</v>
      </c>
      <c r="E235" t="s">
        <v>842</v>
      </c>
      <c r="F235" t="s">
        <v>40</v>
      </c>
      <c r="G235" t="s">
        <v>41</v>
      </c>
      <c r="H235" t="s">
        <v>843</v>
      </c>
      <c r="I235" t="s">
        <v>43</v>
      </c>
      <c r="J235">
        <v>2</v>
      </c>
      <c r="K235" t="s">
        <v>44</v>
      </c>
      <c r="L235" t="s">
        <v>45</v>
      </c>
      <c r="M235" t="s">
        <v>46</v>
      </c>
      <c r="N235" s="7">
        <v>2</v>
      </c>
      <c r="O235" s="8">
        <v>45642.66165509259</v>
      </c>
      <c r="P235" s="9">
        <v>45644</v>
      </c>
      <c r="Q235" t="s">
        <v>74</v>
      </c>
      <c r="R235" t="s">
        <v>48</v>
      </c>
      <c r="S235" t="s">
        <v>49</v>
      </c>
      <c r="T235" t="s">
        <v>278</v>
      </c>
      <c r="U235" t="s">
        <v>844</v>
      </c>
      <c r="V235">
        <v>93050</v>
      </c>
      <c r="W235" t="s">
        <v>52</v>
      </c>
      <c r="X235" t="s">
        <v>53</v>
      </c>
      <c r="Y235" t="s">
        <v>54</v>
      </c>
      <c r="Z235" s="10">
        <f>IF(N235&lt;=1,13,IF(N235&lt;=2,23,IF(N235&lt;=3,35,IF(N235&lt;=4,43,IF(N235&lt;=5,53,IF(N235&lt;=6,63,IF(N235&lt;=7,71,IF(N235&lt;=8,79,IF(N235&lt;=9,87,IF(N235&lt;=10,95,IF(N235&lt;=11,105,IF(N235&lt;=12,114,IF(N235&lt;=13,119,IF(N235&lt;=14,127,IF(N235&lt;=15,135,IF(N235&lt;=16,143,IF(N235&lt;=17,153,IF(N235&lt;=18,163,IF(N235&lt;=19,171,IF(N235&lt;=20,185,IF(N235&lt;=21,193,IF(N235&lt;=22,201,IF(N235&lt;=23,210,IF(N235&lt;=24,220,IF(N235&lt;=25,230,IF(N235&lt;=26,240,IF(N235&lt;=27,250,IF(N235&lt;=28,260,IF(N235&lt;=29,270,IF(N235&lt;=30,280,280+10*ROUNDUP(N235-30,0)))))))))))))))))))))))))))))))</f>
        <v>23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9"/>
        <v>1.38</v>
      </c>
      <c r="AG235" s="11">
        <f t="shared" si="10"/>
        <v>24.38</v>
      </c>
      <c r="AH235" s="11">
        <v>0</v>
      </c>
      <c r="AI235" s="11">
        <f t="shared" si="11"/>
        <v>24.38</v>
      </c>
      <c r="AJ235" t="s">
        <v>55</v>
      </c>
    </row>
    <row r="236" spans="1:36" ht="15" customHeight="1" x14ac:dyDescent="0.35">
      <c r="A236">
        <v>10428918</v>
      </c>
      <c r="B236" t="s">
        <v>36</v>
      </c>
      <c r="C236" t="s">
        <v>37</v>
      </c>
      <c r="D236" s="6" t="s">
        <v>38</v>
      </c>
      <c r="E236" t="s">
        <v>845</v>
      </c>
      <c r="F236" t="s">
        <v>40</v>
      </c>
      <c r="G236" t="s">
        <v>41</v>
      </c>
      <c r="H236" t="s">
        <v>846</v>
      </c>
      <c r="I236" t="s">
        <v>43</v>
      </c>
      <c r="J236">
        <v>2</v>
      </c>
      <c r="K236" t="s">
        <v>44</v>
      </c>
      <c r="L236" t="s">
        <v>45</v>
      </c>
      <c r="M236" t="s">
        <v>46</v>
      </c>
      <c r="N236" s="7">
        <v>1</v>
      </c>
      <c r="O236" s="8">
        <v>45641.668865740743</v>
      </c>
      <c r="P236" s="9">
        <v>45644</v>
      </c>
      <c r="Q236" t="s">
        <v>74</v>
      </c>
      <c r="R236" t="s">
        <v>48</v>
      </c>
      <c r="S236" t="s">
        <v>49</v>
      </c>
      <c r="T236" t="s">
        <v>59</v>
      </c>
      <c r="U236" t="s">
        <v>847</v>
      </c>
      <c r="V236">
        <v>15350</v>
      </c>
      <c r="W236" t="s">
        <v>48</v>
      </c>
      <c r="X236" t="s">
        <v>61</v>
      </c>
      <c r="Y236" t="s">
        <v>54</v>
      </c>
      <c r="Z236" s="12">
        <f>IF(N236&lt;=1,9,9+0.8*ROUNDUP(N236-1,0))</f>
        <v>9</v>
      </c>
      <c r="AA236" s="11">
        <v>-2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9"/>
        <v>0.42</v>
      </c>
      <c r="AG236" s="11">
        <f t="shared" si="10"/>
        <v>7.42</v>
      </c>
      <c r="AH236" s="11">
        <v>0</v>
      </c>
      <c r="AI236" s="11">
        <f t="shared" si="11"/>
        <v>7.42</v>
      </c>
      <c r="AJ236" t="s">
        <v>62</v>
      </c>
    </row>
    <row r="237" spans="1:36" ht="15" customHeight="1" x14ac:dyDescent="0.35">
      <c r="A237">
        <v>10428918</v>
      </c>
      <c r="B237" t="s">
        <v>36</v>
      </c>
      <c r="C237" t="s">
        <v>37</v>
      </c>
      <c r="D237" s="6" t="s">
        <v>38</v>
      </c>
      <c r="E237" t="s">
        <v>848</v>
      </c>
      <c r="F237" t="s">
        <v>40</v>
      </c>
      <c r="G237" t="s">
        <v>41</v>
      </c>
      <c r="H237" t="s">
        <v>849</v>
      </c>
      <c r="I237" t="s">
        <v>43</v>
      </c>
      <c r="J237">
        <v>2</v>
      </c>
      <c r="K237" t="s">
        <v>44</v>
      </c>
      <c r="L237" t="s">
        <v>45</v>
      </c>
      <c r="M237" t="s">
        <v>46</v>
      </c>
      <c r="N237" s="7">
        <v>4</v>
      </c>
      <c r="O237" s="8">
        <v>45642.596493055556</v>
      </c>
      <c r="P237" s="9">
        <v>45644</v>
      </c>
      <c r="Q237" t="s">
        <v>74</v>
      </c>
      <c r="R237" t="s">
        <v>48</v>
      </c>
      <c r="S237" t="s">
        <v>49</v>
      </c>
      <c r="T237" t="s">
        <v>75</v>
      </c>
      <c r="U237" t="s">
        <v>850</v>
      </c>
      <c r="V237">
        <v>39100</v>
      </c>
      <c r="W237" t="s">
        <v>48</v>
      </c>
      <c r="X237" t="s">
        <v>851</v>
      </c>
      <c r="Y237" t="s">
        <v>54</v>
      </c>
      <c r="Z237" s="12">
        <f>IF(N237&lt;=1,9,9+0.8*ROUNDUP(N237-1,0))</f>
        <v>11.4</v>
      </c>
      <c r="AA237" s="11">
        <v>-2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9"/>
        <v>0.56399999999999995</v>
      </c>
      <c r="AG237" s="11">
        <f t="shared" si="10"/>
        <v>9.9640000000000004</v>
      </c>
      <c r="AH237" s="11">
        <v>0</v>
      </c>
      <c r="AI237" s="11">
        <f t="shared" si="11"/>
        <v>9.9640000000000004</v>
      </c>
      <c r="AJ237" t="s">
        <v>62</v>
      </c>
    </row>
    <row r="238" spans="1:36" ht="15" customHeight="1" x14ac:dyDescent="0.35">
      <c r="A238">
        <v>10428918</v>
      </c>
      <c r="B238" t="s">
        <v>36</v>
      </c>
      <c r="C238" t="s">
        <v>37</v>
      </c>
      <c r="D238" s="6" t="s">
        <v>38</v>
      </c>
      <c r="E238" t="s">
        <v>852</v>
      </c>
      <c r="F238" t="s">
        <v>40</v>
      </c>
      <c r="G238" t="s">
        <v>41</v>
      </c>
      <c r="H238" t="s">
        <v>853</v>
      </c>
      <c r="I238" t="s">
        <v>43</v>
      </c>
      <c r="J238">
        <v>2</v>
      </c>
      <c r="K238" t="s">
        <v>44</v>
      </c>
      <c r="L238" t="s">
        <v>45</v>
      </c>
      <c r="M238" t="s">
        <v>46</v>
      </c>
      <c r="N238" s="7">
        <v>1</v>
      </c>
      <c r="O238" s="8">
        <v>45642.796122685184</v>
      </c>
      <c r="P238" s="9">
        <v>45644</v>
      </c>
      <c r="Q238" t="s">
        <v>74</v>
      </c>
      <c r="R238" t="s">
        <v>48</v>
      </c>
      <c r="S238" t="s">
        <v>49</v>
      </c>
      <c r="T238" t="s">
        <v>90</v>
      </c>
      <c r="U238" t="s">
        <v>854</v>
      </c>
      <c r="V238">
        <v>22300</v>
      </c>
      <c r="W238" t="s">
        <v>48</v>
      </c>
      <c r="X238" t="s">
        <v>77</v>
      </c>
      <c r="Y238" t="s">
        <v>54</v>
      </c>
      <c r="Z238" s="12">
        <f>IF(N238&lt;=1,9,9+0.8*ROUNDUP(N238-1,0))</f>
        <v>9</v>
      </c>
      <c r="AA238" s="11">
        <v>-2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9"/>
        <v>0.42</v>
      </c>
      <c r="AG238" s="11">
        <f t="shared" si="10"/>
        <v>7.42</v>
      </c>
      <c r="AH238" s="11">
        <v>0</v>
      </c>
      <c r="AI238" s="11">
        <f t="shared" si="11"/>
        <v>7.42</v>
      </c>
      <c r="AJ238" t="s">
        <v>62</v>
      </c>
    </row>
    <row r="239" spans="1:36" ht="15" customHeight="1" x14ac:dyDescent="0.35">
      <c r="A239">
        <v>10428918</v>
      </c>
      <c r="B239" t="s">
        <v>36</v>
      </c>
      <c r="C239" t="s">
        <v>37</v>
      </c>
      <c r="D239" s="6" t="s">
        <v>38</v>
      </c>
      <c r="E239" t="s">
        <v>855</v>
      </c>
      <c r="F239" t="s">
        <v>40</v>
      </c>
      <c r="G239" t="s">
        <v>41</v>
      </c>
      <c r="H239" t="s">
        <v>856</v>
      </c>
      <c r="I239" t="s">
        <v>43</v>
      </c>
      <c r="J239">
        <v>2</v>
      </c>
      <c r="K239" t="s">
        <v>44</v>
      </c>
      <c r="L239" t="s">
        <v>45</v>
      </c>
      <c r="M239" t="s">
        <v>46</v>
      </c>
      <c r="N239" s="7">
        <v>1</v>
      </c>
      <c r="O239" s="8">
        <v>45641.653622685182</v>
      </c>
      <c r="P239" s="9">
        <v>45644</v>
      </c>
      <c r="Q239" t="s">
        <v>74</v>
      </c>
      <c r="R239" t="s">
        <v>48</v>
      </c>
      <c r="S239" t="s">
        <v>49</v>
      </c>
      <c r="T239" t="s">
        <v>80</v>
      </c>
      <c r="U239" t="s">
        <v>857</v>
      </c>
      <c r="V239">
        <v>9600</v>
      </c>
      <c r="W239" t="s">
        <v>48</v>
      </c>
      <c r="X239" t="s">
        <v>690</v>
      </c>
      <c r="Y239" t="s">
        <v>54</v>
      </c>
      <c r="Z239" s="12">
        <f>IF(N239&lt;=1,9,9+0.8*ROUNDUP(N239-1,0))</f>
        <v>9</v>
      </c>
      <c r="AA239" s="11">
        <v>-2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9"/>
        <v>0.42</v>
      </c>
      <c r="AG239" s="11">
        <f t="shared" si="10"/>
        <v>7.42</v>
      </c>
      <c r="AH239" s="11">
        <v>0</v>
      </c>
      <c r="AI239" s="11">
        <f t="shared" si="11"/>
        <v>7.42</v>
      </c>
      <c r="AJ239" t="s">
        <v>62</v>
      </c>
    </row>
    <row r="240" spans="1:36" ht="15" customHeight="1" x14ac:dyDescent="0.35">
      <c r="A240">
        <v>10428918</v>
      </c>
      <c r="B240" t="s">
        <v>36</v>
      </c>
      <c r="C240" t="s">
        <v>37</v>
      </c>
      <c r="D240" s="6" t="s">
        <v>38</v>
      </c>
      <c r="E240" t="s">
        <v>858</v>
      </c>
      <c r="F240" t="s">
        <v>40</v>
      </c>
      <c r="G240" t="s">
        <v>41</v>
      </c>
      <c r="H240" t="s">
        <v>859</v>
      </c>
      <c r="I240" t="s">
        <v>43</v>
      </c>
      <c r="J240">
        <v>2</v>
      </c>
      <c r="K240" t="s">
        <v>44</v>
      </c>
      <c r="L240" t="s">
        <v>45</v>
      </c>
      <c r="M240" t="s">
        <v>46</v>
      </c>
      <c r="N240" s="7">
        <v>1</v>
      </c>
      <c r="O240" s="8">
        <v>45641.6637962963</v>
      </c>
      <c r="P240" s="9">
        <v>45644</v>
      </c>
      <c r="Q240" t="s">
        <v>74</v>
      </c>
      <c r="R240" t="s">
        <v>48</v>
      </c>
      <c r="S240" t="s">
        <v>49</v>
      </c>
      <c r="T240" t="s">
        <v>69</v>
      </c>
      <c r="U240" t="s">
        <v>860</v>
      </c>
      <c r="V240">
        <v>81040</v>
      </c>
      <c r="W240" t="s">
        <v>48</v>
      </c>
      <c r="X240" t="s">
        <v>861</v>
      </c>
      <c r="Y240" t="s">
        <v>54</v>
      </c>
      <c r="Z240" s="12">
        <f>IF(N240&lt;=1,9,9+0.8*ROUNDUP(N240-1,0))</f>
        <v>9</v>
      </c>
      <c r="AA240" s="11">
        <v>-2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9"/>
        <v>0.42</v>
      </c>
      <c r="AG240" s="11">
        <f t="shared" si="10"/>
        <v>7.42</v>
      </c>
      <c r="AH240" s="11">
        <v>0</v>
      </c>
      <c r="AI240" s="11">
        <f t="shared" si="11"/>
        <v>7.42</v>
      </c>
      <c r="AJ240" t="s">
        <v>62</v>
      </c>
    </row>
    <row r="241" spans="1:36" ht="15" customHeight="1" x14ac:dyDescent="0.35">
      <c r="A241">
        <v>10428918</v>
      </c>
      <c r="B241" t="s">
        <v>36</v>
      </c>
      <c r="C241" t="s">
        <v>37</v>
      </c>
      <c r="D241" s="6" t="s">
        <v>38</v>
      </c>
      <c r="E241" t="s">
        <v>862</v>
      </c>
      <c r="F241" t="s">
        <v>40</v>
      </c>
      <c r="G241" t="s">
        <v>41</v>
      </c>
      <c r="H241" t="s">
        <v>863</v>
      </c>
      <c r="I241" t="s">
        <v>43</v>
      </c>
      <c r="J241">
        <v>2</v>
      </c>
      <c r="K241" t="s">
        <v>44</v>
      </c>
      <c r="L241" t="s">
        <v>45</v>
      </c>
      <c r="M241" t="s">
        <v>46</v>
      </c>
      <c r="N241" s="7">
        <v>1</v>
      </c>
      <c r="O241" s="8">
        <v>45635.410694444443</v>
      </c>
      <c r="P241" s="9">
        <v>45644</v>
      </c>
      <c r="Q241" t="s">
        <v>74</v>
      </c>
      <c r="R241" t="s">
        <v>48</v>
      </c>
      <c r="S241" t="s">
        <v>49</v>
      </c>
      <c r="T241" t="s">
        <v>278</v>
      </c>
      <c r="U241" t="s">
        <v>864</v>
      </c>
      <c r="V241">
        <v>95700</v>
      </c>
      <c r="W241" t="s">
        <v>52</v>
      </c>
      <c r="X241" t="s">
        <v>53</v>
      </c>
      <c r="Y241" t="s">
        <v>54</v>
      </c>
      <c r="Z241" s="10">
        <f>IF(N241&lt;=1,13,IF(N241&lt;=2,23,IF(N241&lt;=3,35,IF(N241&lt;=4,43,IF(N241&lt;=5,53,IF(N241&lt;=6,63,IF(N241&lt;=7,71,IF(N241&lt;=8,79,IF(N241&lt;=9,87,IF(N241&lt;=10,95,IF(N241&lt;=11,105,IF(N241&lt;=12,114,IF(N241&lt;=13,119,IF(N241&lt;=14,127,IF(N241&lt;=15,135,IF(N241&lt;=16,143,IF(N241&lt;=17,153,IF(N241&lt;=18,163,IF(N241&lt;=19,171,IF(N241&lt;=20,185,IF(N241&lt;=21,193,IF(N241&lt;=22,201,IF(N241&lt;=23,210,IF(N241&lt;=24,220,IF(N241&lt;=25,230,IF(N241&lt;=26,240,IF(N241&lt;=27,250,IF(N241&lt;=28,260,IF(N241&lt;=29,270,IF(N241&lt;=30,280,280+10*ROUNDUP(N241-30,0)))))))))))))))))))))))))))))))</f>
        <v>13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9"/>
        <v>0.78</v>
      </c>
      <c r="AG241" s="11">
        <f t="shared" si="10"/>
        <v>13.78</v>
      </c>
      <c r="AH241" s="11">
        <v>0</v>
      </c>
      <c r="AI241" s="11">
        <f t="shared" si="11"/>
        <v>13.78</v>
      </c>
      <c r="AJ241" t="s">
        <v>55</v>
      </c>
    </row>
    <row r="242" spans="1:36" ht="15" customHeight="1" x14ac:dyDescent="0.35">
      <c r="A242">
        <v>10428918</v>
      </c>
      <c r="B242" t="s">
        <v>36</v>
      </c>
      <c r="C242" t="s">
        <v>37</v>
      </c>
      <c r="D242" s="6" t="s">
        <v>38</v>
      </c>
      <c r="E242" t="s">
        <v>865</v>
      </c>
      <c r="F242" t="s">
        <v>40</v>
      </c>
      <c r="G242" t="s">
        <v>41</v>
      </c>
      <c r="H242" t="s">
        <v>866</v>
      </c>
      <c r="I242" t="s">
        <v>43</v>
      </c>
      <c r="J242">
        <v>2</v>
      </c>
      <c r="K242" t="s">
        <v>44</v>
      </c>
      <c r="L242" t="s">
        <v>45</v>
      </c>
      <c r="M242" t="s">
        <v>46</v>
      </c>
      <c r="N242" s="7">
        <v>2</v>
      </c>
      <c r="O242" s="8">
        <v>45641.50922453704</v>
      </c>
      <c r="P242" s="9">
        <v>45644</v>
      </c>
      <c r="Q242" t="s">
        <v>74</v>
      </c>
      <c r="R242" t="s">
        <v>48</v>
      </c>
      <c r="S242" t="s">
        <v>49</v>
      </c>
      <c r="T242" t="s">
        <v>693</v>
      </c>
      <c r="U242" t="s">
        <v>867</v>
      </c>
      <c r="V242">
        <v>2600</v>
      </c>
      <c r="W242" t="s">
        <v>48</v>
      </c>
      <c r="X242" t="s">
        <v>695</v>
      </c>
      <c r="Y242" t="s">
        <v>54</v>
      </c>
      <c r="Z242" s="12">
        <f>IF(N242&lt;=1,9,9+0.8*ROUNDUP(N242-1,0))</f>
        <v>9.8000000000000007</v>
      </c>
      <c r="AA242" s="11">
        <v>-2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9"/>
        <v>0.46800000000000003</v>
      </c>
      <c r="AG242" s="11">
        <f t="shared" si="10"/>
        <v>8.2680000000000007</v>
      </c>
      <c r="AH242" s="11">
        <v>0</v>
      </c>
      <c r="AI242" s="11">
        <f t="shared" si="11"/>
        <v>8.2680000000000007</v>
      </c>
      <c r="AJ242" t="s">
        <v>62</v>
      </c>
    </row>
    <row r="243" spans="1:36" ht="15" customHeight="1" x14ac:dyDescent="0.35">
      <c r="A243">
        <v>10428918</v>
      </c>
      <c r="B243" t="s">
        <v>36</v>
      </c>
      <c r="C243" t="s">
        <v>37</v>
      </c>
      <c r="D243" s="6" t="s">
        <v>38</v>
      </c>
      <c r="E243" t="s">
        <v>868</v>
      </c>
      <c r="F243" t="s">
        <v>40</v>
      </c>
      <c r="G243" t="s">
        <v>41</v>
      </c>
      <c r="H243" t="s">
        <v>849</v>
      </c>
      <c r="I243" t="s">
        <v>43</v>
      </c>
      <c r="J243">
        <v>2</v>
      </c>
      <c r="K243" t="s">
        <v>44</v>
      </c>
      <c r="L243" t="s">
        <v>45</v>
      </c>
      <c r="M243" t="s">
        <v>46</v>
      </c>
      <c r="N243" s="7">
        <v>7</v>
      </c>
      <c r="O243" s="8">
        <v>45642.596493055556</v>
      </c>
      <c r="P243" s="9">
        <v>45644</v>
      </c>
      <c r="Q243" t="s">
        <v>74</v>
      </c>
      <c r="R243" t="s">
        <v>48</v>
      </c>
      <c r="S243" t="s">
        <v>49</v>
      </c>
      <c r="T243" t="s">
        <v>75</v>
      </c>
      <c r="U243" t="s">
        <v>850</v>
      </c>
      <c r="V243">
        <v>39100</v>
      </c>
      <c r="W243" t="s">
        <v>48</v>
      </c>
      <c r="X243" t="s">
        <v>851</v>
      </c>
      <c r="Y243" t="s">
        <v>54</v>
      </c>
      <c r="Z243" s="12">
        <f>IF(N243&lt;=1,9,9+0.8*ROUNDUP(N243-1,0))</f>
        <v>13.8</v>
      </c>
      <c r="AA243" s="11">
        <v>-2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9"/>
        <v>0.70799999999999996</v>
      </c>
      <c r="AG243" s="11">
        <f t="shared" si="10"/>
        <v>12.508000000000001</v>
      </c>
      <c r="AH243" s="11">
        <v>0</v>
      </c>
      <c r="AI243" s="11">
        <f t="shared" si="11"/>
        <v>12.508000000000001</v>
      </c>
      <c r="AJ243" t="s">
        <v>62</v>
      </c>
    </row>
    <row r="244" spans="1:36" ht="15" customHeight="1" x14ac:dyDescent="0.35">
      <c r="A244">
        <v>10428918</v>
      </c>
      <c r="B244" t="s">
        <v>36</v>
      </c>
      <c r="C244" t="s">
        <v>37</v>
      </c>
      <c r="D244" s="6" t="s">
        <v>38</v>
      </c>
      <c r="E244" t="s">
        <v>869</v>
      </c>
      <c r="F244" t="s">
        <v>40</v>
      </c>
      <c r="G244" t="s">
        <v>41</v>
      </c>
      <c r="H244" t="s">
        <v>870</v>
      </c>
      <c r="I244" t="s">
        <v>43</v>
      </c>
      <c r="J244">
        <v>2</v>
      </c>
      <c r="K244" t="s">
        <v>44</v>
      </c>
      <c r="L244" t="s">
        <v>45</v>
      </c>
      <c r="M244" t="s">
        <v>46</v>
      </c>
      <c r="N244" s="7">
        <v>3</v>
      </c>
      <c r="O244" s="8">
        <v>45643.477835648147</v>
      </c>
      <c r="P244" s="9">
        <v>45644</v>
      </c>
      <c r="Q244" t="s">
        <v>74</v>
      </c>
      <c r="R244" t="s">
        <v>48</v>
      </c>
      <c r="S244" t="s">
        <v>49</v>
      </c>
      <c r="T244" t="s">
        <v>59</v>
      </c>
      <c r="U244" t="s">
        <v>871</v>
      </c>
      <c r="V244">
        <v>17000</v>
      </c>
      <c r="W244" t="s">
        <v>48</v>
      </c>
      <c r="X244" t="s">
        <v>77</v>
      </c>
      <c r="Y244" t="s">
        <v>54</v>
      </c>
      <c r="Z244" s="12">
        <f>IF(N244&lt;=1,9,9+0.8*ROUNDUP(N244-1,0))</f>
        <v>10.6</v>
      </c>
      <c r="AA244" s="11">
        <v>-2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9"/>
        <v>0.51600000000000001</v>
      </c>
      <c r="AG244" s="11">
        <f t="shared" si="10"/>
        <v>9.1159999999999997</v>
      </c>
      <c r="AH244" s="11">
        <v>0</v>
      </c>
      <c r="AI244" s="11">
        <f t="shared" si="11"/>
        <v>9.1159999999999997</v>
      </c>
      <c r="AJ244" t="s">
        <v>62</v>
      </c>
    </row>
    <row r="245" spans="1:36" ht="15" customHeight="1" x14ac:dyDescent="0.35">
      <c r="A245">
        <v>10428918</v>
      </c>
      <c r="B245" t="s">
        <v>36</v>
      </c>
      <c r="C245" t="s">
        <v>37</v>
      </c>
      <c r="D245" s="6" t="s">
        <v>38</v>
      </c>
      <c r="E245" t="s">
        <v>872</v>
      </c>
      <c r="F245" t="s">
        <v>40</v>
      </c>
      <c r="G245" t="s">
        <v>41</v>
      </c>
      <c r="H245" t="s">
        <v>873</v>
      </c>
      <c r="I245" t="s">
        <v>43</v>
      </c>
      <c r="J245">
        <v>2</v>
      </c>
      <c r="K245" t="s">
        <v>44</v>
      </c>
      <c r="L245" t="s">
        <v>45</v>
      </c>
      <c r="M245" t="s">
        <v>46</v>
      </c>
      <c r="N245" s="7">
        <v>1</v>
      </c>
      <c r="O245" s="8">
        <v>45642.796134259261</v>
      </c>
      <c r="P245" s="9">
        <v>45644</v>
      </c>
      <c r="Q245" t="s">
        <v>74</v>
      </c>
      <c r="R245" t="s">
        <v>48</v>
      </c>
      <c r="S245" t="s">
        <v>49</v>
      </c>
      <c r="T245" t="s">
        <v>90</v>
      </c>
      <c r="U245" t="s">
        <v>874</v>
      </c>
      <c r="V245">
        <v>22010</v>
      </c>
      <c r="W245" t="s">
        <v>48</v>
      </c>
      <c r="X245" t="s">
        <v>77</v>
      </c>
      <c r="Y245" t="s">
        <v>54</v>
      </c>
      <c r="Z245" s="12">
        <f>IF(N245&lt;=1,9,9+0.8*ROUNDUP(N245-1,0))</f>
        <v>9</v>
      </c>
      <c r="AA245" s="11">
        <v>-2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9"/>
        <v>0.42</v>
      </c>
      <c r="AG245" s="11">
        <f t="shared" si="10"/>
        <v>7.42</v>
      </c>
      <c r="AH245" s="11">
        <v>0</v>
      </c>
      <c r="AI245" s="11">
        <f t="shared" si="11"/>
        <v>7.42</v>
      </c>
      <c r="AJ245" t="s">
        <v>62</v>
      </c>
    </row>
    <row r="246" spans="1:36" ht="15" customHeight="1" x14ac:dyDescent="0.35">
      <c r="A246">
        <v>10428918</v>
      </c>
      <c r="B246" t="s">
        <v>36</v>
      </c>
      <c r="C246" t="s">
        <v>37</v>
      </c>
      <c r="D246" s="6" t="s">
        <v>38</v>
      </c>
      <c r="E246" t="s">
        <v>875</v>
      </c>
      <c r="F246" t="s">
        <v>40</v>
      </c>
      <c r="G246" t="s">
        <v>41</v>
      </c>
      <c r="H246" t="s">
        <v>876</v>
      </c>
      <c r="I246" t="s">
        <v>43</v>
      </c>
      <c r="J246">
        <v>2</v>
      </c>
      <c r="K246" t="s">
        <v>44</v>
      </c>
      <c r="L246" t="s">
        <v>45</v>
      </c>
      <c r="M246" t="s">
        <v>46</v>
      </c>
      <c r="N246" s="7">
        <v>3</v>
      </c>
      <c r="O246" s="8">
        <v>45640.820115740738</v>
      </c>
      <c r="P246" s="9">
        <v>45644</v>
      </c>
      <c r="Q246" t="s">
        <v>74</v>
      </c>
      <c r="R246" t="s">
        <v>48</v>
      </c>
      <c r="S246" t="s">
        <v>49</v>
      </c>
      <c r="T246" t="s">
        <v>161</v>
      </c>
      <c r="U246" t="s">
        <v>877</v>
      </c>
      <c r="V246">
        <v>13100</v>
      </c>
      <c r="W246" t="s">
        <v>48</v>
      </c>
      <c r="X246" t="s">
        <v>812</v>
      </c>
      <c r="Y246" t="s">
        <v>54</v>
      </c>
      <c r="Z246" s="12">
        <f>IF(N246&lt;=1,9,9+0.8*ROUNDUP(N246-1,0))</f>
        <v>10.6</v>
      </c>
      <c r="AA246" s="11">
        <v>-2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9"/>
        <v>0.51600000000000001</v>
      </c>
      <c r="AG246" s="11">
        <f t="shared" si="10"/>
        <v>9.1159999999999997</v>
      </c>
      <c r="AH246" s="11">
        <v>0</v>
      </c>
      <c r="AI246" s="11">
        <f t="shared" si="11"/>
        <v>9.1159999999999997</v>
      </c>
      <c r="AJ246" t="s">
        <v>62</v>
      </c>
    </row>
    <row r="247" spans="1:36" ht="15" customHeight="1" x14ac:dyDescent="0.35">
      <c r="A247">
        <v>10428918</v>
      </c>
      <c r="B247" t="s">
        <v>36</v>
      </c>
      <c r="C247" t="s">
        <v>37</v>
      </c>
      <c r="D247" s="6" t="s">
        <v>38</v>
      </c>
      <c r="E247" t="s">
        <v>878</v>
      </c>
      <c r="F247" t="s">
        <v>40</v>
      </c>
      <c r="G247" t="s">
        <v>41</v>
      </c>
      <c r="H247" t="s">
        <v>879</v>
      </c>
      <c r="I247" t="s">
        <v>43</v>
      </c>
      <c r="J247">
        <v>2</v>
      </c>
      <c r="K247" t="s">
        <v>44</v>
      </c>
      <c r="L247" t="s">
        <v>45</v>
      </c>
      <c r="M247" t="s">
        <v>46</v>
      </c>
      <c r="N247" s="7">
        <v>1</v>
      </c>
      <c r="O247" s="8">
        <v>45639.397627314815</v>
      </c>
      <c r="P247" s="9">
        <v>45644</v>
      </c>
      <c r="Q247" t="s">
        <v>58</v>
      </c>
      <c r="R247" t="s">
        <v>48</v>
      </c>
      <c r="S247" t="s">
        <v>49</v>
      </c>
      <c r="T247" t="s">
        <v>278</v>
      </c>
      <c r="U247" t="s">
        <v>880</v>
      </c>
      <c r="V247">
        <v>96000</v>
      </c>
      <c r="W247" t="s">
        <v>52</v>
      </c>
      <c r="X247" t="s">
        <v>53</v>
      </c>
      <c r="Y247" t="s">
        <v>54</v>
      </c>
      <c r="Z247" s="10">
        <f>IF(N247&lt;=1,13,IF(N247&lt;=2,23,IF(N247&lt;=3,35,IF(N247&lt;=4,43,IF(N247&lt;=5,53,IF(N247&lt;=6,63,IF(N247&lt;=7,71,IF(N247&lt;=8,79,IF(N247&lt;=9,87,IF(N247&lt;=10,95,IF(N247&lt;=11,105,IF(N247&lt;=12,114,IF(N247&lt;=13,119,IF(N247&lt;=14,127,IF(N247&lt;=15,135,IF(N247&lt;=16,143,IF(N247&lt;=17,153,IF(N247&lt;=18,163,IF(N247&lt;=19,171,IF(N247&lt;=20,185,IF(N247&lt;=21,193,IF(N247&lt;=22,201,IF(N247&lt;=23,210,IF(N247&lt;=24,220,IF(N247&lt;=25,230,IF(N247&lt;=26,240,IF(N247&lt;=27,250,IF(N247&lt;=28,260,IF(N247&lt;=29,270,IF(N247&lt;=30,280,280+10*ROUNDUP(N247-30,0)))))))))))))))))))))))))))))))</f>
        <v>13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9"/>
        <v>0.78</v>
      </c>
      <c r="AG247" s="11">
        <f t="shared" si="10"/>
        <v>13.78</v>
      </c>
      <c r="AH247" s="11">
        <v>0</v>
      </c>
      <c r="AI247" s="11">
        <f t="shared" si="11"/>
        <v>13.78</v>
      </c>
      <c r="AJ247" t="s">
        <v>55</v>
      </c>
    </row>
    <row r="248" spans="1:36" ht="15" customHeight="1" x14ac:dyDescent="0.35">
      <c r="A248">
        <v>10428918</v>
      </c>
      <c r="B248" t="s">
        <v>36</v>
      </c>
      <c r="C248" t="s">
        <v>37</v>
      </c>
      <c r="D248" s="6" t="s">
        <v>38</v>
      </c>
      <c r="E248" t="s">
        <v>881</v>
      </c>
      <c r="F248" t="s">
        <v>40</v>
      </c>
      <c r="G248" t="s">
        <v>41</v>
      </c>
      <c r="H248" t="s">
        <v>882</v>
      </c>
      <c r="I248" t="s">
        <v>43</v>
      </c>
      <c r="J248">
        <v>2</v>
      </c>
      <c r="K248" t="s">
        <v>44</v>
      </c>
      <c r="L248" t="s">
        <v>45</v>
      </c>
      <c r="M248" t="s">
        <v>46</v>
      </c>
      <c r="N248" s="7">
        <v>1</v>
      </c>
      <c r="O248" s="8">
        <v>45641.50922453704</v>
      </c>
      <c r="P248" s="9">
        <v>45644</v>
      </c>
      <c r="Q248" t="s">
        <v>74</v>
      </c>
      <c r="R248" t="s">
        <v>48</v>
      </c>
      <c r="S248" t="s">
        <v>49</v>
      </c>
      <c r="T248" t="s">
        <v>161</v>
      </c>
      <c r="U248" t="s">
        <v>883</v>
      </c>
      <c r="V248">
        <v>11600</v>
      </c>
      <c r="W248" t="s">
        <v>48</v>
      </c>
      <c r="X248" t="s">
        <v>163</v>
      </c>
      <c r="Y248" t="s">
        <v>54</v>
      </c>
      <c r="Z248" s="12">
        <f>IF(N248&lt;=1,9,9+0.8*ROUNDUP(N248-1,0))</f>
        <v>9</v>
      </c>
      <c r="AA248" s="11">
        <v>-2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9"/>
        <v>0.42</v>
      </c>
      <c r="AG248" s="11">
        <f t="shared" si="10"/>
        <v>7.42</v>
      </c>
      <c r="AH248" s="11">
        <v>0</v>
      </c>
      <c r="AI248" s="11">
        <f t="shared" si="11"/>
        <v>7.42</v>
      </c>
      <c r="AJ248" t="s">
        <v>62</v>
      </c>
    </row>
    <row r="249" spans="1:36" ht="15" customHeight="1" x14ac:dyDescent="0.35">
      <c r="A249">
        <v>10428918</v>
      </c>
      <c r="B249" t="s">
        <v>36</v>
      </c>
      <c r="C249" t="s">
        <v>37</v>
      </c>
      <c r="D249" s="6" t="s">
        <v>38</v>
      </c>
      <c r="E249" t="s">
        <v>884</v>
      </c>
      <c r="F249" t="s">
        <v>40</v>
      </c>
      <c r="G249" t="s">
        <v>41</v>
      </c>
      <c r="H249" t="s">
        <v>885</v>
      </c>
      <c r="I249" t="s">
        <v>43</v>
      </c>
      <c r="J249">
        <v>2</v>
      </c>
      <c r="K249" t="s">
        <v>44</v>
      </c>
      <c r="L249" t="s">
        <v>45</v>
      </c>
      <c r="M249" t="s">
        <v>46</v>
      </c>
      <c r="N249" s="7">
        <v>6</v>
      </c>
      <c r="O249" s="8">
        <v>45644.751585648148</v>
      </c>
      <c r="P249" s="9">
        <v>45645</v>
      </c>
      <c r="Q249" t="s">
        <v>74</v>
      </c>
      <c r="R249" t="s">
        <v>48</v>
      </c>
      <c r="S249" t="s">
        <v>49</v>
      </c>
      <c r="T249" t="s">
        <v>75</v>
      </c>
      <c r="U249" t="s">
        <v>886</v>
      </c>
      <c r="V249">
        <v>26080</v>
      </c>
      <c r="W249" t="s">
        <v>48</v>
      </c>
      <c r="X249" t="s">
        <v>887</v>
      </c>
      <c r="Y249" t="s">
        <v>54</v>
      </c>
      <c r="Z249" s="12">
        <f>IF(N249&lt;=1,9,9+0.8*ROUNDUP(N249-1,0))</f>
        <v>13</v>
      </c>
      <c r="AA249" s="11">
        <v>-2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9"/>
        <v>0.65999999999999992</v>
      </c>
      <c r="AG249" s="11">
        <f t="shared" si="10"/>
        <v>11.66</v>
      </c>
      <c r="AH249" s="11">
        <v>0</v>
      </c>
      <c r="AI249" s="11">
        <f t="shared" si="11"/>
        <v>11.66</v>
      </c>
      <c r="AJ249" t="s">
        <v>62</v>
      </c>
    </row>
    <row r="250" spans="1:36" ht="15" customHeight="1" x14ac:dyDescent="0.35">
      <c r="A250">
        <v>10428918</v>
      </c>
      <c r="B250" t="s">
        <v>36</v>
      </c>
      <c r="C250" t="s">
        <v>37</v>
      </c>
      <c r="D250" s="6" t="s">
        <v>38</v>
      </c>
      <c r="E250" t="s">
        <v>888</v>
      </c>
      <c r="F250" t="s">
        <v>40</v>
      </c>
      <c r="G250" t="s">
        <v>41</v>
      </c>
      <c r="H250" t="s">
        <v>889</v>
      </c>
      <c r="I250" t="s">
        <v>43</v>
      </c>
      <c r="J250">
        <v>2</v>
      </c>
      <c r="K250" t="s">
        <v>44</v>
      </c>
      <c r="L250" t="s">
        <v>45</v>
      </c>
      <c r="M250" t="s">
        <v>46</v>
      </c>
      <c r="N250" s="7">
        <v>1</v>
      </c>
      <c r="O250" s="8">
        <v>45642.832812499997</v>
      </c>
      <c r="P250" s="9">
        <v>45645</v>
      </c>
      <c r="Q250" t="s">
        <v>74</v>
      </c>
      <c r="R250" t="s">
        <v>48</v>
      </c>
      <c r="S250" t="s">
        <v>49</v>
      </c>
      <c r="T250" t="s">
        <v>69</v>
      </c>
      <c r="U250" t="s">
        <v>890</v>
      </c>
      <c r="V250">
        <v>83100</v>
      </c>
      <c r="W250" t="s">
        <v>48</v>
      </c>
      <c r="X250" t="s">
        <v>71</v>
      </c>
      <c r="Y250" t="s">
        <v>54</v>
      </c>
      <c r="Z250" s="12">
        <f>IF(N250&lt;=1,9,9+0.8*ROUNDUP(N250-1,0))</f>
        <v>9</v>
      </c>
      <c r="AA250" s="11">
        <v>-2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9"/>
        <v>0.42</v>
      </c>
      <c r="AG250" s="11">
        <f t="shared" si="10"/>
        <v>7.42</v>
      </c>
      <c r="AH250" s="11">
        <v>0</v>
      </c>
      <c r="AI250" s="11">
        <f t="shared" si="11"/>
        <v>7.42</v>
      </c>
      <c r="AJ250" t="s">
        <v>62</v>
      </c>
    </row>
    <row r="251" spans="1:36" ht="15" customHeight="1" x14ac:dyDescent="0.35">
      <c r="A251">
        <v>10428918</v>
      </c>
      <c r="B251" t="s">
        <v>36</v>
      </c>
      <c r="C251" t="s">
        <v>37</v>
      </c>
      <c r="D251" s="6" t="s">
        <v>38</v>
      </c>
      <c r="E251" t="s">
        <v>891</v>
      </c>
      <c r="F251" t="s">
        <v>40</v>
      </c>
      <c r="G251" t="s">
        <v>41</v>
      </c>
      <c r="H251" t="s">
        <v>570</v>
      </c>
      <c r="I251" t="s">
        <v>43</v>
      </c>
      <c r="J251">
        <v>2</v>
      </c>
      <c r="K251" t="s">
        <v>44</v>
      </c>
      <c r="L251" t="s">
        <v>45</v>
      </c>
      <c r="M251" t="s">
        <v>46</v>
      </c>
      <c r="N251" s="7">
        <v>3</v>
      </c>
      <c r="O251" s="8">
        <v>45642.813414351855</v>
      </c>
      <c r="P251" s="9">
        <v>45645</v>
      </c>
      <c r="Q251" t="s">
        <v>74</v>
      </c>
      <c r="R251" t="s">
        <v>48</v>
      </c>
      <c r="S251" t="s">
        <v>49</v>
      </c>
      <c r="T251" t="s">
        <v>117</v>
      </c>
      <c r="U251" t="s">
        <v>571</v>
      </c>
      <c r="V251">
        <v>40000</v>
      </c>
      <c r="W251" t="s">
        <v>48</v>
      </c>
      <c r="X251" t="s">
        <v>53</v>
      </c>
      <c r="Y251" t="s">
        <v>54</v>
      </c>
      <c r="Z251" s="12">
        <f>IF(N251&lt;=1,9,9+0.8*ROUNDUP(N251-1,0))</f>
        <v>10.6</v>
      </c>
      <c r="AA251" s="11">
        <v>-2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9"/>
        <v>0.51600000000000001</v>
      </c>
      <c r="AG251" s="11">
        <f t="shared" si="10"/>
        <v>9.1159999999999997</v>
      </c>
      <c r="AH251" s="11">
        <v>0</v>
      </c>
      <c r="AI251" s="11">
        <f t="shared" si="11"/>
        <v>9.1159999999999997</v>
      </c>
      <c r="AJ251" t="s">
        <v>62</v>
      </c>
    </row>
    <row r="252" spans="1:36" ht="15" customHeight="1" x14ac:dyDescent="0.35">
      <c r="A252">
        <v>10428918</v>
      </c>
      <c r="B252" t="s">
        <v>36</v>
      </c>
      <c r="C252" t="s">
        <v>37</v>
      </c>
      <c r="D252" s="6" t="s">
        <v>38</v>
      </c>
      <c r="E252" t="s">
        <v>892</v>
      </c>
      <c r="F252" t="s">
        <v>40</v>
      </c>
      <c r="G252" t="s">
        <v>41</v>
      </c>
      <c r="H252" t="s">
        <v>893</v>
      </c>
      <c r="I252" t="s">
        <v>43</v>
      </c>
      <c r="J252">
        <v>2</v>
      </c>
      <c r="K252" t="s">
        <v>44</v>
      </c>
      <c r="L252" t="s">
        <v>45</v>
      </c>
      <c r="M252" t="s">
        <v>46</v>
      </c>
      <c r="N252" s="7">
        <v>1</v>
      </c>
      <c r="O252" s="8">
        <v>45644.756053240744</v>
      </c>
      <c r="P252" s="9">
        <v>45645</v>
      </c>
      <c r="Q252" t="s">
        <v>74</v>
      </c>
      <c r="R252" t="s">
        <v>48</v>
      </c>
      <c r="S252" t="s">
        <v>49</v>
      </c>
      <c r="T252" t="s">
        <v>59</v>
      </c>
      <c r="U252" t="s">
        <v>894</v>
      </c>
      <c r="V252">
        <v>18500</v>
      </c>
      <c r="W252" t="s">
        <v>48</v>
      </c>
      <c r="X252" t="s">
        <v>77</v>
      </c>
      <c r="Y252" t="s">
        <v>54</v>
      </c>
      <c r="Z252" s="12">
        <f>IF(N252&lt;=1,9,9+0.8*ROUNDUP(N252-1,0))</f>
        <v>9</v>
      </c>
      <c r="AA252" s="11">
        <v>-2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9"/>
        <v>0.42</v>
      </c>
      <c r="AG252" s="11">
        <f t="shared" si="10"/>
        <v>7.42</v>
      </c>
      <c r="AH252" s="11">
        <v>0</v>
      </c>
      <c r="AI252" s="11">
        <f t="shared" si="11"/>
        <v>7.42</v>
      </c>
      <c r="AJ252" t="s">
        <v>62</v>
      </c>
    </row>
    <row r="253" spans="1:36" ht="15" customHeight="1" x14ac:dyDescent="0.35">
      <c r="A253">
        <v>10428918</v>
      </c>
      <c r="B253" t="s">
        <v>36</v>
      </c>
      <c r="C253" t="s">
        <v>37</v>
      </c>
      <c r="D253" s="6" t="s">
        <v>38</v>
      </c>
      <c r="E253" t="s">
        <v>895</v>
      </c>
      <c r="F253" t="s">
        <v>40</v>
      </c>
      <c r="G253" t="s">
        <v>41</v>
      </c>
      <c r="H253" t="s">
        <v>896</v>
      </c>
      <c r="I253" t="s">
        <v>43</v>
      </c>
      <c r="J253">
        <v>2</v>
      </c>
      <c r="K253" t="s">
        <v>44</v>
      </c>
      <c r="L253" t="s">
        <v>45</v>
      </c>
      <c r="M253" t="s">
        <v>46</v>
      </c>
      <c r="N253" s="7">
        <v>1</v>
      </c>
      <c r="O253" s="8">
        <v>45641.6637962963</v>
      </c>
      <c r="P253" s="9">
        <v>45645</v>
      </c>
      <c r="Q253" t="s">
        <v>74</v>
      </c>
      <c r="R253" t="s">
        <v>48</v>
      </c>
      <c r="S253" t="s">
        <v>49</v>
      </c>
      <c r="T253" t="s">
        <v>80</v>
      </c>
      <c r="U253" t="s">
        <v>897</v>
      </c>
      <c r="V253">
        <v>7000</v>
      </c>
      <c r="W253" t="s">
        <v>48</v>
      </c>
      <c r="X253" t="s">
        <v>53</v>
      </c>
      <c r="Y253" t="s">
        <v>54</v>
      </c>
      <c r="Z253" s="12">
        <f>IF(N253&lt;=1,9,9+0.8*ROUNDUP(N253-1,0))</f>
        <v>9</v>
      </c>
      <c r="AA253" s="11">
        <v>-2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9"/>
        <v>0.42</v>
      </c>
      <c r="AG253" s="11">
        <f t="shared" si="10"/>
        <v>7.42</v>
      </c>
      <c r="AH253" s="11">
        <v>0</v>
      </c>
      <c r="AI253" s="11">
        <f t="shared" si="11"/>
        <v>7.42</v>
      </c>
      <c r="AJ253" t="s">
        <v>62</v>
      </c>
    </row>
    <row r="254" spans="1:36" ht="15" customHeight="1" x14ac:dyDescent="0.35">
      <c r="A254">
        <v>10428918</v>
      </c>
      <c r="B254" t="s">
        <v>36</v>
      </c>
      <c r="C254" t="s">
        <v>37</v>
      </c>
      <c r="D254" s="6" t="s">
        <v>38</v>
      </c>
      <c r="E254" t="s">
        <v>898</v>
      </c>
      <c r="F254" t="s">
        <v>40</v>
      </c>
      <c r="G254" t="s">
        <v>41</v>
      </c>
      <c r="H254" t="s">
        <v>899</v>
      </c>
      <c r="I254" t="s">
        <v>43</v>
      </c>
      <c r="J254">
        <v>2</v>
      </c>
      <c r="K254" t="s">
        <v>44</v>
      </c>
      <c r="L254" t="s">
        <v>45</v>
      </c>
      <c r="M254" t="s">
        <v>46</v>
      </c>
      <c r="N254" s="7">
        <v>1</v>
      </c>
      <c r="O254" s="8">
        <v>45644.63177083333</v>
      </c>
      <c r="P254" s="9">
        <v>45645</v>
      </c>
      <c r="Q254" t="s">
        <v>74</v>
      </c>
      <c r="R254" t="s">
        <v>48</v>
      </c>
      <c r="S254" t="s">
        <v>49</v>
      </c>
      <c r="T254" t="s">
        <v>117</v>
      </c>
      <c r="U254" t="s">
        <v>900</v>
      </c>
      <c r="V254">
        <v>42700</v>
      </c>
      <c r="W254" t="s">
        <v>48</v>
      </c>
      <c r="X254" t="s">
        <v>901</v>
      </c>
      <c r="Y254" t="s">
        <v>54</v>
      </c>
      <c r="Z254" s="12">
        <f>IF(N254&lt;=1,9,9+0.8*ROUNDUP(N254-1,0))</f>
        <v>9</v>
      </c>
      <c r="AA254" s="11">
        <v>-2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9"/>
        <v>0.42</v>
      </c>
      <c r="AG254" s="11">
        <f t="shared" si="10"/>
        <v>7.42</v>
      </c>
      <c r="AH254" s="11">
        <v>0</v>
      </c>
      <c r="AI254" s="11">
        <f t="shared" si="11"/>
        <v>7.42</v>
      </c>
      <c r="AJ254" t="s">
        <v>62</v>
      </c>
    </row>
    <row r="255" spans="1:36" ht="15" customHeight="1" x14ac:dyDescent="0.35">
      <c r="A255">
        <v>10428918</v>
      </c>
      <c r="B255" t="s">
        <v>36</v>
      </c>
      <c r="C255" t="s">
        <v>37</v>
      </c>
      <c r="D255" s="6" t="s">
        <v>38</v>
      </c>
      <c r="E255" t="s">
        <v>902</v>
      </c>
      <c r="F255" t="s">
        <v>40</v>
      </c>
      <c r="G255" t="s">
        <v>41</v>
      </c>
      <c r="H255" t="s">
        <v>903</v>
      </c>
      <c r="I255" t="s">
        <v>43</v>
      </c>
      <c r="J255">
        <v>2</v>
      </c>
      <c r="K255" t="s">
        <v>44</v>
      </c>
      <c r="L255" t="s">
        <v>45</v>
      </c>
      <c r="M255" t="s">
        <v>46</v>
      </c>
      <c r="N255" s="7">
        <v>1</v>
      </c>
      <c r="O255" s="8">
        <v>45643.859398148146</v>
      </c>
      <c r="P255" s="9">
        <v>45645</v>
      </c>
      <c r="Q255" t="s">
        <v>74</v>
      </c>
      <c r="R255" t="s">
        <v>48</v>
      </c>
      <c r="S255" t="s">
        <v>49</v>
      </c>
      <c r="T255" t="s">
        <v>90</v>
      </c>
      <c r="U255" t="s">
        <v>904</v>
      </c>
      <c r="V255">
        <v>20200</v>
      </c>
      <c r="W255" t="s">
        <v>48</v>
      </c>
      <c r="X255" t="s">
        <v>92</v>
      </c>
      <c r="Y255" t="s">
        <v>54</v>
      </c>
      <c r="Z255" s="12">
        <f>IF(N255&lt;=1,9,9+0.8*ROUNDUP(N255-1,0))</f>
        <v>9</v>
      </c>
      <c r="AA255" s="11">
        <v>-2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9"/>
        <v>0.42</v>
      </c>
      <c r="AG255" s="11">
        <f t="shared" si="10"/>
        <v>7.42</v>
      </c>
      <c r="AH255" s="11">
        <v>0</v>
      </c>
      <c r="AI255" s="11">
        <f t="shared" si="11"/>
        <v>7.42</v>
      </c>
      <c r="AJ255" t="s">
        <v>62</v>
      </c>
    </row>
    <row r="256" spans="1:36" ht="15" customHeight="1" x14ac:dyDescent="0.35">
      <c r="A256">
        <v>10428918</v>
      </c>
      <c r="B256" t="s">
        <v>36</v>
      </c>
      <c r="C256" t="s">
        <v>37</v>
      </c>
      <c r="D256" s="6" t="s">
        <v>38</v>
      </c>
      <c r="E256" t="s">
        <v>905</v>
      </c>
      <c r="F256" t="s">
        <v>40</v>
      </c>
      <c r="G256" t="s">
        <v>41</v>
      </c>
      <c r="H256" t="s">
        <v>906</v>
      </c>
      <c r="I256" t="s">
        <v>43</v>
      </c>
      <c r="J256">
        <v>2</v>
      </c>
      <c r="K256" t="s">
        <v>44</v>
      </c>
      <c r="L256" t="s">
        <v>45</v>
      </c>
      <c r="M256" t="s">
        <v>46</v>
      </c>
      <c r="N256" s="7">
        <v>2</v>
      </c>
      <c r="O256" s="8">
        <v>45643.637118055558</v>
      </c>
      <c r="P256" s="9">
        <v>45645</v>
      </c>
      <c r="Q256" t="s">
        <v>74</v>
      </c>
      <c r="R256" t="s">
        <v>48</v>
      </c>
      <c r="S256" t="s">
        <v>49</v>
      </c>
      <c r="T256" t="s">
        <v>59</v>
      </c>
      <c r="U256" t="s">
        <v>907</v>
      </c>
      <c r="V256">
        <v>16450</v>
      </c>
      <c r="W256" t="s">
        <v>48</v>
      </c>
      <c r="X256" t="s">
        <v>77</v>
      </c>
      <c r="Y256" t="s">
        <v>54</v>
      </c>
      <c r="Z256" s="12">
        <f>IF(N256&lt;=1,9,9+0.8*ROUNDUP(N256-1,0))</f>
        <v>9.8000000000000007</v>
      </c>
      <c r="AA256" s="11">
        <v>-2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9"/>
        <v>0.46800000000000003</v>
      </c>
      <c r="AG256" s="11">
        <f t="shared" si="10"/>
        <v>8.2680000000000007</v>
      </c>
      <c r="AH256" s="11">
        <v>0</v>
      </c>
      <c r="AI256" s="11">
        <f t="shared" si="11"/>
        <v>8.2680000000000007</v>
      </c>
      <c r="AJ256" t="s">
        <v>62</v>
      </c>
    </row>
    <row r="257" spans="1:36" ht="15" customHeight="1" x14ac:dyDescent="0.35">
      <c r="A257">
        <v>10428918</v>
      </c>
      <c r="B257" t="s">
        <v>36</v>
      </c>
      <c r="C257" t="s">
        <v>37</v>
      </c>
      <c r="D257" s="6" t="s">
        <v>38</v>
      </c>
      <c r="E257" t="s">
        <v>908</v>
      </c>
      <c r="F257" t="s">
        <v>40</v>
      </c>
      <c r="G257" t="s">
        <v>41</v>
      </c>
      <c r="H257" t="s">
        <v>909</v>
      </c>
      <c r="I257" t="s">
        <v>43</v>
      </c>
      <c r="J257">
        <v>2</v>
      </c>
      <c r="K257" t="s">
        <v>44</v>
      </c>
      <c r="L257" t="s">
        <v>45</v>
      </c>
      <c r="M257" t="s">
        <v>46</v>
      </c>
      <c r="N257" s="7">
        <v>1</v>
      </c>
      <c r="O257" s="8">
        <v>45643.461377314816</v>
      </c>
      <c r="P257" s="9">
        <v>45645</v>
      </c>
      <c r="Q257" t="s">
        <v>74</v>
      </c>
      <c r="R257" t="s">
        <v>48</v>
      </c>
      <c r="S257" t="s">
        <v>49</v>
      </c>
      <c r="T257" t="s">
        <v>80</v>
      </c>
      <c r="U257" t="s">
        <v>910</v>
      </c>
      <c r="V257">
        <v>6800</v>
      </c>
      <c r="W257" t="s">
        <v>48</v>
      </c>
      <c r="X257" t="s">
        <v>670</v>
      </c>
      <c r="Y257" t="s">
        <v>54</v>
      </c>
      <c r="Z257" s="12">
        <f>IF(N257&lt;=1,9,9+0.8*ROUNDUP(N257-1,0))</f>
        <v>9</v>
      </c>
      <c r="AA257" s="11">
        <v>-2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9"/>
        <v>0.42</v>
      </c>
      <c r="AG257" s="11">
        <f t="shared" si="10"/>
        <v>7.42</v>
      </c>
      <c r="AH257" s="11">
        <v>0</v>
      </c>
      <c r="AI257" s="11">
        <f t="shared" si="11"/>
        <v>7.42</v>
      </c>
      <c r="AJ257" t="s">
        <v>62</v>
      </c>
    </row>
    <row r="258" spans="1:36" ht="15" customHeight="1" x14ac:dyDescent="0.35">
      <c r="A258">
        <v>10428918</v>
      </c>
      <c r="B258" t="s">
        <v>36</v>
      </c>
      <c r="C258" t="s">
        <v>37</v>
      </c>
      <c r="D258" s="6" t="s">
        <v>38</v>
      </c>
      <c r="E258" t="s">
        <v>911</v>
      </c>
      <c r="F258" t="s">
        <v>40</v>
      </c>
      <c r="G258" t="s">
        <v>41</v>
      </c>
      <c r="H258" t="s">
        <v>912</v>
      </c>
      <c r="I258" t="s">
        <v>43</v>
      </c>
      <c r="J258">
        <v>2</v>
      </c>
      <c r="K258" t="s">
        <v>44</v>
      </c>
      <c r="L258" t="s">
        <v>45</v>
      </c>
      <c r="M258" t="s">
        <v>46</v>
      </c>
      <c r="N258" s="7">
        <v>12</v>
      </c>
      <c r="O258" s="8">
        <v>45643.602314814816</v>
      </c>
      <c r="P258" s="9">
        <v>45645</v>
      </c>
      <c r="Q258" t="s">
        <v>74</v>
      </c>
      <c r="R258" t="s">
        <v>48</v>
      </c>
      <c r="S258" t="s">
        <v>49</v>
      </c>
      <c r="T258" t="s">
        <v>80</v>
      </c>
      <c r="U258" t="s">
        <v>913</v>
      </c>
      <c r="V258">
        <v>6700</v>
      </c>
      <c r="W258" t="s">
        <v>48</v>
      </c>
      <c r="X258" t="s">
        <v>670</v>
      </c>
      <c r="Y258" t="s">
        <v>54</v>
      </c>
      <c r="Z258" s="12">
        <f>IF(N258&lt;=1,9,9+0.8*ROUNDUP(N258-1,0))</f>
        <v>17.8</v>
      </c>
      <c r="AA258" s="11">
        <v>-2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12">(Z258+AA258+AC258+AE258)*6%</f>
        <v>0.94799999999999995</v>
      </c>
      <c r="AG258" s="11">
        <f t="shared" ref="AG258:AG321" si="13">Z258+AA258+AC258+AE258+AF258</f>
        <v>16.748000000000001</v>
      </c>
      <c r="AH258" s="11">
        <v>0</v>
      </c>
      <c r="AI258" s="11">
        <f t="shared" ref="AI258:AI321" si="14">AG258+AH258</f>
        <v>16.748000000000001</v>
      </c>
      <c r="AJ258" t="s">
        <v>62</v>
      </c>
    </row>
    <row r="259" spans="1:36" ht="15" customHeight="1" x14ac:dyDescent="0.35">
      <c r="A259">
        <v>10428918</v>
      </c>
      <c r="B259" t="s">
        <v>36</v>
      </c>
      <c r="C259" t="s">
        <v>37</v>
      </c>
      <c r="D259" s="6" t="s">
        <v>38</v>
      </c>
      <c r="E259" t="s">
        <v>914</v>
      </c>
      <c r="F259" t="s">
        <v>40</v>
      </c>
      <c r="G259" t="s">
        <v>41</v>
      </c>
      <c r="H259" t="s">
        <v>915</v>
      </c>
      <c r="I259" t="s">
        <v>43</v>
      </c>
      <c r="J259">
        <v>2</v>
      </c>
      <c r="K259" t="s">
        <v>44</v>
      </c>
      <c r="L259" t="s">
        <v>45</v>
      </c>
      <c r="M259" t="s">
        <v>46</v>
      </c>
      <c r="N259" s="7">
        <v>12</v>
      </c>
      <c r="O259" s="8">
        <v>45643.5859837963</v>
      </c>
      <c r="P259" s="9">
        <v>45645</v>
      </c>
      <c r="Q259" t="s">
        <v>74</v>
      </c>
      <c r="R259" t="s">
        <v>48</v>
      </c>
      <c r="S259" t="s">
        <v>49</v>
      </c>
      <c r="T259" t="s">
        <v>117</v>
      </c>
      <c r="U259" t="s">
        <v>916</v>
      </c>
      <c r="V259">
        <v>43300</v>
      </c>
      <c r="W259" t="s">
        <v>48</v>
      </c>
      <c r="X259" t="s">
        <v>917</v>
      </c>
      <c r="Y259" t="s">
        <v>54</v>
      </c>
      <c r="Z259" s="12">
        <f>IF(N259&lt;=1,9,9+0.8*ROUNDUP(N259-1,0))</f>
        <v>17.8</v>
      </c>
      <c r="AA259" s="11">
        <v>-2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12"/>
        <v>0.94799999999999995</v>
      </c>
      <c r="AG259" s="11">
        <f t="shared" si="13"/>
        <v>16.748000000000001</v>
      </c>
      <c r="AH259" s="11">
        <v>0</v>
      </c>
      <c r="AI259" s="11">
        <f t="shared" si="14"/>
        <v>16.748000000000001</v>
      </c>
      <c r="AJ259" t="s">
        <v>62</v>
      </c>
    </row>
    <row r="260" spans="1:36" ht="15" customHeight="1" x14ac:dyDescent="0.35">
      <c r="A260">
        <v>10428918</v>
      </c>
      <c r="B260" t="s">
        <v>36</v>
      </c>
      <c r="C260" t="s">
        <v>37</v>
      </c>
      <c r="D260" s="6" t="s">
        <v>38</v>
      </c>
      <c r="E260" t="s">
        <v>918</v>
      </c>
      <c r="F260" t="s">
        <v>40</v>
      </c>
      <c r="G260" t="s">
        <v>41</v>
      </c>
      <c r="H260" t="s">
        <v>919</v>
      </c>
      <c r="I260" t="s">
        <v>43</v>
      </c>
      <c r="J260">
        <v>2</v>
      </c>
      <c r="K260" t="s">
        <v>44</v>
      </c>
      <c r="L260" t="s">
        <v>45</v>
      </c>
      <c r="M260" t="s">
        <v>46</v>
      </c>
      <c r="N260" s="7">
        <v>1</v>
      </c>
      <c r="O260" s="8">
        <v>45644.760983796295</v>
      </c>
      <c r="P260" s="9">
        <v>45645</v>
      </c>
      <c r="Q260" t="s">
        <v>74</v>
      </c>
      <c r="R260" t="s">
        <v>48</v>
      </c>
      <c r="S260" t="s">
        <v>49</v>
      </c>
      <c r="T260" t="s">
        <v>117</v>
      </c>
      <c r="U260" t="s">
        <v>920</v>
      </c>
      <c r="V260">
        <v>40170</v>
      </c>
      <c r="W260" t="s">
        <v>48</v>
      </c>
      <c r="X260" t="s">
        <v>921</v>
      </c>
      <c r="Y260" t="s">
        <v>54</v>
      </c>
      <c r="Z260" s="12">
        <f>IF(N260&lt;=1,9,9+0.8*ROUNDUP(N260-1,0))</f>
        <v>9</v>
      </c>
      <c r="AA260" s="11">
        <v>-2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12"/>
        <v>0.42</v>
      </c>
      <c r="AG260" s="11">
        <f t="shared" si="13"/>
        <v>7.42</v>
      </c>
      <c r="AH260" s="11">
        <v>0</v>
      </c>
      <c r="AI260" s="11">
        <f t="shared" si="14"/>
        <v>7.42</v>
      </c>
      <c r="AJ260" t="s">
        <v>62</v>
      </c>
    </row>
    <row r="261" spans="1:36" ht="15" customHeight="1" x14ac:dyDescent="0.35">
      <c r="A261">
        <v>10428918</v>
      </c>
      <c r="B261" t="s">
        <v>36</v>
      </c>
      <c r="C261" t="s">
        <v>37</v>
      </c>
      <c r="D261" s="6" t="s">
        <v>38</v>
      </c>
      <c r="E261" t="s">
        <v>922</v>
      </c>
      <c r="F261" t="s">
        <v>40</v>
      </c>
      <c r="G261" t="s">
        <v>41</v>
      </c>
      <c r="H261" t="s">
        <v>923</v>
      </c>
      <c r="I261" t="s">
        <v>43</v>
      </c>
      <c r="J261">
        <v>2</v>
      </c>
      <c r="K261" t="s">
        <v>44</v>
      </c>
      <c r="L261" t="s">
        <v>45</v>
      </c>
      <c r="M261" t="s">
        <v>46</v>
      </c>
      <c r="N261" s="7">
        <v>1</v>
      </c>
      <c r="O261" s="8">
        <v>45643.438483796293</v>
      </c>
      <c r="P261" s="9">
        <v>45645</v>
      </c>
      <c r="Q261" t="s">
        <v>74</v>
      </c>
      <c r="R261" t="s">
        <v>48</v>
      </c>
      <c r="S261" t="s">
        <v>49</v>
      </c>
      <c r="T261" t="s">
        <v>161</v>
      </c>
      <c r="U261" t="s">
        <v>924</v>
      </c>
      <c r="V261">
        <v>14200</v>
      </c>
      <c r="W261" t="s">
        <v>48</v>
      </c>
      <c r="X261" t="s">
        <v>666</v>
      </c>
      <c r="Y261" t="s">
        <v>54</v>
      </c>
      <c r="Z261" s="12">
        <f>IF(N261&lt;=1,9,9+0.8*ROUNDUP(N261-1,0))</f>
        <v>9</v>
      </c>
      <c r="AA261" s="11">
        <v>-2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12"/>
        <v>0.42</v>
      </c>
      <c r="AG261" s="11">
        <f t="shared" si="13"/>
        <v>7.42</v>
      </c>
      <c r="AH261" s="11">
        <v>0</v>
      </c>
      <c r="AI261" s="11">
        <f t="shared" si="14"/>
        <v>7.42</v>
      </c>
      <c r="AJ261" t="s">
        <v>62</v>
      </c>
    </row>
    <row r="262" spans="1:36" ht="15" customHeight="1" x14ac:dyDescent="0.35">
      <c r="A262">
        <v>10428918</v>
      </c>
      <c r="B262" t="s">
        <v>36</v>
      </c>
      <c r="C262" t="s">
        <v>37</v>
      </c>
      <c r="D262" s="6" t="s">
        <v>38</v>
      </c>
      <c r="E262" t="s">
        <v>925</v>
      </c>
      <c r="F262" t="s">
        <v>40</v>
      </c>
      <c r="G262" t="s">
        <v>41</v>
      </c>
      <c r="H262" t="s">
        <v>926</v>
      </c>
      <c r="I262" t="s">
        <v>43</v>
      </c>
      <c r="J262">
        <v>2</v>
      </c>
      <c r="K262" t="s">
        <v>44</v>
      </c>
      <c r="L262" t="s">
        <v>45</v>
      </c>
      <c r="M262" t="s">
        <v>46</v>
      </c>
      <c r="N262" s="7">
        <v>2</v>
      </c>
      <c r="O262" s="8">
        <v>45644.521805555552</v>
      </c>
      <c r="P262" s="9">
        <v>45645</v>
      </c>
      <c r="Q262" t="s">
        <v>74</v>
      </c>
      <c r="R262" t="s">
        <v>48</v>
      </c>
      <c r="S262" t="s">
        <v>49</v>
      </c>
      <c r="T262" t="s">
        <v>117</v>
      </c>
      <c r="U262" t="s">
        <v>927</v>
      </c>
      <c r="V262">
        <v>47000</v>
      </c>
      <c r="W262" t="s">
        <v>48</v>
      </c>
      <c r="X262" t="s">
        <v>556</v>
      </c>
      <c r="Y262" t="s">
        <v>54</v>
      </c>
      <c r="Z262" s="12">
        <f>IF(N262&lt;=1,9,9+0.8*ROUNDUP(N262-1,0))</f>
        <v>9.8000000000000007</v>
      </c>
      <c r="AA262" s="11">
        <v>-2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12"/>
        <v>0.46800000000000003</v>
      </c>
      <c r="AG262" s="11">
        <f t="shared" si="13"/>
        <v>8.2680000000000007</v>
      </c>
      <c r="AH262" s="11">
        <v>0</v>
      </c>
      <c r="AI262" s="11">
        <f t="shared" si="14"/>
        <v>8.2680000000000007</v>
      </c>
      <c r="AJ262" t="s">
        <v>62</v>
      </c>
    </row>
    <row r="263" spans="1:36" ht="15" customHeight="1" x14ac:dyDescent="0.35">
      <c r="A263">
        <v>10428918</v>
      </c>
      <c r="B263" t="s">
        <v>36</v>
      </c>
      <c r="C263" t="s">
        <v>37</v>
      </c>
      <c r="D263" s="6" t="s">
        <v>38</v>
      </c>
      <c r="E263" t="s">
        <v>928</v>
      </c>
      <c r="F263" t="s">
        <v>40</v>
      </c>
      <c r="G263" t="s">
        <v>41</v>
      </c>
      <c r="H263" t="s">
        <v>929</v>
      </c>
      <c r="I263" t="s">
        <v>43</v>
      </c>
      <c r="J263">
        <v>2</v>
      </c>
      <c r="K263" t="s">
        <v>44</v>
      </c>
      <c r="L263" t="s">
        <v>45</v>
      </c>
      <c r="M263" t="s">
        <v>46</v>
      </c>
      <c r="N263" s="7">
        <v>1</v>
      </c>
      <c r="O263" s="8">
        <v>45644.530405092592</v>
      </c>
      <c r="P263" s="9">
        <v>45645</v>
      </c>
      <c r="Q263" t="s">
        <v>74</v>
      </c>
      <c r="R263" t="s">
        <v>48</v>
      </c>
      <c r="S263" t="s">
        <v>49</v>
      </c>
      <c r="T263" t="s">
        <v>75</v>
      </c>
      <c r="U263" t="s">
        <v>930</v>
      </c>
      <c r="V263">
        <v>25150</v>
      </c>
      <c r="W263" t="s">
        <v>48</v>
      </c>
      <c r="X263" t="s">
        <v>77</v>
      </c>
      <c r="Y263" t="s">
        <v>54</v>
      </c>
      <c r="Z263" s="12">
        <f>IF(N263&lt;=1,9,9+0.8*ROUNDUP(N263-1,0))</f>
        <v>9</v>
      </c>
      <c r="AA263" s="11">
        <v>-2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12"/>
        <v>0.42</v>
      </c>
      <c r="AG263" s="11">
        <f t="shared" si="13"/>
        <v>7.42</v>
      </c>
      <c r="AH263" s="11">
        <v>0</v>
      </c>
      <c r="AI263" s="11">
        <f t="shared" si="14"/>
        <v>7.42</v>
      </c>
      <c r="AJ263" t="s">
        <v>62</v>
      </c>
    </row>
    <row r="264" spans="1:36" ht="15" customHeight="1" x14ac:dyDescent="0.35">
      <c r="A264">
        <v>10428918</v>
      </c>
      <c r="B264" t="s">
        <v>36</v>
      </c>
      <c r="C264" t="s">
        <v>37</v>
      </c>
      <c r="D264" s="6" t="s">
        <v>38</v>
      </c>
      <c r="E264" t="s">
        <v>931</v>
      </c>
      <c r="F264" t="s">
        <v>40</v>
      </c>
      <c r="G264" t="s">
        <v>41</v>
      </c>
      <c r="H264" t="s">
        <v>932</v>
      </c>
      <c r="I264" t="s">
        <v>43</v>
      </c>
      <c r="J264">
        <v>2</v>
      </c>
      <c r="K264" t="s">
        <v>44</v>
      </c>
      <c r="L264" t="s">
        <v>45</v>
      </c>
      <c r="M264" t="s">
        <v>46</v>
      </c>
      <c r="N264" s="7">
        <v>1</v>
      </c>
      <c r="O264" s="8">
        <v>45641.502754629626</v>
      </c>
      <c r="P264" s="9">
        <v>45645</v>
      </c>
      <c r="Q264" t="s">
        <v>74</v>
      </c>
      <c r="R264" t="s">
        <v>48</v>
      </c>
      <c r="S264" t="s">
        <v>49</v>
      </c>
      <c r="T264" t="s">
        <v>50</v>
      </c>
      <c r="U264" t="s">
        <v>933</v>
      </c>
      <c r="V264">
        <v>88450</v>
      </c>
      <c r="W264" t="s">
        <v>52</v>
      </c>
      <c r="X264" t="s">
        <v>53</v>
      </c>
      <c r="Y264" t="s">
        <v>54</v>
      </c>
      <c r="Z264" s="10">
        <f>IF(N264&lt;=1,13,IF(N264&lt;=2,23,IF(N264&lt;=3,35,IF(N264&lt;=4,43,IF(N264&lt;=5,53,IF(N264&lt;=6,63,IF(N264&lt;=7,71,IF(N264&lt;=8,79,IF(N264&lt;=9,87,IF(N264&lt;=10,95,IF(N264&lt;=11,105,IF(N264&lt;=12,114,IF(N264&lt;=13,119,IF(N264&lt;=14,127,IF(N264&lt;=15,135,IF(N264&lt;=16,143,IF(N264&lt;=17,153,IF(N264&lt;=18,163,IF(N264&lt;=19,171,IF(N264&lt;=20,185,IF(N264&lt;=21,193,IF(N264&lt;=22,201,IF(N264&lt;=23,210,IF(N264&lt;=24,220,IF(N264&lt;=25,230,IF(N264&lt;=26,240,IF(N264&lt;=27,250,IF(N264&lt;=28,260,IF(N264&lt;=29,270,IF(N264&lt;=30,280,280+10*ROUNDUP(N264-30,0)))))))))))))))))))))))))))))))</f>
        <v>13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12"/>
        <v>0.78</v>
      </c>
      <c r="AG264" s="11">
        <f t="shared" si="13"/>
        <v>13.78</v>
      </c>
      <c r="AH264" s="11">
        <v>0</v>
      </c>
      <c r="AI264" s="11">
        <f t="shared" si="14"/>
        <v>13.78</v>
      </c>
      <c r="AJ264" t="s">
        <v>55</v>
      </c>
    </row>
    <row r="265" spans="1:36" ht="15" customHeight="1" x14ac:dyDescent="0.35">
      <c r="A265">
        <v>10428918</v>
      </c>
      <c r="B265" t="s">
        <v>36</v>
      </c>
      <c r="C265" t="s">
        <v>37</v>
      </c>
      <c r="D265" s="6" t="s">
        <v>38</v>
      </c>
      <c r="E265" t="s">
        <v>934</v>
      </c>
      <c r="F265" t="s">
        <v>40</v>
      </c>
      <c r="G265" t="s">
        <v>41</v>
      </c>
      <c r="H265" t="s">
        <v>935</v>
      </c>
      <c r="I265" t="s">
        <v>43</v>
      </c>
      <c r="J265">
        <v>2</v>
      </c>
      <c r="K265" t="s">
        <v>44</v>
      </c>
      <c r="L265" t="s">
        <v>45</v>
      </c>
      <c r="M265" t="s">
        <v>46</v>
      </c>
      <c r="N265" s="7">
        <v>2</v>
      </c>
      <c r="O265" s="8">
        <v>45643.629629629628</v>
      </c>
      <c r="P265" s="9">
        <v>45645</v>
      </c>
      <c r="Q265" t="s">
        <v>74</v>
      </c>
      <c r="R265" t="s">
        <v>48</v>
      </c>
      <c r="S265" t="s">
        <v>49</v>
      </c>
      <c r="T265" t="s">
        <v>117</v>
      </c>
      <c r="U265" t="s">
        <v>936</v>
      </c>
      <c r="V265">
        <v>47600</v>
      </c>
      <c r="W265" t="s">
        <v>48</v>
      </c>
      <c r="X265" t="s">
        <v>473</v>
      </c>
      <c r="Y265" t="s">
        <v>54</v>
      </c>
      <c r="Z265" s="12">
        <f>IF(N265&lt;=1,9,9+0.8*ROUNDUP(N265-1,0))</f>
        <v>9.8000000000000007</v>
      </c>
      <c r="AA265" s="11">
        <v>-2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12"/>
        <v>0.46800000000000003</v>
      </c>
      <c r="AG265" s="11">
        <f t="shared" si="13"/>
        <v>8.2680000000000007</v>
      </c>
      <c r="AH265" s="11">
        <v>0</v>
      </c>
      <c r="AI265" s="11">
        <f t="shared" si="14"/>
        <v>8.2680000000000007</v>
      </c>
      <c r="AJ265" t="s">
        <v>62</v>
      </c>
    </row>
    <row r="266" spans="1:36" ht="15" customHeight="1" x14ac:dyDescent="0.35">
      <c r="A266">
        <v>10428918</v>
      </c>
      <c r="B266" t="s">
        <v>36</v>
      </c>
      <c r="C266" t="s">
        <v>37</v>
      </c>
      <c r="D266" s="6" t="s">
        <v>38</v>
      </c>
      <c r="E266" t="s">
        <v>937</v>
      </c>
      <c r="F266" t="s">
        <v>40</v>
      </c>
      <c r="G266" t="s">
        <v>41</v>
      </c>
      <c r="H266" t="s">
        <v>938</v>
      </c>
      <c r="I266" t="s">
        <v>43</v>
      </c>
      <c r="J266">
        <v>2</v>
      </c>
      <c r="K266" t="s">
        <v>44</v>
      </c>
      <c r="L266" t="s">
        <v>45</v>
      </c>
      <c r="M266" t="s">
        <v>46</v>
      </c>
      <c r="N266" s="7">
        <v>3</v>
      </c>
      <c r="O266" s="8">
        <v>45644.429548611108</v>
      </c>
      <c r="P266" s="9">
        <v>45645</v>
      </c>
      <c r="Q266" t="s">
        <v>74</v>
      </c>
      <c r="R266" t="s">
        <v>48</v>
      </c>
      <c r="S266" t="s">
        <v>49</v>
      </c>
      <c r="T266" t="s">
        <v>59</v>
      </c>
      <c r="U266" t="s">
        <v>939</v>
      </c>
      <c r="V266">
        <v>18500</v>
      </c>
      <c r="W266" t="s">
        <v>48</v>
      </c>
      <c r="X266" t="s">
        <v>77</v>
      </c>
      <c r="Y266" t="s">
        <v>54</v>
      </c>
      <c r="Z266" s="12">
        <f>IF(N266&lt;=1,9,9+0.8*ROUNDUP(N266-1,0))</f>
        <v>10.6</v>
      </c>
      <c r="AA266" s="11">
        <v>-2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12"/>
        <v>0.51600000000000001</v>
      </c>
      <c r="AG266" s="11">
        <f t="shared" si="13"/>
        <v>9.1159999999999997</v>
      </c>
      <c r="AH266" s="11">
        <v>0</v>
      </c>
      <c r="AI266" s="11">
        <f t="shared" si="14"/>
        <v>9.1159999999999997</v>
      </c>
      <c r="AJ266" t="s">
        <v>62</v>
      </c>
    </row>
    <row r="267" spans="1:36" ht="15" customHeight="1" x14ac:dyDescent="0.35">
      <c r="A267">
        <v>10428918</v>
      </c>
      <c r="B267" t="s">
        <v>36</v>
      </c>
      <c r="C267" t="s">
        <v>37</v>
      </c>
      <c r="D267" s="6" t="s">
        <v>38</v>
      </c>
      <c r="E267" t="s">
        <v>940</v>
      </c>
      <c r="F267" t="s">
        <v>40</v>
      </c>
      <c r="G267" t="s">
        <v>41</v>
      </c>
      <c r="H267" t="s">
        <v>941</v>
      </c>
      <c r="I267" t="s">
        <v>43</v>
      </c>
      <c r="J267">
        <v>2</v>
      </c>
      <c r="K267" t="s">
        <v>44</v>
      </c>
      <c r="L267" t="s">
        <v>45</v>
      </c>
      <c r="M267" t="s">
        <v>46</v>
      </c>
      <c r="N267" s="7">
        <v>2</v>
      </c>
      <c r="O267" s="8">
        <v>45644.394803240742</v>
      </c>
      <c r="P267" s="9">
        <v>45645</v>
      </c>
      <c r="Q267" t="s">
        <v>74</v>
      </c>
      <c r="R267" t="s">
        <v>48</v>
      </c>
      <c r="S267" t="s">
        <v>49</v>
      </c>
      <c r="T267" t="s">
        <v>117</v>
      </c>
      <c r="U267" t="s">
        <v>942</v>
      </c>
      <c r="V267">
        <v>40400</v>
      </c>
      <c r="W267" t="s">
        <v>48</v>
      </c>
      <c r="X267" t="s">
        <v>943</v>
      </c>
      <c r="Y267" t="s">
        <v>54</v>
      </c>
      <c r="Z267" s="12">
        <f>IF(N267&lt;=1,9,9+0.8*ROUNDUP(N267-1,0))</f>
        <v>9.8000000000000007</v>
      </c>
      <c r="AA267" s="11">
        <v>-2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12"/>
        <v>0.46800000000000003</v>
      </c>
      <c r="AG267" s="11">
        <f t="shared" si="13"/>
        <v>8.2680000000000007</v>
      </c>
      <c r="AH267" s="11">
        <v>0</v>
      </c>
      <c r="AI267" s="11">
        <f t="shared" si="14"/>
        <v>8.2680000000000007</v>
      </c>
      <c r="AJ267" t="s">
        <v>62</v>
      </c>
    </row>
    <row r="268" spans="1:36" ht="15" customHeight="1" x14ac:dyDescent="0.35">
      <c r="A268">
        <v>10428918</v>
      </c>
      <c r="B268" t="s">
        <v>36</v>
      </c>
      <c r="C268" t="s">
        <v>37</v>
      </c>
      <c r="D268" s="6" t="s">
        <v>38</v>
      </c>
      <c r="E268" t="s">
        <v>944</v>
      </c>
      <c r="F268" t="s">
        <v>40</v>
      </c>
      <c r="G268" t="s">
        <v>41</v>
      </c>
      <c r="H268" t="s">
        <v>945</v>
      </c>
      <c r="I268" t="s">
        <v>43</v>
      </c>
      <c r="J268">
        <v>2</v>
      </c>
      <c r="K268" t="s">
        <v>44</v>
      </c>
      <c r="L268" t="s">
        <v>45</v>
      </c>
      <c r="M268" t="s">
        <v>46</v>
      </c>
      <c r="N268" s="7">
        <v>1</v>
      </c>
      <c r="O268" s="8">
        <v>45644.530416666668</v>
      </c>
      <c r="P268" s="9">
        <v>45645</v>
      </c>
      <c r="Q268" t="s">
        <v>74</v>
      </c>
      <c r="R268" t="s">
        <v>48</v>
      </c>
      <c r="S268" t="s">
        <v>49</v>
      </c>
      <c r="T268" t="s">
        <v>59</v>
      </c>
      <c r="U268" t="s">
        <v>946</v>
      </c>
      <c r="V268">
        <v>16310</v>
      </c>
      <c r="W268" t="s">
        <v>48</v>
      </c>
      <c r="X268" t="s">
        <v>77</v>
      </c>
      <c r="Y268" t="s">
        <v>54</v>
      </c>
      <c r="Z268" s="12">
        <f>IF(N268&lt;=1,9,9+0.8*ROUNDUP(N268-1,0))</f>
        <v>9</v>
      </c>
      <c r="AA268" s="11">
        <v>-2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12"/>
        <v>0.42</v>
      </c>
      <c r="AG268" s="11">
        <f t="shared" si="13"/>
        <v>7.42</v>
      </c>
      <c r="AH268" s="11">
        <v>0</v>
      </c>
      <c r="AI268" s="11">
        <f t="shared" si="14"/>
        <v>7.42</v>
      </c>
      <c r="AJ268" t="s">
        <v>62</v>
      </c>
    </row>
    <row r="269" spans="1:36" ht="15" customHeight="1" x14ac:dyDescent="0.35">
      <c r="A269">
        <v>10428918</v>
      </c>
      <c r="B269" t="s">
        <v>36</v>
      </c>
      <c r="C269" t="s">
        <v>37</v>
      </c>
      <c r="D269" s="6" t="s">
        <v>38</v>
      </c>
      <c r="E269" t="s">
        <v>947</v>
      </c>
      <c r="F269" t="s">
        <v>40</v>
      </c>
      <c r="G269" t="s">
        <v>41</v>
      </c>
      <c r="H269" t="s">
        <v>948</v>
      </c>
      <c r="I269" t="s">
        <v>43</v>
      </c>
      <c r="J269">
        <v>2</v>
      </c>
      <c r="K269" t="s">
        <v>44</v>
      </c>
      <c r="L269" t="s">
        <v>45</v>
      </c>
      <c r="M269" t="s">
        <v>46</v>
      </c>
      <c r="N269" s="7">
        <v>2</v>
      </c>
      <c r="O269" s="8">
        <v>45644.530416666668</v>
      </c>
      <c r="P269" s="9">
        <v>45645</v>
      </c>
      <c r="Q269" t="s">
        <v>74</v>
      </c>
      <c r="R269" t="s">
        <v>48</v>
      </c>
      <c r="S269" t="s">
        <v>49</v>
      </c>
      <c r="T269" t="s">
        <v>90</v>
      </c>
      <c r="U269" t="s">
        <v>949</v>
      </c>
      <c r="V269">
        <v>21450</v>
      </c>
      <c r="W269" t="s">
        <v>48</v>
      </c>
      <c r="X269" t="s">
        <v>92</v>
      </c>
      <c r="Y269" t="s">
        <v>54</v>
      </c>
      <c r="Z269" s="12">
        <f>IF(N269&lt;=1,9,9+0.8*ROUNDUP(N269-1,0))</f>
        <v>9.8000000000000007</v>
      </c>
      <c r="AA269" s="11">
        <v>-2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12"/>
        <v>0.46800000000000003</v>
      </c>
      <c r="AG269" s="11">
        <f t="shared" si="13"/>
        <v>8.2680000000000007</v>
      </c>
      <c r="AH269" s="11">
        <v>0</v>
      </c>
      <c r="AI269" s="11">
        <f t="shared" si="14"/>
        <v>8.2680000000000007</v>
      </c>
      <c r="AJ269" t="s">
        <v>62</v>
      </c>
    </row>
    <row r="270" spans="1:36" ht="15" customHeight="1" x14ac:dyDescent="0.35">
      <c r="A270">
        <v>10428918</v>
      </c>
      <c r="B270" t="s">
        <v>36</v>
      </c>
      <c r="C270" t="s">
        <v>37</v>
      </c>
      <c r="D270" s="6" t="s">
        <v>38</v>
      </c>
      <c r="E270" t="s">
        <v>950</v>
      </c>
      <c r="F270" t="s">
        <v>40</v>
      </c>
      <c r="G270" t="s">
        <v>41</v>
      </c>
      <c r="H270" t="s">
        <v>951</v>
      </c>
      <c r="I270" t="s">
        <v>43</v>
      </c>
      <c r="J270">
        <v>2</v>
      </c>
      <c r="K270" t="s">
        <v>44</v>
      </c>
      <c r="L270" t="s">
        <v>45</v>
      </c>
      <c r="M270" t="s">
        <v>46</v>
      </c>
      <c r="N270" s="7">
        <v>1</v>
      </c>
      <c r="O270" s="8">
        <v>45643.859398148146</v>
      </c>
      <c r="P270" s="9">
        <v>45645</v>
      </c>
      <c r="Q270" t="s">
        <v>74</v>
      </c>
      <c r="R270" t="s">
        <v>48</v>
      </c>
      <c r="S270" t="s">
        <v>49</v>
      </c>
      <c r="T270" t="s">
        <v>59</v>
      </c>
      <c r="U270" t="s">
        <v>952</v>
      </c>
      <c r="V270">
        <v>16300</v>
      </c>
      <c r="W270" t="s">
        <v>48</v>
      </c>
      <c r="X270" t="s">
        <v>77</v>
      </c>
      <c r="Y270" t="s">
        <v>54</v>
      </c>
      <c r="Z270" s="12">
        <f>IF(N270&lt;=1,9,9+0.8*ROUNDUP(N270-1,0))</f>
        <v>9</v>
      </c>
      <c r="AA270" s="11">
        <v>-2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12"/>
        <v>0.42</v>
      </c>
      <c r="AG270" s="11">
        <f t="shared" si="13"/>
        <v>7.42</v>
      </c>
      <c r="AH270" s="11">
        <v>0</v>
      </c>
      <c r="AI270" s="11">
        <f t="shared" si="14"/>
        <v>7.42</v>
      </c>
      <c r="AJ270" t="s">
        <v>62</v>
      </c>
    </row>
    <row r="271" spans="1:36" ht="15" customHeight="1" x14ac:dyDescent="0.35">
      <c r="A271">
        <v>10428918</v>
      </c>
      <c r="B271" t="s">
        <v>36</v>
      </c>
      <c r="C271" t="s">
        <v>37</v>
      </c>
      <c r="D271" s="6" t="s">
        <v>38</v>
      </c>
      <c r="E271" t="s">
        <v>953</v>
      </c>
      <c r="F271" t="s">
        <v>40</v>
      </c>
      <c r="G271" t="s">
        <v>41</v>
      </c>
      <c r="H271" t="s">
        <v>954</v>
      </c>
      <c r="I271" t="s">
        <v>43</v>
      </c>
      <c r="J271">
        <v>2</v>
      </c>
      <c r="K271" t="s">
        <v>44</v>
      </c>
      <c r="L271" t="s">
        <v>45</v>
      </c>
      <c r="M271" t="s">
        <v>46</v>
      </c>
      <c r="N271" s="7">
        <v>1</v>
      </c>
      <c r="O271" s="8">
        <v>45644.720462962963</v>
      </c>
      <c r="P271" s="9">
        <v>45645</v>
      </c>
      <c r="Q271" t="s">
        <v>74</v>
      </c>
      <c r="R271" t="s">
        <v>48</v>
      </c>
      <c r="S271" t="s">
        <v>49</v>
      </c>
      <c r="T271" t="s">
        <v>117</v>
      </c>
      <c r="U271" t="s">
        <v>955</v>
      </c>
      <c r="V271">
        <v>48300</v>
      </c>
      <c r="W271" t="s">
        <v>48</v>
      </c>
      <c r="X271" t="s">
        <v>254</v>
      </c>
      <c r="Y271" t="s">
        <v>54</v>
      </c>
      <c r="Z271" s="12">
        <f>IF(N271&lt;=1,9,9+0.8*ROUNDUP(N271-1,0))</f>
        <v>9</v>
      </c>
      <c r="AA271" s="11">
        <v>-2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12"/>
        <v>0.42</v>
      </c>
      <c r="AG271" s="11">
        <f t="shared" si="13"/>
        <v>7.42</v>
      </c>
      <c r="AH271" s="11">
        <v>0</v>
      </c>
      <c r="AI271" s="11">
        <f t="shared" si="14"/>
        <v>7.42</v>
      </c>
      <c r="AJ271" t="s">
        <v>62</v>
      </c>
    </row>
    <row r="272" spans="1:36" ht="15" customHeight="1" x14ac:dyDescent="0.35">
      <c r="A272">
        <v>10428918</v>
      </c>
      <c r="B272" t="s">
        <v>36</v>
      </c>
      <c r="C272" t="s">
        <v>37</v>
      </c>
      <c r="D272" s="6" t="s">
        <v>38</v>
      </c>
      <c r="E272" t="s">
        <v>956</v>
      </c>
      <c r="F272" t="s">
        <v>40</v>
      </c>
      <c r="G272" t="s">
        <v>41</v>
      </c>
      <c r="H272" t="s">
        <v>957</v>
      </c>
      <c r="I272" t="s">
        <v>43</v>
      </c>
      <c r="J272">
        <v>2</v>
      </c>
      <c r="K272" t="s">
        <v>44</v>
      </c>
      <c r="L272" t="s">
        <v>45</v>
      </c>
      <c r="M272" t="s">
        <v>46</v>
      </c>
      <c r="N272" s="7">
        <v>1</v>
      </c>
      <c r="O272" s="8">
        <v>45644.756064814814</v>
      </c>
      <c r="P272" s="9">
        <v>45645</v>
      </c>
      <c r="Q272" t="s">
        <v>74</v>
      </c>
      <c r="R272" t="s">
        <v>48</v>
      </c>
      <c r="S272" t="s">
        <v>49</v>
      </c>
      <c r="T272" t="s">
        <v>75</v>
      </c>
      <c r="U272" t="s">
        <v>958</v>
      </c>
      <c r="V272">
        <v>39000</v>
      </c>
      <c r="W272" t="s">
        <v>48</v>
      </c>
      <c r="X272" t="s">
        <v>77</v>
      </c>
      <c r="Y272" t="s">
        <v>54</v>
      </c>
      <c r="Z272" s="12">
        <f>IF(N272&lt;=1,9,9+0.8*ROUNDUP(N272-1,0))</f>
        <v>9</v>
      </c>
      <c r="AA272" s="11">
        <v>-2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12"/>
        <v>0.42</v>
      </c>
      <c r="AG272" s="11">
        <f t="shared" si="13"/>
        <v>7.42</v>
      </c>
      <c r="AH272" s="11">
        <v>0</v>
      </c>
      <c r="AI272" s="11">
        <f t="shared" si="14"/>
        <v>7.42</v>
      </c>
      <c r="AJ272" t="s">
        <v>62</v>
      </c>
    </row>
    <row r="273" spans="1:36" ht="15" customHeight="1" x14ac:dyDescent="0.35">
      <c r="A273">
        <v>10428918</v>
      </c>
      <c r="B273" t="s">
        <v>36</v>
      </c>
      <c r="C273" t="s">
        <v>37</v>
      </c>
      <c r="D273" s="6" t="s">
        <v>38</v>
      </c>
      <c r="E273" t="s">
        <v>959</v>
      </c>
      <c r="F273" t="s">
        <v>40</v>
      </c>
      <c r="G273" t="s">
        <v>41</v>
      </c>
      <c r="H273" t="s">
        <v>960</v>
      </c>
      <c r="I273" t="s">
        <v>43</v>
      </c>
      <c r="J273">
        <v>2</v>
      </c>
      <c r="K273" t="s">
        <v>44</v>
      </c>
      <c r="L273" t="s">
        <v>45</v>
      </c>
      <c r="M273" t="s">
        <v>46</v>
      </c>
      <c r="N273" s="7">
        <v>5</v>
      </c>
      <c r="O273" s="8">
        <v>45644.751585648148</v>
      </c>
      <c r="P273" s="9">
        <v>45645</v>
      </c>
      <c r="Q273" t="s">
        <v>74</v>
      </c>
      <c r="R273" t="s">
        <v>48</v>
      </c>
      <c r="S273" t="s">
        <v>49</v>
      </c>
      <c r="T273" t="s">
        <v>90</v>
      </c>
      <c r="U273" t="s">
        <v>961</v>
      </c>
      <c r="V273">
        <v>24000</v>
      </c>
      <c r="W273" t="s">
        <v>48</v>
      </c>
      <c r="X273" t="s">
        <v>962</v>
      </c>
      <c r="Y273" t="s">
        <v>54</v>
      </c>
      <c r="Z273" s="12">
        <f>IF(N273&lt;=1,9,9+0.8*ROUNDUP(N273-1,0))</f>
        <v>12.2</v>
      </c>
      <c r="AA273" s="11">
        <v>-2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12"/>
        <v>0.61199999999999999</v>
      </c>
      <c r="AG273" s="11">
        <f t="shared" si="13"/>
        <v>10.811999999999999</v>
      </c>
      <c r="AH273" s="11">
        <v>0</v>
      </c>
      <c r="AI273" s="11">
        <f t="shared" si="14"/>
        <v>10.811999999999999</v>
      </c>
      <c r="AJ273" t="s">
        <v>62</v>
      </c>
    </row>
    <row r="274" spans="1:36" ht="15" customHeight="1" x14ac:dyDescent="0.35">
      <c r="A274">
        <v>10428918</v>
      </c>
      <c r="B274" t="s">
        <v>36</v>
      </c>
      <c r="C274" t="s">
        <v>37</v>
      </c>
      <c r="D274" s="6" t="s">
        <v>38</v>
      </c>
      <c r="E274" t="s">
        <v>963</v>
      </c>
      <c r="F274" t="s">
        <v>40</v>
      </c>
      <c r="G274" t="s">
        <v>41</v>
      </c>
      <c r="H274" t="s">
        <v>964</v>
      </c>
      <c r="I274" t="s">
        <v>43</v>
      </c>
      <c r="J274">
        <v>2</v>
      </c>
      <c r="K274" t="s">
        <v>44</v>
      </c>
      <c r="L274" t="s">
        <v>45</v>
      </c>
      <c r="M274" t="s">
        <v>46</v>
      </c>
      <c r="N274" s="7">
        <v>2</v>
      </c>
      <c r="O274" s="8">
        <v>45643.637118055558</v>
      </c>
      <c r="P274" s="9">
        <v>45645</v>
      </c>
      <c r="Q274" t="s">
        <v>74</v>
      </c>
      <c r="R274" t="s">
        <v>48</v>
      </c>
      <c r="S274" t="s">
        <v>49</v>
      </c>
      <c r="T274" t="s">
        <v>75</v>
      </c>
      <c r="U274" t="s">
        <v>965</v>
      </c>
      <c r="V274">
        <v>27150</v>
      </c>
      <c r="W274" t="s">
        <v>48</v>
      </c>
      <c r="X274" t="s">
        <v>77</v>
      </c>
      <c r="Y274" t="s">
        <v>54</v>
      </c>
      <c r="Z274" s="12">
        <f>IF(N274&lt;=1,9,9+0.8*ROUNDUP(N274-1,0))</f>
        <v>9.8000000000000007</v>
      </c>
      <c r="AA274" s="11">
        <v>-2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12"/>
        <v>0.46800000000000003</v>
      </c>
      <c r="AG274" s="11">
        <f t="shared" si="13"/>
        <v>8.2680000000000007</v>
      </c>
      <c r="AH274" s="11">
        <v>0</v>
      </c>
      <c r="AI274" s="11">
        <f t="shared" si="14"/>
        <v>8.2680000000000007</v>
      </c>
      <c r="AJ274" t="s">
        <v>62</v>
      </c>
    </row>
    <row r="275" spans="1:36" ht="15" customHeight="1" x14ac:dyDescent="0.35">
      <c r="A275">
        <v>10428918</v>
      </c>
      <c r="B275" t="s">
        <v>36</v>
      </c>
      <c r="C275" t="s">
        <v>37</v>
      </c>
      <c r="D275" s="6" t="s">
        <v>38</v>
      </c>
      <c r="E275" t="s">
        <v>966</v>
      </c>
      <c r="F275" t="s">
        <v>40</v>
      </c>
      <c r="G275" t="s">
        <v>41</v>
      </c>
      <c r="H275" t="s">
        <v>967</v>
      </c>
      <c r="I275" t="s">
        <v>43</v>
      </c>
      <c r="J275">
        <v>2</v>
      </c>
      <c r="K275" t="s">
        <v>44</v>
      </c>
      <c r="L275" t="s">
        <v>45</v>
      </c>
      <c r="M275" t="s">
        <v>46</v>
      </c>
      <c r="N275" s="7">
        <v>3</v>
      </c>
      <c r="O275" s="8">
        <v>45643.637118055558</v>
      </c>
      <c r="P275" s="9">
        <v>45645</v>
      </c>
      <c r="Q275" t="s">
        <v>74</v>
      </c>
      <c r="R275" t="s">
        <v>48</v>
      </c>
      <c r="S275" t="s">
        <v>49</v>
      </c>
      <c r="T275" t="s">
        <v>90</v>
      </c>
      <c r="U275" t="s">
        <v>968</v>
      </c>
      <c r="V275">
        <v>23000</v>
      </c>
      <c r="W275" t="s">
        <v>48</v>
      </c>
      <c r="X275" t="s">
        <v>969</v>
      </c>
      <c r="Y275" t="s">
        <v>54</v>
      </c>
      <c r="Z275" s="12">
        <f>IF(N275&lt;=1,9,9+0.8*ROUNDUP(N275-1,0))</f>
        <v>10.6</v>
      </c>
      <c r="AA275" s="11">
        <v>-2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12"/>
        <v>0.51600000000000001</v>
      </c>
      <c r="AG275" s="11">
        <f t="shared" si="13"/>
        <v>9.1159999999999997</v>
      </c>
      <c r="AH275" s="11">
        <v>0</v>
      </c>
      <c r="AI275" s="11">
        <f t="shared" si="14"/>
        <v>9.1159999999999997</v>
      </c>
      <c r="AJ275" t="s">
        <v>62</v>
      </c>
    </row>
    <row r="276" spans="1:36" ht="15" customHeight="1" x14ac:dyDescent="0.35">
      <c r="A276">
        <v>10428918</v>
      </c>
      <c r="B276" t="s">
        <v>36</v>
      </c>
      <c r="C276" t="s">
        <v>37</v>
      </c>
      <c r="D276" s="6" t="s">
        <v>38</v>
      </c>
      <c r="E276" t="s">
        <v>970</v>
      </c>
      <c r="F276" t="s">
        <v>40</v>
      </c>
      <c r="G276" t="s">
        <v>41</v>
      </c>
      <c r="H276" t="s">
        <v>971</v>
      </c>
      <c r="I276" t="s">
        <v>43</v>
      </c>
      <c r="J276">
        <v>2</v>
      </c>
      <c r="K276" t="s">
        <v>44</v>
      </c>
      <c r="L276" t="s">
        <v>45</v>
      </c>
      <c r="M276" t="s">
        <v>46</v>
      </c>
      <c r="N276" s="7">
        <v>2</v>
      </c>
      <c r="O276" s="8">
        <v>45642.78533564815</v>
      </c>
      <c r="P276" s="9">
        <v>45645</v>
      </c>
      <c r="Q276" t="s">
        <v>74</v>
      </c>
      <c r="R276" t="s">
        <v>48</v>
      </c>
      <c r="S276" t="s">
        <v>49</v>
      </c>
      <c r="T276" t="s">
        <v>80</v>
      </c>
      <c r="U276" t="s">
        <v>972</v>
      </c>
      <c r="V276">
        <v>6100</v>
      </c>
      <c r="W276" t="s">
        <v>48</v>
      </c>
      <c r="X276" t="s">
        <v>522</v>
      </c>
      <c r="Y276" t="s">
        <v>54</v>
      </c>
      <c r="Z276" s="12">
        <f>IF(N276&lt;=1,9,9+0.8*ROUNDUP(N276-1,0))</f>
        <v>9.8000000000000007</v>
      </c>
      <c r="AA276" s="11">
        <v>-2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12"/>
        <v>0.46800000000000003</v>
      </c>
      <c r="AG276" s="11">
        <f t="shared" si="13"/>
        <v>8.2680000000000007</v>
      </c>
      <c r="AH276" s="11">
        <v>0</v>
      </c>
      <c r="AI276" s="11">
        <f t="shared" si="14"/>
        <v>8.2680000000000007</v>
      </c>
      <c r="AJ276" t="s">
        <v>62</v>
      </c>
    </row>
    <row r="277" spans="1:36" ht="15" customHeight="1" x14ac:dyDescent="0.35">
      <c r="A277">
        <v>10428918</v>
      </c>
      <c r="B277" t="s">
        <v>36</v>
      </c>
      <c r="C277" t="s">
        <v>37</v>
      </c>
      <c r="D277" s="6" t="s">
        <v>38</v>
      </c>
      <c r="E277" t="s">
        <v>973</v>
      </c>
      <c r="F277" t="s">
        <v>40</v>
      </c>
      <c r="G277" t="s">
        <v>41</v>
      </c>
      <c r="H277" t="s">
        <v>974</v>
      </c>
      <c r="I277" t="s">
        <v>43</v>
      </c>
      <c r="J277">
        <v>2</v>
      </c>
      <c r="K277" t="s">
        <v>44</v>
      </c>
      <c r="L277" t="s">
        <v>45</v>
      </c>
      <c r="M277" t="s">
        <v>46</v>
      </c>
      <c r="N277" s="7">
        <v>2</v>
      </c>
      <c r="O277" s="8">
        <v>45642.724166666667</v>
      </c>
      <c r="P277" s="9">
        <v>45645</v>
      </c>
      <c r="Q277" t="s">
        <v>74</v>
      </c>
      <c r="R277" t="s">
        <v>48</v>
      </c>
      <c r="S277" t="s">
        <v>49</v>
      </c>
      <c r="T277" t="s">
        <v>50</v>
      </c>
      <c r="U277" t="s">
        <v>975</v>
      </c>
      <c r="V277">
        <v>88200</v>
      </c>
      <c r="W277" t="s">
        <v>52</v>
      </c>
      <c r="X277" t="s">
        <v>53</v>
      </c>
      <c r="Y277" t="s">
        <v>54</v>
      </c>
      <c r="Z277" s="10">
        <f>IF(N277&lt;=1,13,IF(N277&lt;=2,23,IF(N277&lt;=3,35,IF(N277&lt;=4,43,IF(N277&lt;=5,53,IF(N277&lt;=6,63,IF(N277&lt;=7,71,IF(N277&lt;=8,79,IF(N277&lt;=9,87,IF(N277&lt;=10,95,IF(N277&lt;=11,105,IF(N277&lt;=12,114,IF(N277&lt;=13,119,IF(N277&lt;=14,127,IF(N277&lt;=15,135,IF(N277&lt;=16,143,IF(N277&lt;=17,153,IF(N277&lt;=18,163,IF(N277&lt;=19,171,IF(N277&lt;=20,185,IF(N277&lt;=21,193,IF(N277&lt;=22,201,IF(N277&lt;=23,210,IF(N277&lt;=24,220,IF(N277&lt;=25,230,IF(N277&lt;=26,240,IF(N277&lt;=27,250,IF(N277&lt;=28,260,IF(N277&lt;=29,270,IF(N277&lt;=30,280,280+10*ROUNDUP(N277-30,0)))))))))))))))))))))))))))))))</f>
        <v>23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12"/>
        <v>1.38</v>
      </c>
      <c r="AG277" s="11">
        <f t="shared" si="13"/>
        <v>24.38</v>
      </c>
      <c r="AH277" s="11">
        <v>0</v>
      </c>
      <c r="AI277" s="11">
        <f t="shared" si="14"/>
        <v>24.38</v>
      </c>
      <c r="AJ277" t="s">
        <v>55</v>
      </c>
    </row>
    <row r="278" spans="1:36" ht="15" customHeight="1" x14ac:dyDescent="0.35">
      <c r="A278">
        <v>10428918</v>
      </c>
      <c r="B278" t="s">
        <v>36</v>
      </c>
      <c r="C278" t="s">
        <v>37</v>
      </c>
      <c r="D278" s="6" t="s">
        <v>38</v>
      </c>
      <c r="E278" t="s">
        <v>976</v>
      </c>
      <c r="F278" t="s">
        <v>40</v>
      </c>
      <c r="G278" t="s">
        <v>41</v>
      </c>
      <c r="H278" t="s">
        <v>977</v>
      </c>
      <c r="I278" t="s">
        <v>43</v>
      </c>
      <c r="J278">
        <v>2</v>
      </c>
      <c r="K278" t="s">
        <v>44</v>
      </c>
      <c r="L278" t="s">
        <v>45</v>
      </c>
      <c r="M278" t="s">
        <v>46</v>
      </c>
      <c r="N278" s="7">
        <v>1</v>
      </c>
      <c r="O278" s="8">
        <v>45642.832812499997</v>
      </c>
      <c r="P278" s="9">
        <v>45645</v>
      </c>
      <c r="Q278" t="s">
        <v>74</v>
      </c>
      <c r="R278" t="s">
        <v>48</v>
      </c>
      <c r="S278" t="s">
        <v>49</v>
      </c>
      <c r="T278" t="s">
        <v>69</v>
      </c>
      <c r="U278" t="s">
        <v>978</v>
      </c>
      <c r="V278">
        <v>81900</v>
      </c>
      <c r="W278" t="s">
        <v>48</v>
      </c>
      <c r="X278" t="s">
        <v>53</v>
      </c>
      <c r="Y278" t="s">
        <v>54</v>
      </c>
      <c r="Z278" s="12">
        <f>IF(N278&lt;=1,9,9+0.8*ROUNDUP(N278-1,0))</f>
        <v>9</v>
      </c>
      <c r="AA278" s="11">
        <v>-2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12"/>
        <v>0.42</v>
      </c>
      <c r="AG278" s="11">
        <f t="shared" si="13"/>
        <v>7.42</v>
      </c>
      <c r="AH278" s="11">
        <v>0</v>
      </c>
      <c r="AI278" s="11">
        <f t="shared" si="14"/>
        <v>7.42</v>
      </c>
      <c r="AJ278" t="s">
        <v>62</v>
      </c>
    </row>
    <row r="279" spans="1:36" ht="15" customHeight="1" x14ac:dyDescent="0.35">
      <c r="A279">
        <v>10428918</v>
      </c>
      <c r="B279" t="s">
        <v>36</v>
      </c>
      <c r="C279" t="s">
        <v>37</v>
      </c>
      <c r="D279" s="6" t="s">
        <v>38</v>
      </c>
      <c r="E279" t="s">
        <v>979</v>
      </c>
      <c r="F279" t="s">
        <v>40</v>
      </c>
      <c r="G279" t="s">
        <v>41</v>
      </c>
      <c r="H279" t="s">
        <v>980</v>
      </c>
      <c r="I279" t="s">
        <v>43</v>
      </c>
      <c r="J279">
        <v>2</v>
      </c>
      <c r="K279" t="s">
        <v>44</v>
      </c>
      <c r="L279" t="s">
        <v>45</v>
      </c>
      <c r="M279" t="s">
        <v>46</v>
      </c>
      <c r="N279" s="7">
        <v>1</v>
      </c>
      <c r="O279" s="8">
        <v>45644.756064814814</v>
      </c>
      <c r="P279" s="9">
        <v>45645</v>
      </c>
      <c r="Q279" t="s">
        <v>74</v>
      </c>
      <c r="R279" t="s">
        <v>48</v>
      </c>
      <c r="S279" t="s">
        <v>49</v>
      </c>
      <c r="T279" t="s">
        <v>117</v>
      </c>
      <c r="U279" t="s">
        <v>981</v>
      </c>
      <c r="V279">
        <v>43300</v>
      </c>
      <c r="W279" t="s">
        <v>48</v>
      </c>
      <c r="X279" t="s">
        <v>917</v>
      </c>
      <c r="Y279" t="s">
        <v>54</v>
      </c>
      <c r="Z279" s="12">
        <f>IF(N279&lt;=1,9,9+0.8*ROUNDUP(N279-1,0))</f>
        <v>9</v>
      </c>
      <c r="AA279" s="11">
        <v>-2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12"/>
        <v>0.42</v>
      </c>
      <c r="AG279" s="11">
        <f t="shared" si="13"/>
        <v>7.42</v>
      </c>
      <c r="AH279" s="11">
        <v>0</v>
      </c>
      <c r="AI279" s="11">
        <f t="shared" si="14"/>
        <v>7.42</v>
      </c>
      <c r="AJ279" t="s">
        <v>62</v>
      </c>
    </row>
    <row r="280" spans="1:36" ht="15" customHeight="1" x14ac:dyDescent="0.35">
      <c r="A280">
        <v>10428918</v>
      </c>
      <c r="B280" t="s">
        <v>36</v>
      </c>
      <c r="C280" t="s">
        <v>37</v>
      </c>
      <c r="D280" s="6" t="s">
        <v>38</v>
      </c>
      <c r="E280" t="s">
        <v>982</v>
      </c>
      <c r="F280" t="s">
        <v>40</v>
      </c>
      <c r="G280" t="s">
        <v>41</v>
      </c>
      <c r="H280" t="s">
        <v>983</v>
      </c>
      <c r="I280" t="s">
        <v>43</v>
      </c>
      <c r="J280">
        <v>2</v>
      </c>
      <c r="K280" t="s">
        <v>44</v>
      </c>
      <c r="L280" t="s">
        <v>45</v>
      </c>
      <c r="M280" t="s">
        <v>46</v>
      </c>
      <c r="N280" s="7">
        <v>1</v>
      </c>
      <c r="O280" s="8">
        <v>45642.796122685184</v>
      </c>
      <c r="P280" s="9">
        <v>45645</v>
      </c>
      <c r="Q280" t="s">
        <v>74</v>
      </c>
      <c r="R280" t="s">
        <v>48</v>
      </c>
      <c r="S280" t="s">
        <v>49</v>
      </c>
      <c r="T280" t="s">
        <v>161</v>
      </c>
      <c r="U280" t="s">
        <v>984</v>
      </c>
      <c r="V280">
        <v>13300</v>
      </c>
      <c r="W280" t="s">
        <v>48</v>
      </c>
      <c r="X280" t="s">
        <v>53</v>
      </c>
      <c r="Y280" t="s">
        <v>54</v>
      </c>
      <c r="Z280" s="12">
        <f>IF(N280&lt;=1,9,9+0.8*ROUNDUP(N280-1,0))</f>
        <v>9</v>
      </c>
      <c r="AA280" s="11">
        <v>-2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12"/>
        <v>0.42</v>
      </c>
      <c r="AG280" s="11">
        <f t="shared" si="13"/>
        <v>7.42</v>
      </c>
      <c r="AH280" s="11">
        <v>0</v>
      </c>
      <c r="AI280" s="11">
        <f t="shared" si="14"/>
        <v>7.42</v>
      </c>
      <c r="AJ280" t="s">
        <v>62</v>
      </c>
    </row>
    <row r="281" spans="1:36" ht="15" customHeight="1" x14ac:dyDescent="0.35">
      <c r="A281">
        <v>10428918</v>
      </c>
      <c r="B281" t="s">
        <v>36</v>
      </c>
      <c r="C281" t="s">
        <v>37</v>
      </c>
      <c r="D281" s="6" t="s">
        <v>38</v>
      </c>
      <c r="E281" t="s">
        <v>985</v>
      </c>
      <c r="F281" t="s">
        <v>40</v>
      </c>
      <c r="G281" t="s">
        <v>41</v>
      </c>
      <c r="H281" t="s">
        <v>986</v>
      </c>
      <c r="I281" t="s">
        <v>43</v>
      </c>
      <c r="J281">
        <v>2</v>
      </c>
      <c r="K281" t="s">
        <v>44</v>
      </c>
      <c r="L281" t="s">
        <v>45</v>
      </c>
      <c r="M281" t="s">
        <v>46</v>
      </c>
      <c r="N281" s="7">
        <v>2</v>
      </c>
      <c r="O281" s="8">
        <v>45643.679189814815</v>
      </c>
      <c r="P281" s="9">
        <v>45645</v>
      </c>
      <c r="Q281" t="s">
        <v>74</v>
      </c>
      <c r="R281" t="s">
        <v>48</v>
      </c>
      <c r="S281" t="s">
        <v>49</v>
      </c>
      <c r="T281" t="s">
        <v>161</v>
      </c>
      <c r="U281" t="s">
        <v>987</v>
      </c>
      <c r="V281">
        <v>13200</v>
      </c>
      <c r="W281" t="s">
        <v>48</v>
      </c>
      <c r="X281" t="s">
        <v>812</v>
      </c>
      <c r="Y281" t="s">
        <v>54</v>
      </c>
      <c r="Z281" s="12">
        <f>IF(N281&lt;=1,9,9+0.8*ROUNDUP(N281-1,0))</f>
        <v>9.8000000000000007</v>
      </c>
      <c r="AA281" s="11">
        <v>-2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12"/>
        <v>0.46800000000000003</v>
      </c>
      <c r="AG281" s="11">
        <f t="shared" si="13"/>
        <v>8.2680000000000007</v>
      </c>
      <c r="AH281" s="11">
        <v>0</v>
      </c>
      <c r="AI281" s="11">
        <f t="shared" si="14"/>
        <v>8.2680000000000007</v>
      </c>
      <c r="AJ281" t="s">
        <v>62</v>
      </c>
    </row>
    <row r="282" spans="1:36" ht="15" customHeight="1" x14ac:dyDescent="0.35">
      <c r="A282">
        <v>10428918</v>
      </c>
      <c r="B282" t="s">
        <v>36</v>
      </c>
      <c r="C282" t="s">
        <v>37</v>
      </c>
      <c r="D282" s="6" t="s">
        <v>38</v>
      </c>
      <c r="E282" t="s">
        <v>988</v>
      </c>
      <c r="F282" t="s">
        <v>40</v>
      </c>
      <c r="G282" t="s">
        <v>41</v>
      </c>
      <c r="H282" t="s">
        <v>989</v>
      </c>
      <c r="I282" t="s">
        <v>43</v>
      </c>
      <c r="J282">
        <v>2</v>
      </c>
      <c r="K282" t="s">
        <v>44</v>
      </c>
      <c r="L282" t="s">
        <v>45</v>
      </c>
      <c r="M282" t="s">
        <v>46</v>
      </c>
      <c r="N282" s="7">
        <v>2</v>
      </c>
      <c r="O282" s="8">
        <v>45644.521805555552</v>
      </c>
      <c r="P282" s="9">
        <v>45645</v>
      </c>
      <c r="Q282" t="s">
        <v>74</v>
      </c>
      <c r="R282" t="s">
        <v>48</v>
      </c>
      <c r="S282" t="s">
        <v>49</v>
      </c>
      <c r="T282" t="s">
        <v>117</v>
      </c>
      <c r="U282" t="s">
        <v>990</v>
      </c>
      <c r="V282">
        <v>62300</v>
      </c>
      <c r="W282" t="s">
        <v>48</v>
      </c>
      <c r="X282" t="s">
        <v>224</v>
      </c>
      <c r="Y282" t="s">
        <v>54</v>
      </c>
      <c r="Z282" s="12">
        <f>IF(N282&lt;=1,9,9+0.8*ROUNDUP(N282-1,0))</f>
        <v>9.8000000000000007</v>
      </c>
      <c r="AA282" s="11">
        <v>-2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12"/>
        <v>0.46800000000000003</v>
      </c>
      <c r="AG282" s="11">
        <f t="shared" si="13"/>
        <v>8.2680000000000007</v>
      </c>
      <c r="AH282" s="11">
        <v>0</v>
      </c>
      <c r="AI282" s="11">
        <f t="shared" si="14"/>
        <v>8.2680000000000007</v>
      </c>
      <c r="AJ282" t="s">
        <v>62</v>
      </c>
    </row>
    <row r="283" spans="1:36" ht="15" customHeight="1" x14ac:dyDescent="0.35">
      <c r="A283">
        <v>10428918</v>
      </c>
      <c r="B283" t="s">
        <v>36</v>
      </c>
      <c r="C283" t="s">
        <v>37</v>
      </c>
      <c r="D283" s="6" t="s">
        <v>38</v>
      </c>
      <c r="E283" t="s">
        <v>991</v>
      </c>
      <c r="F283" t="s">
        <v>40</v>
      </c>
      <c r="G283" t="s">
        <v>41</v>
      </c>
      <c r="H283" t="s">
        <v>992</v>
      </c>
      <c r="I283" t="s">
        <v>43</v>
      </c>
      <c r="J283">
        <v>2</v>
      </c>
      <c r="K283" t="s">
        <v>44</v>
      </c>
      <c r="L283" t="s">
        <v>45</v>
      </c>
      <c r="M283" t="s">
        <v>46</v>
      </c>
      <c r="N283" s="7">
        <v>1</v>
      </c>
      <c r="O283" s="8">
        <v>45643.511631944442</v>
      </c>
      <c r="P283" s="9">
        <v>45645</v>
      </c>
      <c r="Q283" t="s">
        <v>74</v>
      </c>
      <c r="R283" t="s">
        <v>48</v>
      </c>
      <c r="S283" t="s">
        <v>49</v>
      </c>
      <c r="T283" t="s">
        <v>80</v>
      </c>
      <c r="U283" t="s">
        <v>993</v>
      </c>
      <c r="V283">
        <v>8100</v>
      </c>
      <c r="W283" t="s">
        <v>48</v>
      </c>
      <c r="X283" t="s">
        <v>141</v>
      </c>
      <c r="Y283" t="s">
        <v>54</v>
      </c>
      <c r="Z283" s="12">
        <f>IF(N283&lt;=1,9,9+0.8*ROUNDUP(N283-1,0))</f>
        <v>9</v>
      </c>
      <c r="AA283" s="11">
        <v>-2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12"/>
        <v>0.42</v>
      </c>
      <c r="AG283" s="11">
        <f t="shared" si="13"/>
        <v>7.42</v>
      </c>
      <c r="AH283" s="11">
        <v>0</v>
      </c>
      <c r="AI283" s="11">
        <f t="shared" si="14"/>
        <v>7.42</v>
      </c>
      <c r="AJ283" t="s">
        <v>62</v>
      </c>
    </row>
    <row r="284" spans="1:36" ht="15" customHeight="1" x14ac:dyDescent="0.35">
      <c r="A284">
        <v>10428918</v>
      </c>
      <c r="B284" t="s">
        <v>36</v>
      </c>
      <c r="C284" t="s">
        <v>37</v>
      </c>
      <c r="D284" s="6" t="s">
        <v>38</v>
      </c>
      <c r="E284" t="s">
        <v>994</v>
      </c>
      <c r="F284" t="s">
        <v>40</v>
      </c>
      <c r="G284" t="s">
        <v>41</v>
      </c>
      <c r="H284" t="s">
        <v>995</v>
      </c>
      <c r="I284" t="s">
        <v>43</v>
      </c>
      <c r="J284">
        <v>2</v>
      </c>
      <c r="K284" t="s">
        <v>44</v>
      </c>
      <c r="L284" t="s">
        <v>45</v>
      </c>
      <c r="M284" t="s">
        <v>46</v>
      </c>
      <c r="N284" s="7">
        <v>1</v>
      </c>
      <c r="O284" s="8">
        <v>45642.832812499997</v>
      </c>
      <c r="P284" s="9">
        <v>45645</v>
      </c>
      <c r="Q284" t="s">
        <v>74</v>
      </c>
      <c r="R284" t="s">
        <v>48</v>
      </c>
      <c r="S284" t="s">
        <v>49</v>
      </c>
      <c r="T284" t="s">
        <v>161</v>
      </c>
      <c r="U284" t="s">
        <v>996</v>
      </c>
      <c r="V284">
        <v>13200</v>
      </c>
      <c r="W284" t="s">
        <v>48</v>
      </c>
      <c r="X284" t="s">
        <v>812</v>
      </c>
      <c r="Y284" t="s">
        <v>54</v>
      </c>
      <c r="Z284" s="12">
        <f>IF(N284&lt;=1,9,9+0.8*ROUNDUP(N284-1,0))</f>
        <v>9</v>
      </c>
      <c r="AA284" s="11">
        <v>-2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12"/>
        <v>0.42</v>
      </c>
      <c r="AG284" s="11">
        <f t="shared" si="13"/>
        <v>7.42</v>
      </c>
      <c r="AH284" s="11">
        <v>0</v>
      </c>
      <c r="AI284" s="11">
        <f t="shared" si="14"/>
        <v>7.42</v>
      </c>
      <c r="AJ284" t="s">
        <v>62</v>
      </c>
    </row>
    <row r="285" spans="1:36" ht="15" customHeight="1" x14ac:dyDescent="0.35">
      <c r="A285">
        <v>10428918</v>
      </c>
      <c r="B285" t="s">
        <v>36</v>
      </c>
      <c r="C285" t="s">
        <v>37</v>
      </c>
      <c r="D285" s="6" t="s">
        <v>38</v>
      </c>
      <c r="E285" t="s">
        <v>997</v>
      </c>
      <c r="F285" t="s">
        <v>40</v>
      </c>
      <c r="G285" t="s">
        <v>41</v>
      </c>
      <c r="H285" t="s">
        <v>998</v>
      </c>
      <c r="I285" t="s">
        <v>43</v>
      </c>
      <c r="J285">
        <v>2</v>
      </c>
      <c r="K285" t="s">
        <v>44</v>
      </c>
      <c r="L285" t="s">
        <v>45</v>
      </c>
      <c r="M285" t="s">
        <v>46</v>
      </c>
      <c r="N285" s="7">
        <v>2</v>
      </c>
      <c r="O285" s="8">
        <v>45643.842835648145</v>
      </c>
      <c r="P285" s="9">
        <v>45645</v>
      </c>
      <c r="Q285" t="s">
        <v>74</v>
      </c>
      <c r="R285" t="s">
        <v>48</v>
      </c>
      <c r="S285" t="s">
        <v>49</v>
      </c>
      <c r="T285" t="s">
        <v>75</v>
      </c>
      <c r="U285" t="s">
        <v>999</v>
      </c>
      <c r="V285">
        <v>26900</v>
      </c>
      <c r="W285" t="s">
        <v>48</v>
      </c>
      <c r="X285" t="s">
        <v>77</v>
      </c>
      <c r="Y285" t="s">
        <v>54</v>
      </c>
      <c r="Z285" s="12">
        <f>IF(N285&lt;=1,9,9+0.8*ROUNDUP(N285-1,0))</f>
        <v>9.8000000000000007</v>
      </c>
      <c r="AA285" s="11">
        <v>-2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12"/>
        <v>0.46800000000000003</v>
      </c>
      <c r="AG285" s="11">
        <f t="shared" si="13"/>
        <v>8.2680000000000007</v>
      </c>
      <c r="AH285" s="11">
        <v>0</v>
      </c>
      <c r="AI285" s="11">
        <f t="shared" si="14"/>
        <v>8.2680000000000007</v>
      </c>
      <c r="AJ285" t="s">
        <v>62</v>
      </c>
    </row>
    <row r="286" spans="1:36" ht="15" customHeight="1" x14ac:dyDescent="0.35">
      <c r="A286">
        <v>10428918</v>
      </c>
      <c r="B286" t="s">
        <v>36</v>
      </c>
      <c r="C286" t="s">
        <v>37</v>
      </c>
      <c r="D286" s="6" t="s">
        <v>38</v>
      </c>
      <c r="E286" t="s">
        <v>1000</v>
      </c>
      <c r="F286" t="s">
        <v>40</v>
      </c>
      <c r="G286" t="s">
        <v>41</v>
      </c>
      <c r="H286" t="s">
        <v>1001</v>
      </c>
      <c r="I286" t="s">
        <v>43</v>
      </c>
      <c r="J286">
        <v>2</v>
      </c>
      <c r="K286" t="s">
        <v>44</v>
      </c>
      <c r="L286" t="s">
        <v>45</v>
      </c>
      <c r="M286" t="s">
        <v>46</v>
      </c>
      <c r="N286" s="7">
        <v>1</v>
      </c>
      <c r="O286" s="8">
        <v>45644.760983796295</v>
      </c>
      <c r="P286" s="9">
        <v>45645</v>
      </c>
      <c r="Q286" t="s">
        <v>74</v>
      </c>
      <c r="R286" t="s">
        <v>48</v>
      </c>
      <c r="S286" t="s">
        <v>49</v>
      </c>
      <c r="T286" t="s">
        <v>117</v>
      </c>
      <c r="U286" t="s">
        <v>1002</v>
      </c>
      <c r="V286">
        <v>43600</v>
      </c>
      <c r="W286" t="s">
        <v>48</v>
      </c>
      <c r="X286" t="s">
        <v>191</v>
      </c>
      <c r="Y286" t="s">
        <v>54</v>
      </c>
      <c r="Z286" s="12">
        <f>IF(N286&lt;=1,9,9+0.8*ROUNDUP(N286-1,0))</f>
        <v>9</v>
      </c>
      <c r="AA286" s="11">
        <v>-2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2"/>
        <v>0.42</v>
      </c>
      <c r="AG286" s="11">
        <f t="shared" si="13"/>
        <v>7.42</v>
      </c>
      <c r="AH286" s="11">
        <v>0</v>
      </c>
      <c r="AI286" s="11">
        <f t="shared" si="14"/>
        <v>7.42</v>
      </c>
      <c r="AJ286" t="s">
        <v>62</v>
      </c>
    </row>
    <row r="287" spans="1:36" ht="15" customHeight="1" x14ac:dyDescent="0.35">
      <c r="A287">
        <v>10428918</v>
      </c>
      <c r="B287" t="s">
        <v>36</v>
      </c>
      <c r="C287" t="s">
        <v>37</v>
      </c>
      <c r="D287" s="6" t="s">
        <v>38</v>
      </c>
      <c r="E287" t="s">
        <v>1003</v>
      </c>
      <c r="F287" t="s">
        <v>40</v>
      </c>
      <c r="G287" t="s">
        <v>41</v>
      </c>
      <c r="H287" t="s">
        <v>1004</v>
      </c>
      <c r="I287" t="s">
        <v>43</v>
      </c>
      <c r="J287">
        <v>2</v>
      </c>
      <c r="K287" t="s">
        <v>44</v>
      </c>
      <c r="L287" t="s">
        <v>45</v>
      </c>
      <c r="M287" t="s">
        <v>46</v>
      </c>
      <c r="N287" s="7">
        <v>1</v>
      </c>
      <c r="O287" s="8">
        <v>45643.656145833331</v>
      </c>
      <c r="P287" s="9">
        <v>45645</v>
      </c>
      <c r="Q287" t="s">
        <v>74</v>
      </c>
      <c r="R287" t="s">
        <v>48</v>
      </c>
      <c r="S287" t="s">
        <v>49</v>
      </c>
      <c r="T287" t="s">
        <v>101</v>
      </c>
      <c r="U287" t="s">
        <v>1005</v>
      </c>
      <c r="V287">
        <v>33000</v>
      </c>
      <c r="W287" t="s">
        <v>48</v>
      </c>
      <c r="X287" t="s">
        <v>103</v>
      </c>
      <c r="Y287" t="s">
        <v>54</v>
      </c>
      <c r="Z287" s="12">
        <f>IF(N287&lt;=1,9,9+0.8*ROUNDUP(N287-1,0))</f>
        <v>9</v>
      </c>
      <c r="AA287" s="11">
        <v>-2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2"/>
        <v>0.42</v>
      </c>
      <c r="AG287" s="11">
        <f t="shared" si="13"/>
        <v>7.42</v>
      </c>
      <c r="AH287" s="11">
        <v>0</v>
      </c>
      <c r="AI287" s="11">
        <f t="shared" si="14"/>
        <v>7.42</v>
      </c>
      <c r="AJ287" t="s">
        <v>62</v>
      </c>
    </row>
    <row r="288" spans="1:36" ht="15" customHeight="1" x14ac:dyDescent="0.35">
      <c r="A288">
        <v>10428918</v>
      </c>
      <c r="B288" t="s">
        <v>36</v>
      </c>
      <c r="C288" t="s">
        <v>37</v>
      </c>
      <c r="D288" s="6" t="s">
        <v>38</v>
      </c>
      <c r="E288" t="s">
        <v>1006</v>
      </c>
      <c r="F288" t="s">
        <v>40</v>
      </c>
      <c r="G288" t="s">
        <v>41</v>
      </c>
      <c r="H288" t="s">
        <v>1007</v>
      </c>
      <c r="I288" t="s">
        <v>43</v>
      </c>
      <c r="J288">
        <v>2</v>
      </c>
      <c r="K288" t="s">
        <v>44</v>
      </c>
      <c r="L288" t="s">
        <v>45</v>
      </c>
      <c r="M288" t="s">
        <v>46</v>
      </c>
      <c r="N288" s="7">
        <v>1</v>
      </c>
      <c r="O288" s="8">
        <v>45644.530416666668</v>
      </c>
      <c r="P288" s="9">
        <v>45645</v>
      </c>
      <c r="Q288" t="s">
        <v>74</v>
      </c>
      <c r="R288" t="s">
        <v>48</v>
      </c>
      <c r="S288" t="s">
        <v>49</v>
      </c>
      <c r="T288" t="s">
        <v>75</v>
      </c>
      <c r="U288" t="s">
        <v>1008</v>
      </c>
      <c r="V288">
        <v>26080</v>
      </c>
      <c r="W288" t="s">
        <v>48</v>
      </c>
      <c r="X288" t="s">
        <v>77</v>
      </c>
      <c r="Y288" t="s">
        <v>54</v>
      </c>
      <c r="Z288" s="12">
        <f>IF(N288&lt;=1,9,9+0.8*ROUNDUP(N288-1,0))</f>
        <v>9</v>
      </c>
      <c r="AA288" s="11">
        <v>-2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2"/>
        <v>0.42</v>
      </c>
      <c r="AG288" s="11">
        <f t="shared" si="13"/>
        <v>7.42</v>
      </c>
      <c r="AH288" s="11">
        <v>0</v>
      </c>
      <c r="AI288" s="11">
        <f t="shared" si="14"/>
        <v>7.42</v>
      </c>
      <c r="AJ288" t="s">
        <v>62</v>
      </c>
    </row>
    <row r="289" spans="1:36" ht="15" customHeight="1" x14ac:dyDescent="0.35">
      <c r="A289">
        <v>10428918</v>
      </c>
      <c r="B289" t="s">
        <v>36</v>
      </c>
      <c r="C289" t="s">
        <v>37</v>
      </c>
      <c r="D289" s="6" t="s">
        <v>38</v>
      </c>
      <c r="E289" t="s">
        <v>1009</v>
      </c>
      <c r="F289" t="s">
        <v>40</v>
      </c>
      <c r="G289" t="s">
        <v>41</v>
      </c>
      <c r="H289" t="s">
        <v>1010</v>
      </c>
      <c r="I289" t="s">
        <v>43</v>
      </c>
      <c r="J289">
        <v>2</v>
      </c>
      <c r="K289" t="s">
        <v>44</v>
      </c>
      <c r="L289" t="s">
        <v>45</v>
      </c>
      <c r="M289" t="s">
        <v>46</v>
      </c>
      <c r="N289" s="7">
        <v>1</v>
      </c>
      <c r="O289" s="8">
        <v>45643.629629629628</v>
      </c>
      <c r="P289" s="9">
        <v>45645</v>
      </c>
      <c r="Q289" t="s">
        <v>74</v>
      </c>
      <c r="R289" t="s">
        <v>48</v>
      </c>
      <c r="S289" t="s">
        <v>49</v>
      </c>
      <c r="T289" t="s">
        <v>75</v>
      </c>
      <c r="U289" t="s">
        <v>1011</v>
      </c>
      <c r="V289">
        <v>25150</v>
      </c>
      <c r="W289" t="s">
        <v>48</v>
      </c>
      <c r="X289" t="s">
        <v>77</v>
      </c>
      <c r="Y289" t="s">
        <v>54</v>
      </c>
      <c r="Z289" s="12">
        <f>IF(N289&lt;=1,9,9+0.8*ROUNDUP(N289-1,0))</f>
        <v>9</v>
      </c>
      <c r="AA289" s="11">
        <v>-2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2"/>
        <v>0.42</v>
      </c>
      <c r="AG289" s="11">
        <f t="shared" si="13"/>
        <v>7.42</v>
      </c>
      <c r="AH289" s="11">
        <v>0</v>
      </c>
      <c r="AI289" s="11">
        <f t="shared" si="14"/>
        <v>7.42</v>
      </c>
      <c r="AJ289" t="s">
        <v>62</v>
      </c>
    </row>
    <row r="290" spans="1:36" ht="15" customHeight="1" x14ac:dyDescent="0.35">
      <c r="A290">
        <v>10428918</v>
      </c>
      <c r="B290" t="s">
        <v>36</v>
      </c>
      <c r="C290" t="s">
        <v>37</v>
      </c>
      <c r="D290" s="6" t="s">
        <v>38</v>
      </c>
      <c r="E290" t="s">
        <v>1012</v>
      </c>
      <c r="F290" t="s">
        <v>40</v>
      </c>
      <c r="G290" t="s">
        <v>41</v>
      </c>
      <c r="H290" t="s">
        <v>1013</v>
      </c>
      <c r="I290" t="s">
        <v>43</v>
      </c>
      <c r="J290">
        <v>2</v>
      </c>
      <c r="K290" t="s">
        <v>44</v>
      </c>
      <c r="L290" t="s">
        <v>45</v>
      </c>
      <c r="M290" t="s">
        <v>46</v>
      </c>
      <c r="N290" s="7">
        <v>2</v>
      </c>
      <c r="O290" s="8">
        <v>45643.637129629627</v>
      </c>
      <c r="P290" s="9">
        <v>45645</v>
      </c>
      <c r="Q290" t="s">
        <v>74</v>
      </c>
      <c r="R290" t="s">
        <v>48</v>
      </c>
      <c r="S290" t="s">
        <v>49</v>
      </c>
      <c r="T290" t="s">
        <v>117</v>
      </c>
      <c r="U290" t="s">
        <v>1014</v>
      </c>
      <c r="V290">
        <v>43400</v>
      </c>
      <c r="W290" t="s">
        <v>48</v>
      </c>
      <c r="X290" t="s">
        <v>917</v>
      </c>
      <c r="Y290" t="s">
        <v>54</v>
      </c>
      <c r="Z290" s="12">
        <f>IF(N290&lt;=1,9,9+0.8*ROUNDUP(N290-1,0))</f>
        <v>9.8000000000000007</v>
      </c>
      <c r="AA290" s="11">
        <v>-2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2"/>
        <v>0.46800000000000003</v>
      </c>
      <c r="AG290" s="11">
        <f t="shared" si="13"/>
        <v>8.2680000000000007</v>
      </c>
      <c r="AH290" s="11">
        <v>0</v>
      </c>
      <c r="AI290" s="11">
        <f t="shared" si="14"/>
        <v>8.2680000000000007</v>
      </c>
      <c r="AJ290" t="s">
        <v>62</v>
      </c>
    </row>
    <row r="291" spans="1:36" ht="15" customHeight="1" x14ac:dyDescent="0.35">
      <c r="A291">
        <v>10428918</v>
      </c>
      <c r="B291" t="s">
        <v>36</v>
      </c>
      <c r="C291" t="s">
        <v>37</v>
      </c>
      <c r="D291" s="6" t="s">
        <v>38</v>
      </c>
      <c r="E291" t="s">
        <v>1015</v>
      </c>
      <c r="F291" t="s">
        <v>40</v>
      </c>
      <c r="G291" t="s">
        <v>41</v>
      </c>
      <c r="H291" t="s">
        <v>1016</v>
      </c>
      <c r="I291" t="s">
        <v>43</v>
      </c>
      <c r="J291">
        <v>2</v>
      </c>
      <c r="K291" t="s">
        <v>44</v>
      </c>
      <c r="L291" t="s">
        <v>45</v>
      </c>
      <c r="M291" t="s">
        <v>46</v>
      </c>
      <c r="N291" s="7">
        <v>1</v>
      </c>
      <c r="O291" s="8">
        <v>45644.521805555552</v>
      </c>
      <c r="P291" s="9">
        <v>45645</v>
      </c>
      <c r="Q291" t="s">
        <v>74</v>
      </c>
      <c r="R291" t="s">
        <v>48</v>
      </c>
      <c r="S291" t="s">
        <v>49</v>
      </c>
      <c r="T291" t="s">
        <v>90</v>
      </c>
      <c r="U291" t="s">
        <v>1017</v>
      </c>
      <c r="V291">
        <v>21700</v>
      </c>
      <c r="W291" t="s">
        <v>48</v>
      </c>
      <c r="X291" t="s">
        <v>92</v>
      </c>
      <c r="Y291" t="s">
        <v>54</v>
      </c>
      <c r="Z291" s="12">
        <f>IF(N291&lt;=1,9,9+0.8*ROUNDUP(N291-1,0))</f>
        <v>9</v>
      </c>
      <c r="AA291" s="11">
        <v>-2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2"/>
        <v>0.42</v>
      </c>
      <c r="AG291" s="11">
        <f t="shared" si="13"/>
        <v>7.42</v>
      </c>
      <c r="AH291" s="11">
        <v>0</v>
      </c>
      <c r="AI291" s="11">
        <f t="shared" si="14"/>
        <v>7.42</v>
      </c>
      <c r="AJ291" t="s">
        <v>62</v>
      </c>
    </row>
    <row r="292" spans="1:36" ht="15" customHeight="1" x14ac:dyDescent="0.35">
      <c r="A292">
        <v>10428918</v>
      </c>
      <c r="B292" t="s">
        <v>36</v>
      </c>
      <c r="C292" t="s">
        <v>37</v>
      </c>
      <c r="D292" s="6" t="s">
        <v>38</v>
      </c>
      <c r="E292" t="s">
        <v>1018</v>
      </c>
      <c r="F292" t="s">
        <v>40</v>
      </c>
      <c r="G292" t="s">
        <v>41</v>
      </c>
      <c r="H292" t="s">
        <v>1019</v>
      </c>
      <c r="I292" t="s">
        <v>43</v>
      </c>
      <c r="J292">
        <v>2</v>
      </c>
      <c r="K292" t="s">
        <v>44</v>
      </c>
      <c r="L292" t="s">
        <v>45</v>
      </c>
      <c r="M292" t="s">
        <v>46</v>
      </c>
      <c r="N292" s="7">
        <v>1</v>
      </c>
      <c r="O292" s="8">
        <v>45644.756053240744</v>
      </c>
      <c r="P292" s="9">
        <v>45645</v>
      </c>
      <c r="Q292" t="s">
        <v>74</v>
      </c>
      <c r="R292" t="s">
        <v>48</v>
      </c>
      <c r="S292" t="s">
        <v>49</v>
      </c>
      <c r="T292" t="s">
        <v>59</v>
      </c>
      <c r="U292" t="s">
        <v>1020</v>
      </c>
      <c r="V292">
        <v>16800</v>
      </c>
      <c r="W292" t="s">
        <v>48</v>
      </c>
      <c r="X292" t="s">
        <v>77</v>
      </c>
      <c r="Y292" t="s">
        <v>54</v>
      </c>
      <c r="Z292" s="12">
        <f>IF(N292&lt;=1,9,9+0.8*ROUNDUP(N292-1,0))</f>
        <v>9</v>
      </c>
      <c r="AA292" s="11">
        <v>-2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2"/>
        <v>0.42</v>
      </c>
      <c r="AG292" s="11">
        <f t="shared" si="13"/>
        <v>7.42</v>
      </c>
      <c r="AH292" s="11">
        <v>0</v>
      </c>
      <c r="AI292" s="11">
        <f t="shared" si="14"/>
        <v>7.42</v>
      </c>
      <c r="AJ292" t="s">
        <v>62</v>
      </c>
    </row>
    <row r="293" spans="1:36" ht="15" customHeight="1" x14ac:dyDescent="0.35">
      <c r="A293">
        <v>10428918</v>
      </c>
      <c r="B293" t="s">
        <v>36</v>
      </c>
      <c r="C293" t="s">
        <v>37</v>
      </c>
      <c r="D293" s="6" t="s">
        <v>38</v>
      </c>
      <c r="E293" t="s">
        <v>1021</v>
      </c>
      <c r="F293" t="s">
        <v>40</v>
      </c>
      <c r="G293" t="s">
        <v>41</v>
      </c>
      <c r="H293" t="s">
        <v>1022</v>
      </c>
      <c r="I293" t="s">
        <v>43</v>
      </c>
      <c r="J293">
        <v>2</v>
      </c>
      <c r="K293" t="s">
        <v>44</v>
      </c>
      <c r="L293" t="s">
        <v>45</v>
      </c>
      <c r="M293" t="s">
        <v>46</v>
      </c>
      <c r="N293" s="7">
        <v>1</v>
      </c>
      <c r="O293" s="8">
        <v>45642.796122685184</v>
      </c>
      <c r="P293" s="9">
        <v>45645</v>
      </c>
      <c r="Q293" t="s">
        <v>74</v>
      </c>
      <c r="R293" t="s">
        <v>48</v>
      </c>
      <c r="S293" t="s">
        <v>49</v>
      </c>
      <c r="T293" t="s">
        <v>101</v>
      </c>
      <c r="U293" t="s">
        <v>1023</v>
      </c>
      <c r="V293">
        <v>36700</v>
      </c>
      <c r="W293" t="s">
        <v>48</v>
      </c>
      <c r="X293" t="s">
        <v>53</v>
      </c>
      <c r="Y293" t="s">
        <v>54</v>
      </c>
      <c r="Z293" s="12">
        <f>IF(N293&lt;=1,9,9+0.8*ROUNDUP(N293-1,0))</f>
        <v>9</v>
      </c>
      <c r="AA293" s="11">
        <v>-2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2"/>
        <v>0.42</v>
      </c>
      <c r="AG293" s="11">
        <f t="shared" si="13"/>
        <v>7.42</v>
      </c>
      <c r="AH293" s="11">
        <v>0</v>
      </c>
      <c r="AI293" s="11">
        <f t="shared" si="14"/>
        <v>7.42</v>
      </c>
      <c r="AJ293" t="s">
        <v>62</v>
      </c>
    </row>
    <row r="294" spans="1:36" ht="15" customHeight="1" x14ac:dyDescent="0.35">
      <c r="A294">
        <v>10428918</v>
      </c>
      <c r="B294" t="s">
        <v>36</v>
      </c>
      <c r="C294" t="s">
        <v>37</v>
      </c>
      <c r="D294" s="6" t="s">
        <v>38</v>
      </c>
      <c r="E294" t="s">
        <v>1024</v>
      </c>
      <c r="F294" t="s">
        <v>40</v>
      </c>
      <c r="G294" t="s">
        <v>41</v>
      </c>
      <c r="H294" t="s">
        <v>1025</v>
      </c>
      <c r="I294" t="s">
        <v>43</v>
      </c>
      <c r="J294">
        <v>2</v>
      </c>
      <c r="K294" t="s">
        <v>44</v>
      </c>
      <c r="L294" t="s">
        <v>45</v>
      </c>
      <c r="M294" t="s">
        <v>46</v>
      </c>
      <c r="N294" s="7">
        <v>1</v>
      </c>
      <c r="O294" s="8">
        <v>45643.637129629627</v>
      </c>
      <c r="P294" s="9">
        <v>45645</v>
      </c>
      <c r="Q294" t="s">
        <v>74</v>
      </c>
      <c r="R294" t="s">
        <v>48</v>
      </c>
      <c r="S294" t="s">
        <v>49</v>
      </c>
      <c r="T294" t="s">
        <v>117</v>
      </c>
      <c r="U294" t="s">
        <v>1026</v>
      </c>
      <c r="V294">
        <v>43900</v>
      </c>
      <c r="W294" t="s">
        <v>48</v>
      </c>
      <c r="X294" t="s">
        <v>532</v>
      </c>
      <c r="Y294" t="s">
        <v>54</v>
      </c>
      <c r="Z294" s="12">
        <f>IF(N294&lt;=1,9,9+0.8*ROUNDUP(N294-1,0))</f>
        <v>9</v>
      </c>
      <c r="AA294" s="11">
        <v>-2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2"/>
        <v>0.42</v>
      </c>
      <c r="AG294" s="11">
        <f t="shared" si="13"/>
        <v>7.42</v>
      </c>
      <c r="AH294" s="11">
        <v>0</v>
      </c>
      <c r="AI294" s="11">
        <f t="shared" si="14"/>
        <v>7.42</v>
      </c>
      <c r="AJ294" t="s">
        <v>62</v>
      </c>
    </row>
    <row r="295" spans="1:36" ht="15" customHeight="1" x14ac:dyDescent="0.35">
      <c r="A295">
        <v>10428918</v>
      </c>
      <c r="B295" t="s">
        <v>36</v>
      </c>
      <c r="C295" t="s">
        <v>37</v>
      </c>
      <c r="D295" s="6" t="s">
        <v>38</v>
      </c>
      <c r="E295" t="s">
        <v>1027</v>
      </c>
      <c r="F295" t="s">
        <v>40</v>
      </c>
      <c r="G295" t="s">
        <v>41</v>
      </c>
      <c r="H295" t="s">
        <v>1028</v>
      </c>
      <c r="I295" t="s">
        <v>43</v>
      </c>
      <c r="J295">
        <v>2</v>
      </c>
      <c r="K295" t="s">
        <v>44</v>
      </c>
      <c r="L295" t="s">
        <v>45</v>
      </c>
      <c r="M295" t="s">
        <v>46</v>
      </c>
      <c r="N295" s="7">
        <v>1</v>
      </c>
      <c r="O295" s="8">
        <v>45644.521805555552</v>
      </c>
      <c r="P295" s="9">
        <v>45645</v>
      </c>
      <c r="Q295" t="s">
        <v>74</v>
      </c>
      <c r="R295" t="s">
        <v>48</v>
      </c>
      <c r="S295" t="s">
        <v>49</v>
      </c>
      <c r="T295" t="s">
        <v>75</v>
      </c>
      <c r="U295" t="s">
        <v>1029</v>
      </c>
      <c r="V295">
        <v>28500</v>
      </c>
      <c r="W295" t="s">
        <v>48</v>
      </c>
      <c r="X295" t="s">
        <v>77</v>
      </c>
      <c r="Y295" t="s">
        <v>54</v>
      </c>
      <c r="Z295" s="12">
        <f>IF(N295&lt;=1,9,9+0.8*ROUNDUP(N295-1,0))</f>
        <v>9</v>
      </c>
      <c r="AA295" s="11">
        <v>-2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2"/>
        <v>0.42</v>
      </c>
      <c r="AG295" s="11">
        <f t="shared" si="13"/>
        <v>7.42</v>
      </c>
      <c r="AH295" s="11">
        <v>0</v>
      </c>
      <c r="AI295" s="11">
        <f t="shared" si="14"/>
        <v>7.42</v>
      </c>
      <c r="AJ295" t="s">
        <v>62</v>
      </c>
    </row>
    <row r="296" spans="1:36" ht="15" customHeight="1" x14ac:dyDescent="0.35">
      <c r="A296">
        <v>10428918</v>
      </c>
      <c r="B296" t="s">
        <v>36</v>
      </c>
      <c r="C296" t="s">
        <v>37</v>
      </c>
      <c r="D296" s="6" t="s">
        <v>38</v>
      </c>
      <c r="E296" t="s">
        <v>1030</v>
      </c>
      <c r="F296" t="s">
        <v>40</v>
      </c>
      <c r="G296" t="s">
        <v>41</v>
      </c>
      <c r="H296" t="s">
        <v>1031</v>
      </c>
      <c r="I296" t="s">
        <v>43</v>
      </c>
      <c r="J296">
        <v>2</v>
      </c>
      <c r="K296" t="s">
        <v>44</v>
      </c>
      <c r="L296" t="s">
        <v>45</v>
      </c>
      <c r="M296" t="s">
        <v>46</v>
      </c>
      <c r="N296" s="7">
        <v>1</v>
      </c>
      <c r="O296" s="8">
        <v>45644.530416666668</v>
      </c>
      <c r="P296" s="9">
        <v>45645</v>
      </c>
      <c r="Q296" t="s">
        <v>74</v>
      </c>
      <c r="R296" t="s">
        <v>48</v>
      </c>
      <c r="S296" t="s">
        <v>49</v>
      </c>
      <c r="T296" t="s">
        <v>59</v>
      </c>
      <c r="U296" t="s">
        <v>1032</v>
      </c>
      <c r="V296">
        <v>17040</v>
      </c>
      <c r="W296" t="s">
        <v>48</v>
      </c>
      <c r="X296" t="s">
        <v>77</v>
      </c>
      <c r="Y296" t="s">
        <v>54</v>
      </c>
      <c r="Z296" s="12">
        <f>IF(N296&lt;=1,9,9+0.8*ROUNDUP(N296-1,0))</f>
        <v>9</v>
      </c>
      <c r="AA296" s="11">
        <v>-2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12"/>
        <v>0.42</v>
      </c>
      <c r="AG296" s="11">
        <f t="shared" si="13"/>
        <v>7.42</v>
      </c>
      <c r="AH296" s="11">
        <v>0</v>
      </c>
      <c r="AI296" s="11">
        <f t="shared" si="14"/>
        <v>7.42</v>
      </c>
      <c r="AJ296" t="s">
        <v>62</v>
      </c>
    </row>
    <row r="297" spans="1:36" ht="15" customHeight="1" x14ac:dyDescent="0.35">
      <c r="A297">
        <v>10428918</v>
      </c>
      <c r="B297" t="s">
        <v>36</v>
      </c>
      <c r="C297" t="s">
        <v>37</v>
      </c>
      <c r="D297" s="6" t="s">
        <v>38</v>
      </c>
      <c r="E297" t="s">
        <v>1033</v>
      </c>
      <c r="F297" t="s">
        <v>40</v>
      </c>
      <c r="G297" t="s">
        <v>41</v>
      </c>
      <c r="H297" t="s">
        <v>1034</v>
      </c>
      <c r="I297" t="s">
        <v>43</v>
      </c>
      <c r="J297">
        <v>2</v>
      </c>
      <c r="K297" t="s">
        <v>44</v>
      </c>
      <c r="L297" t="s">
        <v>45</v>
      </c>
      <c r="M297" t="s">
        <v>46</v>
      </c>
      <c r="N297" s="7">
        <v>4</v>
      </c>
      <c r="O297" s="8">
        <v>45644.627442129633</v>
      </c>
      <c r="P297" s="9">
        <v>45645</v>
      </c>
      <c r="Q297" t="s">
        <v>74</v>
      </c>
      <c r="R297" t="s">
        <v>48</v>
      </c>
      <c r="S297" t="s">
        <v>49</v>
      </c>
      <c r="T297" t="s">
        <v>59</v>
      </c>
      <c r="U297" t="s">
        <v>1035</v>
      </c>
      <c r="V297">
        <v>17000</v>
      </c>
      <c r="W297" t="s">
        <v>48</v>
      </c>
      <c r="X297" t="s">
        <v>1036</v>
      </c>
      <c r="Y297" t="s">
        <v>54</v>
      </c>
      <c r="Z297" s="12">
        <f>IF(N297&lt;=1,9,9+0.8*ROUNDUP(N297-1,0))</f>
        <v>11.4</v>
      </c>
      <c r="AA297" s="11">
        <v>-2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2"/>
        <v>0.56399999999999995</v>
      </c>
      <c r="AG297" s="11">
        <f t="shared" si="13"/>
        <v>9.9640000000000004</v>
      </c>
      <c r="AH297" s="11">
        <v>0</v>
      </c>
      <c r="AI297" s="11">
        <f t="shared" si="14"/>
        <v>9.9640000000000004</v>
      </c>
      <c r="AJ297" t="s">
        <v>62</v>
      </c>
    </row>
    <row r="298" spans="1:36" ht="15" customHeight="1" x14ac:dyDescent="0.35">
      <c r="A298">
        <v>10428918</v>
      </c>
      <c r="B298" t="s">
        <v>36</v>
      </c>
      <c r="C298" t="s">
        <v>37</v>
      </c>
      <c r="D298" s="6" t="s">
        <v>38</v>
      </c>
      <c r="E298" t="s">
        <v>1037</v>
      </c>
      <c r="F298" t="s">
        <v>40</v>
      </c>
      <c r="G298" t="s">
        <v>41</v>
      </c>
      <c r="H298" t="s">
        <v>1038</v>
      </c>
      <c r="I298" t="s">
        <v>43</v>
      </c>
      <c r="J298">
        <v>2</v>
      </c>
      <c r="K298" t="s">
        <v>44</v>
      </c>
      <c r="L298" t="s">
        <v>45</v>
      </c>
      <c r="M298" t="s">
        <v>46</v>
      </c>
      <c r="N298" s="7">
        <v>1</v>
      </c>
      <c r="O298" s="8">
        <v>45643.538449074076</v>
      </c>
      <c r="P298" s="9">
        <v>45645</v>
      </c>
      <c r="Q298" t="s">
        <v>74</v>
      </c>
      <c r="R298" t="s">
        <v>48</v>
      </c>
      <c r="S298" t="s">
        <v>49</v>
      </c>
      <c r="T298" t="s">
        <v>69</v>
      </c>
      <c r="U298" t="s">
        <v>1039</v>
      </c>
      <c r="V298">
        <v>81300</v>
      </c>
      <c r="W298" t="s">
        <v>48</v>
      </c>
      <c r="X298" t="s">
        <v>1040</v>
      </c>
      <c r="Y298" t="s">
        <v>54</v>
      </c>
      <c r="Z298" s="12">
        <f>IF(N298&lt;=1,9,9+0.8*ROUNDUP(N298-1,0))</f>
        <v>9</v>
      </c>
      <c r="AA298" s="11">
        <v>-2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2"/>
        <v>0.42</v>
      </c>
      <c r="AG298" s="11">
        <f t="shared" si="13"/>
        <v>7.42</v>
      </c>
      <c r="AH298" s="11">
        <v>0</v>
      </c>
      <c r="AI298" s="11">
        <f t="shared" si="14"/>
        <v>7.42</v>
      </c>
      <c r="AJ298" t="s">
        <v>62</v>
      </c>
    </row>
    <row r="299" spans="1:36" ht="15" customHeight="1" x14ac:dyDescent="0.35">
      <c r="A299">
        <v>10428918</v>
      </c>
      <c r="B299" t="s">
        <v>36</v>
      </c>
      <c r="C299" t="s">
        <v>37</v>
      </c>
      <c r="D299" s="6" t="s">
        <v>38</v>
      </c>
      <c r="E299" t="s">
        <v>1041</v>
      </c>
      <c r="F299" t="s">
        <v>40</v>
      </c>
      <c r="G299" t="s">
        <v>41</v>
      </c>
      <c r="H299" t="s">
        <v>1042</v>
      </c>
      <c r="I299" t="s">
        <v>43</v>
      </c>
      <c r="J299">
        <v>2</v>
      </c>
      <c r="K299" t="s">
        <v>44</v>
      </c>
      <c r="L299" t="s">
        <v>45</v>
      </c>
      <c r="M299" t="s">
        <v>46</v>
      </c>
      <c r="N299" s="7">
        <v>1</v>
      </c>
      <c r="O299" s="8">
        <v>45644.748043981483</v>
      </c>
      <c r="P299" s="9">
        <v>45645</v>
      </c>
      <c r="Q299" t="s">
        <v>74</v>
      </c>
      <c r="R299" t="s">
        <v>48</v>
      </c>
      <c r="S299" t="s">
        <v>49</v>
      </c>
      <c r="T299" t="s">
        <v>85</v>
      </c>
      <c r="U299" t="s">
        <v>1043</v>
      </c>
      <c r="V299">
        <v>71760</v>
      </c>
      <c r="W299" t="s">
        <v>48</v>
      </c>
      <c r="X299" t="s">
        <v>266</v>
      </c>
      <c r="Y299" t="s">
        <v>54</v>
      </c>
      <c r="Z299" s="12">
        <f>IF(N299&lt;=1,9,9+0.8*ROUNDUP(N299-1,0))</f>
        <v>9</v>
      </c>
      <c r="AA299" s="11">
        <v>-2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2"/>
        <v>0.42</v>
      </c>
      <c r="AG299" s="11">
        <f t="shared" si="13"/>
        <v>7.42</v>
      </c>
      <c r="AH299" s="11">
        <v>0</v>
      </c>
      <c r="AI299" s="11">
        <f t="shared" si="14"/>
        <v>7.42</v>
      </c>
      <c r="AJ299" t="s">
        <v>62</v>
      </c>
    </row>
    <row r="300" spans="1:36" ht="15" customHeight="1" x14ac:dyDescent="0.35">
      <c r="A300">
        <v>10428918</v>
      </c>
      <c r="B300" t="s">
        <v>36</v>
      </c>
      <c r="C300" t="s">
        <v>37</v>
      </c>
      <c r="D300" s="6" t="s">
        <v>38</v>
      </c>
      <c r="E300" t="s">
        <v>1044</v>
      </c>
      <c r="F300" t="s">
        <v>40</v>
      </c>
      <c r="G300" t="s">
        <v>41</v>
      </c>
      <c r="H300" t="s">
        <v>1045</v>
      </c>
      <c r="I300" t="s">
        <v>43</v>
      </c>
      <c r="J300">
        <v>2</v>
      </c>
      <c r="K300" t="s">
        <v>44</v>
      </c>
      <c r="L300" t="s">
        <v>45</v>
      </c>
      <c r="M300" t="s">
        <v>46</v>
      </c>
      <c r="N300" s="7">
        <v>1</v>
      </c>
      <c r="O300" s="8">
        <v>45644.530405092592</v>
      </c>
      <c r="P300" s="9">
        <v>45645</v>
      </c>
      <c r="Q300" t="s">
        <v>74</v>
      </c>
      <c r="R300" t="s">
        <v>48</v>
      </c>
      <c r="S300" t="s">
        <v>49</v>
      </c>
      <c r="T300" t="s">
        <v>117</v>
      </c>
      <c r="U300" t="s">
        <v>1046</v>
      </c>
      <c r="V300">
        <v>43900</v>
      </c>
      <c r="W300" t="s">
        <v>48</v>
      </c>
      <c r="X300" t="s">
        <v>532</v>
      </c>
      <c r="Y300" t="s">
        <v>54</v>
      </c>
      <c r="Z300" s="12">
        <f>IF(N300&lt;=1,9,9+0.8*ROUNDUP(N300-1,0))</f>
        <v>9</v>
      </c>
      <c r="AA300" s="11">
        <v>-2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2"/>
        <v>0.42</v>
      </c>
      <c r="AG300" s="11">
        <f t="shared" si="13"/>
        <v>7.42</v>
      </c>
      <c r="AH300" s="11">
        <v>0</v>
      </c>
      <c r="AI300" s="11">
        <f t="shared" si="14"/>
        <v>7.42</v>
      </c>
      <c r="AJ300" t="s">
        <v>62</v>
      </c>
    </row>
    <row r="301" spans="1:36" ht="15" customHeight="1" x14ac:dyDescent="0.35">
      <c r="A301">
        <v>10428918</v>
      </c>
      <c r="B301" t="s">
        <v>36</v>
      </c>
      <c r="C301" t="s">
        <v>37</v>
      </c>
      <c r="D301" s="6" t="s">
        <v>38</v>
      </c>
      <c r="E301" t="s">
        <v>1047</v>
      </c>
      <c r="F301" t="s">
        <v>40</v>
      </c>
      <c r="G301" t="s">
        <v>41</v>
      </c>
      <c r="H301" t="s">
        <v>1048</v>
      </c>
      <c r="I301" t="s">
        <v>43</v>
      </c>
      <c r="J301">
        <v>2</v>
      </c>
      <c r="K301" t="s">
        <v>44</v>
      </c>
      <c r="L301" t="s">
        <v>45</v>
      </c>
      <c r="M301" t="s">
        <v>46</v>
      </c>
      <c r="N301" s="7">
        <v>1</v>
      </c>
      <c r="O301" s="8">
        <v>45642.782731481479</v>
      </c>
      <c r="P301" s="9">
        <v>45645</v>
      </c>
      <c r="Q301" t="s">
        <v>74</v>
      </c>
      <c r="R301" t="s">
        <v>48</v>
      </c>
      <c r="S301" t="s">
        <v>49</v>
      </c>
      <c r="T301" t="s">
        <v>69</v>
      </c>
      <c r="U301" t="s">
        <v>1049</v>
      </c>
      <c r="V301">
        <v>82100</v>
      </c>
      <c r="W301" t="s">
        <v>48</v>
      </c>
      <c r="X301" t="s">
        <v>295</v>
      </c>
      <c r="Y301" t="s">
        <v>54</v>
      </c>
      <c r="Z301" s="12">
        <f>IF(N301&lt;=1,9,9+0.8*ROUNDUP(N301-1,0))</f>
        <v>9</v>
      </c>
      <c r="AA301" s="11">
        <v>-2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2"/>
        <v>0.42</v>
      </c>
      <c r="AG301" s="11">
        <f t="shared" si="13"/>
        <v>7.42</v>
      </c>
      <c r="AH301" s="11">
        <v>0</v>
      </c>
      <c r="AI301" s="11">
        <f t="shared" si="14"/>
        <v>7.42</v>
      </c>
      <c r="AJ301" t="s">
        <v>62</v>
      </c>
    </row>
    <row r="302" spans="1:36" ht="15" customHeight="1" x14ac:dyDescent="0.35">
      <c r="A302">
        <v>10428918</v>
      </c>
      <c r="B302" t="s">
        <v>36</v>
      </c>
      <c r="C302" t="s">
        <v>37</v>
      </c>
      <c r="D302" s="6" t="s">
        <v>38</v>
      </c>
      <c r="E302" t="s">
        <v>1050</v>
      </c>
      <c r="F302" t="s">
        <v>40</v>
      </c>
      <c r="G302" t="s">
        <v>41</v>
      </c>
      <c r="H302" t="s">
        <v>1051</v>
      </c>
      <c r="I302" t="s">
        <v>43</v>
      </c>
      <c r="J302">
        <v>2</v>
      </c>
      <c r="K302" t="s">
        <v>44</v>
      </c>
      <c r="L302" t="s">
        <v>45</v>
      </c>
      <c r="M302" t="s">
        <v>46</v>
      </c>
      <c r="N302" s="7">
        <v>1</v>
      </c>
      <c r="O302" s="8">
        <v>45643.629641203705</v>
      </c>
      <c r="P302" s="9">
        <v>45645</v>
      </c>
      <c r="Q302" t="s">
        <v>74</v>
      </c>
      <c r="R302" t="s">
        <v>48</v>
      </c>
      <c r="S302" t="s">
        <v>49</v>
      </c>
      <c r="T302" t="s">
        <v>117</v>
      </c>
      <c r="U302" t="s">
        <v>1052</v>
      </c>
      <c r="V302">
        <v>42700</v>
      </c>
      <c r="W302" t="s">
        <v>48</v>
      </c>
      <c r="X302" t="s">
        <v>901</v>
      </c>
      <c r="Y302" t="s">
        <v>54</v>
      </c>
      <c r="Z302" s="12">
        <f>IF(N302&lt;=1,9,9+0.8*ROUNDUP(N302-1,0))</f>
        <v>9</v>
      </c>
      <c r="AA302" s="11">
        <v>-2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2"/>
        <v>0.42</v>
      </c>
      <c r="AG302" s="11">
        <f t="shared" si="13"/>
        <v>7.42</v>
      </c>
      <c r="AH302" s="11">
        <v>0</v>
      </c>
      <c r="AI302" s="11">
        <f t="shared" si="14"/>
        <v>7.42</v>
      </c>
      <c r="AJ302" t="s">
        <v>62</v>
      </c>
    </row>
    <row r="303" spans="1:36" ht="15" customHeight="1" x14ac:dyDescent="0.35">
      <c r="A303">
        <v>10428918</v>
      </c>
      <c r="B303" t="s">
        <v>36</v>
      </c>
      <c r="C303" t="s">
        <v>37</v>
      </c>
      <c r="D303" s="6" t="s">
        <v>38</v>
      </c>
      <c r="E303" t="s">
        <v>1053</v>
      </c>
      <c r="F303" t="s">
        <v>40</v>
      </c>
      <c r="G303" t="s">
        <v>41</v>
      </c>
      <c r="H303" t="s">
        <v>1054</v>
      </c>
      <c r="I303" t="s">
        <v>43</v>
      </c>
      <c r="J303">
        <v>2</v>
      </c>
      <c r="K303" t="s">
        <v>44</v>
      </c>
      <c r="L303" t="s">
        <v>45</v>
      </c>
      <c r="M303" t="s">
        <v>46</v>
      </c>
      <c r="N303" s="7">
        <v>1</v>
      </c>
      <c r="O303" s="8">
        <v>45642.832812499997</v>
      </c>
      <c r="P303" s="9">
        <v>45646</v>
      </c>
      <c r="Q303" t="s">
        <v>74</v>
      </c>
      <c r="R303" t="s">
        <v>48</v>
      </c>
      <c r="S303" t="s">
        <v>49</v>
      </c>
      <c r="T303" t="s">
        <v>50</v>
      </c>
      <c r="U303" t="s">
        <v>1055</v>
      </c>
      <c r="V303">
        <v>91000</v>
      </c>
      <c r="W303" t="s">
        <v>52</v>
      </c>
      <c r="X303" t="s">
        <v>53</v>
      </c>
      <c r="Y303" t="s">
        <v>54</v>
      </c>
      <c r="Z303" s="10">
        <f>IF(N303&lt;=1,13,IF(N303&lt;=2,23,IF(N303&lt;=3,35,IF(N303&lt;=4,43,IF(N303&lt;=5,53,IF(N303&lt;=6,63,IF(N303&lt;=7,71,IF(N303&lt;=8,79,IF(N303&lt;=9,87,IF(N303&lt;=10,95,IF(N303&lt;=11,105,IF(N303&lt;=12,114,IF(N303&lt;=13,119,IF(N303&lt;=14,127,IF(N303&lt;=15,135,IF(N303&lt;=16,143,IF(N303&lt;=17,153,IF(N303&lt;=18,163,IF(N303&lt;=19,171,IF(N303&lt;=20,185,IF(N303&lt;=21,193,IF(N303&lt;=22,201,IF(N303&lt;=23,210,IF(N303&lt;=24,220,IF(N303&lt;=25,230,IF(N303&lt;=26,240,IF(N303&lt;=27,250,IF(N303&lt;=28,260,IF(N303&lt;=29,270,IF(N303&lt;=30,280,280+10*ROUNDUP(N303-30,0)))))))))))))))))))))))))))))))</f>
        <v>13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2"/>
        <v>0.78</v>
      </c>
      <c r="AG303" s="11">
        <f t="shared" si="13"/>
        <v>13.78</v>
      </c>
      <c r="AH303" s="11">
        <v>0</v>
      </c>
      <c r="AI303" s="11">
        <f t="shared" si="14"/>
        <v>13.78</v>
      </c>
      <c r="AJ303" t="s">
        <v>55</v>
      </c>
    </row>
    <row r="304" spans="1:36" ht="15" customHeight="1" x14ac:dyDescent="0.35">
      <c r="A304">
        <v>10428918</v>
      </c>
      <c r="B304" t="s">
        <v>36</v>
      </c>
      <c r="C304" t="s">
        <v>37</v>
      </c>
      <c r="D304" s="6" t="s">
        <v>38</v>
      </c>
      <c r="E304" t="s">
        <v>1056</v>
      </c>
      <c r="F304" t="s">
        <v>40</v>
      </c>
      <c r="G304" t="s">
        <v>41</v>
      </c>
      <c r="H304" t="s">
        <v>1057</v>
      </c>
      <c r="I304" t="s">
        <v>43</v>
      </c>
      <c r="J304">
        <v>2</v>
      </c>
      <c r="K304" t="s">
        <v>44</v>
      </c>
      <c r="L304" t="s">
        <v>45</v>
      </c>
      <c r="M304" t="s">
        <v>46</v>
      </c>
      <c r="N304" s="7">
        <v>2</v>
      </c>
      <c r="O304" s="8">
        <v>45643.629641203705</v>
      </c>
      <c r="P304" s="9">
        <v>45646</v>
      </c>
      <c r="Q304" t="s">
        <v>74</v>
      </c>
      <c r="R304" t="s">
        <v>48</v>
      </c>
      <c r="S304" t="s">
        <v>49</v>
      </c>
      <c r="T304" t="s">
        <v>65</v>
      </c>
      <c r="U304" t="s">
        <v>1058</v>
      </c>
      <c r="V304">
        <v>77300</v>
      </c>
      <c r="W304" t="s">
        <v>48</v>
      </c>
      <c r="X304" t="s">
        <v>361</v>
      </c>
      <c r="Y304" t="s">
        <v>54</v>
      </c>
      <c r="Z304" s="12">
        <f>IF(N304&lt;=1,9,9+0.8*ROUNDUP(N304-1,0))</f>
        <v>9.8000000000000007</v>
      </c>
      <c r="AA304" s="11">
        <v>-2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2"/>
        <v>0.46800000000000003</v>
      </c>
      <c r="AG304" s="11">
        <f t="shared" si="13"/>
        <v>8.2680000000000007</v>
      </c>
      <c r="AH304" s="11">
        <v>0</v>
      </c>
      <c r="AI304" s="11">
        <f t="shared" si="14"/>
        <v>8.2680000000000007</v>
      </c>
      <c r="AJ304" t="s">
        <v>62</v>
      </c>
    </row>
    <row r="305" spans="1:36" ht="15" customHeight="1" x14ac:dyDescent="0.35">
      <c r="A305">
        <v>10428918</v>
      </c>
      <c r="B305" t="s">
        <v>36</v>
      </c>
      <c r="C305" t="s">
        <v>37</v>
      </c>
      <c r="D305" s="6" t="s">
        <v>38</v>
      </c>
      <c r="E305" t="s">
        <v>1059</v>
      </c>
      <c r="F305" t="s">
        <v>40</v>
      </c>
      <c r="G305" t="s">
        <v>41</v>
      </c>
      <c r="H305" t="s">
        <v>570</v>
      </c>
      <c r="I305" t="s">
        <v>43</v>
      </c>
      <c r="J305">
        <v>2</v>
      </c>
      <c r="K305" t="s">
        <v>44</v>
      </c>
      <c r="L305" t="s">
        <v>45</v>
      </c>
      <c r="M305" t="s">
        <v>46</v>
      </c>
      <c r="N305" s="7">
        <v>3</v>
      </c>
      <c r="O305" s="8">
        <v>45645.673206018517</v>
      </c>
      <c r="P305" s="9">
        <v>45646</v>
      </c>
      <c r="Q305" t="s">
        <v>74</v>
      </c>
      <c r="R305" t="s">
        <v>48</v>
      </c>
      <c r="S305" t="s">
        <v>49</v>
      </c>
      <c r="T305" t="s">
        <v>117</v>
      </c>
      <c r="U305" t="s">
        <v>571</v>
      </c>
      <c r="V305">
        <v>40000</v>
      </c>
      <c r="W305" t="s">
        <v>48</v>
      </c>
      <c r="X305" t="s">
        <v>53</v>
      </c>
      <c r="Y305" t="s">
        <v>54</v>
      </c>
      <c r="Z305" s="12">
        <f>IF(N305&lt;=1,9,9+0.8*ROUNDUP(N305-1,0))</f>
        <v>10.6</v>
      </c>
      <c r="AA305" s="11">
        <v>-2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2"/>
        <v>0.51600000000000001</v>
      </c>
      <c r="AG305" s="11">
        <f t="shared" si="13"/>
        <v>9.1159999999999997</v>
      </c>
      <c r="AH305" s="11">
        <v>0</v>
      </c>
      <c r="AI305" s="11">
        <f t="shared" si="14"/>
        <v>9.1159999999999997</v>
      </c>
      <c r="AJ305" t="s">
        <v>62</v>
      </c>
    </row>
    <row r="306" spans="1:36" ht="15" customHeight="1" x14ac:dyDescent="0.35">
      <c r="A306">
        <v>10428918</v>
      </c>
      <c r="B306" t="s">
        <v>36</v>
      </c>
      <c r="C306" t="s">
        <v>37</v>
      </c>
      <c r="D306" s="6" t="s">
        <v>38</v>
      </c>
      <c r="E306" t="s">
        <v>1060</v>
      </c>
      <c r="F306" t="s">
        <v>40</v>
      </c>
      <c r="G306" t="s">
        <v>41</v>
      </c>
      <c r="H306" t="s">
        <v>570</v>
      </c>
      <c r="I306" t="s">
        <v>43</v>
      </c>
      <c r="J306">
        <v>2</v>
      </c>
      <c r="K306" t="s">
        <v>44</v>
      </c>
      <c r="L306" t="s">
        <v>45</v>
      </c>
      <c r="M306" t="s">
        <v>46</v>
      </c>
      <c r="N306" s="7">
        <v>23</v>
      </c>
      <c r="O306" s="8">
        <v>45643.855671296296</v>
      </c>
      <c r="P306" s="9">
        <v>45646</v>
      </c>
      <c r="Q306" t="s">
        <v>74</v>
      </c>
      <c r="R306" t="s">
        <v>48</v>
      </c>
      <c r="S306" t="s">
        <v>49</v>
      </c>
      <c r="T306" t="s">
        <v>117</v>
      </c>
      <c r="U306" t="s">
        <v>571</v>
      </c>
      <c r="V306">
        <v>40000</v>
      </c>
      <c r="W306" t="s">
        <v>48</v>
      </c>
      <c r="X306" t="s">
        <v>473</v>
      </c>
      <c r="Y306" t="s">
        <v>54</v>
      </c>
      <c r="Z306" s="12">
        <f>IF(N306&lt;=1,9,9+0.8*ROUNDUP(N306-1,0))</f>
        <v>26.6</v>
      </c>
      <c r="AA306" s="11">
        <v>-2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2"/>
        <v>1.476</v>
      </c>
      <c r="AG306" s="11">
        <f t="shared" si="13"/>
        <v>26.076000000000001</v>
      </c>
      <c r="AH306" s="11">
        <v>0</v>
      </c>
      <c r="AI306" s="11">
        <f t="shared" si="14"/>
        <v>26.076000000000001</v>
      </c>
      <c r="AJ306" t="s">
        <v>62</v>
      </c>
    </row>
    <row r="307" spans="1:36" ht="15" customHeight="1" x14ac:dyDescent="0.35">
      <c r="A307">
        <v>10428918</v>
      </c>
      <c r="B307" t="s">
        <v>36</v>
      </c>
      <c r="C307" t="s">
        <v>37</v>
      </c>
      <c r="D307" s="6" t="s">
        <v>38</v>
      </c>
      <c r="E307" t="s">
        <v>1061</v>
      </c>
      <c r="F307" t="s">
        <v>40</v>
      </c>
      <c r="G307" t="s">
        <v>41</v>
      </c>
      <c r="H307" t="s">
        <v>1062</v>
      </c>
      <c r="I307" t="s">
        <v>43</v>
      </c>
      <c r="J307">
        <v>2</v>
      </c>
      <c r="K307" t="s">
        <v>44</v>
      </c>
      <c r="L307" t="s">
        <v>45</v>
      </c>
      <c r="M307" t="s">
        <v>46</v>
      </c>
      <c r="N307" s="7">
        <v>1</v>
      </c>
      <c r="O307" s="8">
        <v>45644.653124999997</v>
      </c>
      <c r="P307" s="9">
        <v>45646</v>
      </c>
      <c r="Q307" t="s">
        <v>74</v>
      </c>
      <c r="R307" t="s">
        <v>48</v>
      </c>
      <c r="S307" t="s">
        <v>49</v>
      </c>
      <c r="T307" t="s">
        <v>161</v>
      </c>
      <c r="U307" t="s">
        <v>1063</v>
      </c>
      <c r="V307">
        <v>13700</v>
      </c>
      <c r="W307" t="s">
        <v>48</v>
      </c>
      <c r="X307" t="s">
        <v>53</v>
      </c>
      <c r="Y307" t="s">
        <v>54</v>
      </c>
      <c r="Z307" s="12">
        <f>IF(N307&lt;=1,9,9+0.8*ROUNDUP(N307-1,0))</f>
        <v>9</v>
      </c>
      <c r="AA307" s="11">
        <v>-2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2"/>
        <v>0.42</v>
      </c>
      <c r="AG307" s="11">
        <f t="shared" si="13"/>
        <v>7.42</v>
      </c>
      <c r="AH307" s="11">
        <v>0</v>
      </c>
      <c r="AI307" s="11">
        <f t="shared" si="14"/>
        <v>7.42</v>
      </c>
      <c r="AJ307" t="s">
        <v>62</v>
      </c>
    </row>
    <row r="308" spans="1:36" ht="15" customHeight="1" x14ac:dyDescent="0.35">
      <c r="A308">
        <v>10428918</v>
      </c>
      <c r="B308" t="s">
        <v>36</v>
      </c>
      <c r="C308" t="s">
        <v>37</v>
      </c>
      <c r="D308" s="6" t="s">
        <v>38</v>
      </c>
      <c r="E308" t="s">
        <v>1064</v>
      </c>
      <c r="F308" t="s">
        <v>40</v>
      </c>
      <c r="G308" t="s">
        <v>41</v>
      </c>
      <c r="H308" t="s">
        <v>1065</v>
      </c>
      <c r="I308" t="s">
        <v>43</v>
      </c>
      <c r="J308">
        <v>2</v>
      </c>
      <c r="K308" t="s">
        <v>44</v>
      </c>
      <c r="L308" t="s">
        <v>45</v>
      </c>
      <c r="M308" t="s">
        <v>46</v>
      </c>
      <c r="N308" s="7">
        <v>1</v>
      </c>
      <c r="O308" s="8">
        <v>45644.530405092592</v>
      </c>
      <c r="P308" s="9">
        <v>45646</v>
      </c>
      <c r="Q308" t="s">
        <v>74</v>
      </c>
      <c r="R308" t="s">
        <v>48</v>
      </c>
      <c r="S308" t="s">
        <v>49</v>
      </c>
      <c r="T308" t="s">
        <v>65</v>
      </c>
      <c r="U308" t="s">
        <v>1066</v>
      </c>
      <c r="V308">
        <v>76300</v>
      </c>
      <c r="W308" t="s">
        <v>48</v>
      </c>
      <c r="X308" t="s">
        <v>406</v>
      </c>
      <c r="Y308" t="s">
        <v>54</v>
      </c>
      <c r="Z308" s="12">
        <f>IF(N308&lt;=1,9,9+0.8*ROUNDUP(N308-1,0))</f>
        <v>9</v>
      </c>
      <c r="AA308" s="11">
        <v>-2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2"/>
        <v>0.42</v>
      </c>
      <c r="AG308" s="11">
        <f t="shared" si="13"/>
        <v>7.42</v>
      </c>
      <c r="AH308" s="11">
        <v>0</v>
      </c>
      <c r="AI308" s="11">
        <f t="shared" si="14"/>
        <v>7.42</v>
      </c>
      <c r="AJ308" t="s">
        <v>62</v>
      </c>
    </row>
    <row r="309" spans="1:36" ht="15" customHeight="1" x14ac:dyDescent="0.35">
      <c r="A309">
        <v>10428918</v>
      </c>
      <c r="B309" t="s">
        <v>36</v>
      </c>
      <c r="C309" t="s">
        <v>37</v>
      </c>
      <c r="D309" s="6" t="s">
        <v>38</v>
      </c>
      <c r="E309" t="s">
        <v>1067</v>
      </c>
      <c r="F309" t="s">
        <v>40</v>
      </c>
      <c r="G309" t="s">
        <v>41</v>
      </c>
      <c r="H309" t="s">
        <v>1068</v>
      </c>
      <c r="I309" t="s">
        <v>43</v>
      </c>
      <c r="J309">
        <v>2</v>
      </c>
      <c r="K309" t="s">
        <v>44</v>
      </c>
      <c r="L309" t="s">
        <v>45</v>
      </c>
      <c r="M309" t="s">
        <v>46</v>
      </c>
      <c r="N309" s="7">
        <v>2</v>
      </c>
      <c r="O309" s="8">
        <v>45644.725162037037</v>
      </c>
      <c r="P309" s="9">
        <v>45646</v>
      </c>
      <c r="Q309" t="s">
        <v>74</v>
      </c>
      <c r="R309" t="s">
        <v>48</v>
      </c>
      <c r="S309" t="s">
        <v>49</v>
      </c>
      <c r="T309" t="s">
        <v>117</v>
      </c>
      <c r="U309" t="s">
        <v>1069</v>
      </c>
      <c r="V309">
        <v>42700</v>
      </c>
      <c r="W309" t="s">
        <v>48</v>
      </c>
      <c r="X309" t="s">
        <v>53</v>
      </c>
      <c r="Y309" t="s">
        <v>54</v>
      </c>
      <c r="Z309" s="12">
        <f>IF(N309&lt;=1,9,9+0.8*ROUNDUP(N309-1,0))</f>
        <v>9.8000000000000007</v>
      </c>
      <c r="AA309" s="11">
        <v>-2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2"/>
        <v>0.46800000000000003</v>
      </c>
      <c r="AG309" s="11">
        <f t="shared" si="13"/>
        <v>8.2680000000000007</v>
      </c>
      <c r="AH309" s="11">
        <v>0</v>
      </c>
      <c r="AI309" s="11">
        <f t="shared" si="14"/>
        <v>8.2680000000000007</v>
      </c>
      <c r="AJ309" t="s">
        <v>62</v>
      </c>
    </row>
    <row r="310" spans="1:36" ht="15" customHeight="1" x14ac:dyDescent="0.35">
      <c r="A310">
        <v>10428918</v>
      </c>
      <c r="B310" t="s">
        <v>36</v>
      </c>
      <c r="C310" t="s">
        <v>37</v>
      </c>
      <c r="D310" s="6" t="s">
        <v>38</v>
      </c>
      <c r="E310" t="s">
        <v>1070</v>
      </c>
      <c r="F310" t="s">
        <v>40</v>
      </c>
      <c r="G310" t="s">
        <v>41</v>
      </c>
      <c r="H310" t="s">
        <v>1071</v>
      </c>
      <c r="I310" t="s">
        <v>43</v>
      </c>
      <c r="J310">
        <v>2</v>
      </c>
      <c r="K310" t="s">
        <v>44</v>
      </c>
      <c r="L310" t="s">
        <v>45</v>
      </c>
      <c r="M310" t="s">
        <v>46</v>
      </c>
      <c r="N310" s="7">
        <v>1</v>
      </c>
      <c r="O310" s="8">
        <v>45644.815775462965</v>
      </c>
      <c r="P310" s="9">
        <v>45646</v>
      </c>
      <c r="Q310" t="s">
        <v>74</v>
      </c>
      <c r="R310" t="s">
        <v>48</v>
      </c>
      <c r="S310" t="s">
        <v>49</v>
      </c>
      <c r="T310" t="s">
        <v>170</v>
      </c>
      <c r="U310" t="s">
        <v>1072</v>
      </c>
      <c r="V310">
        <v>46350</v>
      </c>
      <c r="W310" t="s">
        <v>48</v>
      </c>
      <c r="X310" t="s">
        <v>53</v>
      </c>
      <c r="Y310" t="s">
        <v>54</v>
      </c>
      <c r="Z310" s="12">
        <f>IF(N310&lt;=1,9,9+0.8*ROUNDUP(N310-1,0))</f>
        <v>9</v>
      </c>
      <c r="AA310" s="11">
        <v>-2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2"/>
        <v>0.42</v>
      </c>
      <c r="AG310" s="11">
        <f t="shared" si="13"/>
        <v>7.42</v>
      </c>
      <c r="AH310" s="11">
        <v>0</v>
      </c>
      <c r="AI310" s="11">
        <f t="shared" si="14"/>
        <v>7.42</v>
      </c>
      <c r="AJ310" t="s">
        <v>62</v>
      </c>
    </row>
    <row r="311" spans="1:36" ht="15" customHeight="1" x14ac:dyDescent="0.35">
      <c r="A311">
        <v>10428918</v>
      </c>
      <c r="B311" t="s">
        <v>36</v>
      </c>
      <c r="C311" t="s">
        <v>37</v>
      </c>
      <c r="D311" s="6" t="s">
        <v>38</v>
      </c>
      <c r="E311" t="s">
        <v>1073</v>
      </c>
      <c r="F311" t="s">
        <v>40</v>
      </c>
      <c r="G311" t="s">
        <v>41</v>
      </c>
      <c r="H311" t="s">
        <v>1074</v>
      </c>
      <c r="I311" t="s">
        <v>43</v>
      </c>
      <c r="J311">
        <v>2</v>
      </c>
      <c r="K311" t="s">
        <v>44</v>
      </c>
      <c r="L311" t="s">
        <v>45</v>
      </c>
      <c r="M311" t="s">
        <v>46</v>
      </c>
      <c r="N311" s="7">
        <v>1</v>
      </c>
      <c r="O311" s="8">
        <v>45644.548078703701</v>
      </c>
      <c r="P311" s="9">
        <v>45646</v>
      </c>
      <c r="Q311" t="s">
        <v>74</v>
      </c>
      <c r="R311" t="s">
        <v>48</v>
      </c>
      <c r="S311" t="s">
        <v>49</v>
      </c>
      <c r="T311" t="s">
        <v>65</v>
      </c>
      <c r="U311" t="s">
        <v>1075</v>
      </c>
      <c r="V311">
        <v>75250</v>
      </c>
      <c r="W311" t="s">
        <v>48</v>
      </c>
      <c r="X311" t="s">
        <v>406</v>
      </c>
      <c r="Y311" t="s">
        <v>54</v>
      </c>
      <c r="Z311" s="12">
        <f>IF(N311&lt;=1,9,9+0.8*ROUNDUP(N311-1,0))</f>
        <v>9</v>
      </c>
      <c r="AA311" s="11">
        <v>-2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2"/>
        <v>0.42</v>
      </c>
      <c r="AG311" s="11">
        <f t="shared" si="13"/>
        <v>7.42</v>
      </c>
      <c r="AH311" s="11">
        <v>0</v>
      </c>
      <c r="AI311" s="11">
        <f t="shared" si="14"/>
        <v>7.42</v>
      </c>
      <c r="AJ311" t="s">
        <v>62</v>
      </c>
    </row>
    <row r="312" spans="1:36" ht="15" customHeight="1" x14ac:dyDescent="0.35">
      <c r="A312">
        <v>10428918</v>
      </c>
      <c r="B312" t="s">
        <v>36</v>
      </c>
      <c r="C312" t="s">
        <v>37</v>
      </c>
      <c r="D312" s="6" t="s">
        <v>38</v>
      </c>
      <c r="E312" t="s">
        <v>1076</v>
      </c>
      <c r="F312" t="s">
        <v>40</v>
      </c>
      <c r="G312" t="s">
        <v>41</v>
      </c>
      <c r="H312" t="s">
        <v>1077</v>
      </c>
      <c r="I312" t="s">
        <v>43</v>
      </c>
      <c r="J312">
        <v>2</v>
      </c>
      <c r="K312" t="s">
        <v>44</v>
      </c>
      <c r="L312" t="s">
        <v>45</v>
      </c>
      <c r="M312" t="s">
        <v>46</v>
      </c>
      <c r="N312" s="7">
        <v>2</v>
      </c>
      <c r="O312" s="8">
        <v>45641.6637962963</v>
      </c>
      <c r="P312" s="9">
        <v>45646</v>
      </c>
      <c r="Q312" t="s">
        <v>74</v>
      </c>
      <c r="R312" t="s">
        <v>48</v>
      </c>
      <c r="S312" t="s">
        <v>49</v>
      </c>
      <c r="T312" t="s">
        <v>69</v>
      </c>
      <c r="U312" t="s">
        <v>1078</v>
      </c>
      <c r="V312">
        <v>86500</v>
      </c>
      <c r="W312" t="s">
        <v>48</v>
      </c>
      <c r="X312" t="s">
        <v>402</v>
      </c>
      <c r="Y312" t="s">
        <v>54</v>
      </c>
      <c r="Z312" s="12">
        <f>IF(N312&lt;=1,9,9+0.8*ROUNDUP(N312-1,0))</f>
        <v>9.8000000000000007</v>
      </c>
      <c r="AA312" s="11">
        <v>-2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2"/>
        <v>0.46800000000000003</v>
      </c>
      <c r="AG312" s="11">
        <f t="shared" si="13"/>
        <v>8.2680000000000007</v>
      </c>
      <c r="AH312" s="11">
        <v>0</v>
      </c>
      <c r="AI312" s="11">
        <f t="shared" si="14"/>
        <v>8.2680000000000007</v>
      </c>
      <c r="AJ312" t="s">
        <v>62</v>
      </c>
    </row>
    <row r="313" spans="1:36" ht="15" customHeight="1" x14ac:dyDescent="0.35">
      <c r="A313">
        <v>10428918</v>
      </c>
      <c r="B313" t="s">
        <v>36</v>
      </c>
      <c r="C313" t="s">
        <v>37</v>
      </c>
      <c r="D313" s="6" t="s">
        <v>38</v>
      </c>
      <c r="E313" t="s">
        <v>1079</v>
      </c>
      <c r="F313" t="s">
        <v>40</v>
      </c>
      <c r="G313" t="s">
        <v>41</v>
      </c>
      <c r="H313" t="s">
        <v>1080</v>
      </c>
      <c r="I313" t="s">
        <v>43</v>
      </c>
      <c r="J313">
        <v>2</v>
      </c>
      <c r="K313" t="s">
        <v>44</v>
      </c>
      <c r="L313" t="s">
        <v>45</v>
      </c>
      <c r="M313" t="s">
        <v>46</v>
      </c>
      <c r="N313" s="7">
        <v>1</v>
      </c>
      <c r="O313" s="8">
        <v>45645.624189814815</v>
      </c>
      <c r="P313" s="9">
        <v>45646</v>
      </c>
      <c r="Q313" t="s">
        <v>74</v>
      </c>
      <c r="R313" t="s">
        <v>48</v>
      </c>
      <c r="S313" t="s">
        <v>49</v>
      </c>
      <c r="T313" t="s">
        <v>117</v>
      </c>
      <c r="U313" t="s">
        <v>1081</v>
      </c>
      <c r="V313">
        <v>68000</v>
      </c>
      <c r="W313" t="s">
        <v>48</v>
      </c>
      <c r="X313" t="s">
        <v>1082</v>
      </c>
      <c r="Y313" t="s">
        <v>54</v>
      </c>
      <c r="Z313" s="12">
        <f>IF(N313&lt;=1,9,9+0.8*ROUNDUP(N313-1,0))</f>
        <v>9</v>
      </c>
      <c r="AA313" s="11">
        <v>-2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2"/>
        <v>0.42</v>
      </c>
      <c r="AG313" s="11">
        <f t="shared" si="13"/>
        <v>7.42</v>
      </c>
      <c r="AH313" s="11">
        <v>0</v>
      </c>
      <c r="AI313" s="11">
        <f t="shared" si="14"/>
        <v>7.42</v>
      </c>
      <c r="AJ313" t="s">
        <v>62</v>
      </c>
    </row>
    <row r="314" spans="1:36" ht="15" customHeight="1" x14ac:dyDescent="0.35">
      <c r="A314">
        <v>10428918</v>
      </c>
      <c r="B314" t="s">
        <v>36</v>
      </c>
      <c r="C314" t="s">
        <v>37</v>
      </c>
      <c r="D314" s="6" t="s">
        <v>38</v>
      </c>
      <c r="E314" t="s">
        <v>1083</v>
      </c>
      <c r="F314" t="s">
        <v>40</v>
      </c>
      <c r="G314" t="s">
        <v>41</v>
      </c>
      <c r="H314" t="s">
        <v>1084</v>
      </c>
      <c r="I314" t="s">
        <v>43</v>
      </c>
      <c r="J314">
        <v>2</v>
      </c>
      <c r="K314" t="s">
        <v>44</v>
      </c>
      <c r="L314" t="s">
        <v>45</v>
      </c>
      <c r="M314" t="s">
        <v>46</v>
      </c>
      <c r="N314" s="7">
        <v>3</v>
      </c>
      <c r="O314" s="8">
        <v>45645.644143518519</v>
      </c>
      <c r="P314" s="9">
        <v>45646</v>
      </c>
      <c r="Q314" t="s">
        <v>74</v>
      </c>
      <c r="R314" t="s">
        <v>48</v>
      </c>
      <c r="S314" t="s">
        <v>49</v>
      </c>
      <c r="T314" t="s">
        <v>170</v>
      </c>
      <c r="U314" t="s">
        <v>1085</v>
      </c>
      <c r="V314">
        <v>50300</v>
      </c>
      <c r="W314" t="s">
        <v>48</v>
      </c>
      <c r="X314" t="s">
        <v>365</v>
      </c>
      <c r="Y314" t="s">
        <v>54</v>
      </c>
      <c r="Z314" s="12">
        <f>IF(N314&lt;=1,9,9+0.8*ROUNDUP(N314-1,0))</f>
        <v>10.6</v>
      </c>
      <c r="AA314" s="11">
        <v>-2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2"/>
        <v>0.51600000000000001</v>
      </c>
      <c r="AG314" s="11">
        <f t="shared" si="13"/>
        <v>9.1159999999999997</v>
      </c>
      <c r="AH314" s="11">
        <v>0</v>
      </c>
      <c r="AI314" s="11">
        <f t="shared" si="14"/>
        <v>9.1159999999999997</v>
      </c>
      <c r="AJ314" t="s">
        <v>62</v>
      </c>
    </row>
    <row r="315" spans="1:36" ht="15" customHeight="1" x14ac:dyDescent="0.35">
      <c r="A315">
        <v>10428918</v>
      </c>
      <c r="B315" t="s">
        <v>36</v>
      </c>
      <c r="C315" t="s">
        <v>37</v>
      </c>
      <c r="D315" s="6" t="s">
        <v>38</v>
      </c>
      <c r="E315" t="s">
        <v>1086</v>
      </c>
      <c r="F315" t="s">
        <v>40</v>
      </c>
      <c r="G315" t="s">
        <v>41</v>
      </c>
      <c r="H315" t="s">
        <v>1087</v>
      </c>
      <c r="I315" t="s">
        <v>43</v>
      </c>
      <c r="J315">
        <v>2</v>
      </c>
      <c r="K315" t="s">
        <v>44</v>
      </c>
      <c r="L315" t="s">
        <v>45</v>
      </c>
      <c r="M315" t="s">
        <v>46</v>
      </c>
      <c r="N315" s="7">
        <v>1</v>
      </c>
      <c r="O315" s="8">
        <v>45645.713287037041</v>
      </c>
      <c r="P315" s="9">
        <v>45646</v>
      </c>
      <c r="Q315" t="s">
        <v>74</v>
      </c>
      <c r="R315" t="s">
        <v>48</v>
      </c>
      <c r="S315" t="s">
        <v>49</v>
      </c>
      <c r="T315" t="s">
        <v>75</v>
      </c>
      <c r="U315" t="s">
        <v>1088</v>
      </c>
      <c r="V315">
        <v>25200</v>
      </c>
      <c r="W315" t="s">
        <v>48</v>
      </c>
      <c r="X315" t="s">
        <v>77</v>
      </c>
      <c r="Y315" t="s">
        <v>54</v>
      </c>
      <c r="Z315" s="12">
        <f>IF(N315&lt;=1,9,9+0.8*ROUNDUP(N315-1,0))</f>
        <v>9</v>
      </c>
      <c r="AA315" s="11">
        <v>-2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2"/>
        <v>0.42</v>
      </c>
      <c r="AG315" s="11">
        <f t="shared" si="13"/>
        <v>7.42</v>
      </c>
      <c r="AH315" s="11">
        <v>0</v>
      </c>
      <c r="AI315" s="11">
        <f t="shared" si="14"/>
        <v>7.42</v>
      </c>
      <c r="AJ315" t="s">
        <v>62</v>
      </c>
    </row>
    <row r="316" spans="1:36" ht="15" customHeight="1" x14ac:dyDescent="0.35">
      <c r="A316">
        <v>10428918</v>
      </c>
      <c r="B316" t="s">
        <v>36</v>
      </c>
      <c r="C316" t="s">
        <v>37</v>
      </c>
      <c r="D316" s="6" t="s">
        <v>38</v>
      </c>
      <c r="E316" t="s">
        <v>1089</v>
      </c>
      <c r="F316" t="s">
        <v>40</v>
      </c>
      <c r="G316" t="s">
        <v>41</v>
      </c>
      <c r="H316" t="s">
        <v>1090</v>
      </c>
      <c r="I316" t="s">
        <v>43</v>
      </c>
      <c r="J316">
        <v>2</v>
      </c>
      <c r="K316" t="s">
        <v>44</v>
      </c>
      <c r="L316" t="s">
        <v>45</v>
      </c>
      <c r="M316" t="s">
        <v>46</v>
      </c>
      <c r="N316" s="7">
        <v>4</v>
      </c>
      <c r="O316" s="8">
        <v>45644.751585648148</v>
      </c>
      <c r="P316" s="9">
        <v>45646</v>
      </c>
      <c r="Q316" t="s">
        <v>74</v>
      </c>
      <c r="R316" t="s">
        <v>48</v>
      </c>
      <c r="S316" t="s">
        <v>49</v>
      </c>
      <c r="T316" t="s">
        <v>170</v>
      </c>
      <c r="U316" t="s">
        <v>1091</v>
      </c>
      <c r="V316">
        <v>51100</v>
      </c>
      <c r="W316" t="s">
        <v>48</v>
      </c>
      <c r="X316" t="s">
        <v>350</v>
      </c>
      <c r="Y316" t="s">
        <v>54</v>
      </c>
      <c r="Z316" s="12">
        <f>IF(N316&lt;=1,9,9+0.8*ROUNDUP(N316-1,0))</f>
        <v>11.4</v>
      </c>
      <c r="AA316" s="11">
        <v>-2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2"/>
        <v>0.56399999999999995</v>
      </c>
      <c r="AG316" s="11">
        <f t="shared" si="13"/>
        <v>9.9640000000000004</v>
      </c>
      <c r="AH316" s="11">
        <v>0</v>
      </c>
      <c r="AI316" s="11">
        <f t="shared" si="14"/>
        <v>9.9640000000000004</v>
      </c>
      <c r="AJ316" t="s">
        <v>62</v>
      </c>
    </row>
    <row r="317" spans="1:36" ht="15" customHeight="1" x14ac:dyDescent="0.35">
      <c r="A317">
        <v>10428918</v>
      </c>
      <c r="B317" t="s">
        <v>36</v>
      </c>
      <c r="C317" t="s">
        <v>37</v>
      </c>
      <c r="D317" s="6" t="s">
        <v>38</v>
      </c>
      <c r="E317" t="s">
        <v>1092</v>
      </c>
      <c r="F317" t="s">
        <v>40</v>
      </c>
      <c r="G317" t="s">
        <v>41</v>
      </c>
      <c r="H317" t="s">
        <v>1093</v>
      </c>
      <c r="I317" t="s">
        <v>43</v>
      </c>
      <c r="J317">
        <v>2</v>
      </c>
      <c r="K317" t="s">
        <v>44</v>
      </c>
      <c r="L317" t="s">
        <v>45</v>
      </c>
      <c r="M317" t="s">
        <v>46</v>
      </c>
      <c r="N317" s="7">
        <v>1</v>
      </c>
      <c r="O317" s="8">
        <v>45645.592002314814</v>
      </c>
      <c r="P317" s="9">
        <v>45646</v>
      </c>
      <c r="Q317" t="s">
        <v>74</v>
      </c>
      <c r="R317" t="s">
        <v>48</v>
      </c>
      <c r="S317" t="s">
        <v>49</v>
      </c>
      <c r="T317" t="s">
        <v>75</v>
      </c>
      <c r="U317" t="s">
        <v>1094</v>
      </c>
      <c r="V317">
        <v>26600</v>
      </c>
      <c r="W317" t="s">
        <v>48</v>
      </c>
      <c r="X317" t="s">
        <v>77</v>
      </c>
      <c r="Y317" t="s">
        <v>54</v>
      </c>
      <c r="Z317" s="12">
        <f>IF(N317&lt;=1,9,9+0.8*ROUNDUP(N317-1,0))</f>
        <v>9</v>
      </c>
      <c r="AA317" s="11">
        <v>-2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2"/>
        <v>0.42</v>
      </c>
      <c r="AG317" s="11">
        <f t="shared" si="13"/>
        <v>7.42</v>
      </c>
      <c r="AH317" s="11">
        <v>0</v>
      </c>
      <c r="AI317" s="11">
        <f t="shared" si="14"/>
        <v>7.42</v>
      </c>
      <c r="AJ317" t="s">
        <v>62</v>
      </c>
    </row>
    <row r="318" spans="1:36" ht="15" customHeight="1" x14ac:dyDescent="0.35">
      <c r="A318">
        <v>10428918</v>
      </c>
      <c r="B318" t="s">
        <v>36</v>
      </c>
      <c r="C318" t="s">
        <v>37</v>
      </c>
      <c r="D318" s="6" t="s">
        <v>38</v>
      </c>
      <c r="E318" t="s">
        <v>1095</v>
      </c>
      <c r="F318" t="s">
        <v>40</v>
      </c>
      <c r="G318" t="s">
        <v>41</v>
      </c>
      <c r="H318" t="s">
        <v>593</v>
      </c>
      <c r="I318" t="s">
        <v>43</v>
      </c>
      <c r="J318">
        <v>2</v>
      </c>
      <c r="K318" t="s">
        <v>44</v>
      </c>
      <c r="L318" t="s">
        <v>45</v>
      </c>
      <c r="M318" t="s">
        <v>46</v>
      </c>
      <c r="N318" s="7">
        <v>1</v>
      </c>
      <c r="O318" s="8">
        <v>45644.806967592594</v>
      </c>
      <c r="P318" s="9">
        <v>45646</v>
      </c>
      <c r="Q318" t="s">
        <v>74</v>
      </c>
      <c r="R318" t="s">
        <v>48</v>
      </c>
      <c r="S318" t="s">
        <v>49</v>
      </c>
      <c r="T318" t="s">
        <v>75</v>
      </c>
      <c r="U318" t="s">
        <v>594</v>
      </c>
      <c r="V318">
        <v>27000</v>
      </c>
      <c r="W318" t="s">
        <v>48</v>
      </c>
      <c r="X318" t="s">
        <v>77</v>
      </c>
      <c r="Y318" t="s">
        <v>54</v>
      </c>
      <c r="Z318" s="12">
        <f>IF(N318&lt;=1,9,9+0.8*ROUNDUP(N318-1,0))</f>
        <v>9</v>
      </c>
      <c r="AA318" s="11">
        <v>-2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2"/>
        <v>0.42</v>
      </c>
      <c r="AG318" s="11">
        <f t="shared" si="13"/>
        <v>7.42</v>
      </c>
      <c r="AH318" s="11">
        <v>0</v>
      </c>
      <c r="AI318" s="11">
        <f t="shared" si="14"/>
        <v>7.42</v>
      </c>
      <c r="AJ318" t="s">
        <v>62</v>
      </c>
    </row>
    <row r="319" spans="1:36" ht="15" customHeight="1" x14ac:dyDescent="0.35">
      <c r="A319">
        <v>10428918</v>
      </c>
      <c r="B319" t="s">
        <v>36</v>
      </c>
      <c r="C319" t="s">
        <v>37</v>
      </c>
      <c r="D319" s="6" t="s">
        <v>38</v>
      </c>
      <c r="E319" t="s">
        <v>1096</v>
      </c>
      <c r="F319" t="s">
        <v>40</v>
      </c>
      <c r="G319" t="s">
        <v>41</v>
      </c>
      <c r="H319" t="s">
        <v>1097</v>
      </c>
      <c r="I319" t="s">
        <v>43</v>
      </c>
      <c r="J319">
        <v>2</v>
      </c>
      <c r="K319" t="s">
        <v>44</v>
      </c>
      <c r="L319" t="s">
        <v>45</v>
      </c>
      <c r="M319" t="s">
        <v>46</v>
      </c>
      <c r="N319" s="7">
        <v>2</v>
      </c>
      <c r="O319" s="8">
        <v>45644.521805555552</v>
      </c>
      <c r="P319" s="9">
        <v>45646</v>
      </c>
      <c r="Q319" t="s">
        <v>74</v>
      </c>
      <c r="R319" t="s">
        <v>48</v>
      </c>
      <c r="S319" t="s">
        <v>49</v>
      </c>
      <c r="T319" t="s">
        <v>69</v>
      </c>
      <c r="U319" t="s">
        <v>1098</v>
      </c>
      <c r="V319">
        <v>81000</v>
      </c>
      <c r="W319" t="s">
        <v>48</v>
      </c>
      <c r="X319" t="s">
        <v>1040</v>
      </c>
      <c r="Y319" t="s">
        <v>54</v>
      </c>
      <c r="Z319" s="12">
        <f>IF(N319&lt;=1,9,9+0.8*ROUNDUP(N319-1,0))</f>
        <v>9.8000000000000007</v>
      </c>
      <c r="AA319" s="11">
        <v>-2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2"/>
        <v>0.46800000000000003</v>
      </c>
      <c r="AG319" s="11">
        <f t="shared" si="13"/>
        <v>8.2680000000000007</v>
      </c>
      <c r="AH319" s="11">
        <v>0</v>
      </c>
      <c r="AI319" s="11">
        <f t="shared" si="14"/>
        <v>8.2680000000000007</v>
      </c>
      <c r="AJ319" t="s">
        <v>62</v>
      </c>
    </row>
    <row r="320" spans="1:36" ht="15" customHeight="1" x14ac:dyDescent="0.35">
      <c r="A320">
        <v>10428918</v>
      </c>
      <c r="B320" t="s">
        <v>36</v>
      </c>
      <c r="C320" t="s">
        <v>37</v>
      </c>
      <c r="D320" s="6" t="s">
        <v>38</v>
      </c>
      <c r="E320" t="s">
        <v>1099</v>
      </c>
      <c r="F320" t="s">
        <v>40</v>
      </c>
      <c r="G320" t="s">
        <v>41</v>
      </c>
      <c r="H320" t="s">
        <v>1100</v>
      </c>
      <c r="I320" t="s">
        <v>43</v>
      </c>
      <c r="J320">
        <v>2</v>
      </c>
      <c r="K320" t="s">
        <v>44</v>
      </c>
      <c r="L320" t="s">
        <v>45</v>
      </c>
      <c r="M320" t="s">
        <v>46</v>
      </c>
      <c r="N320" s="7">
        <v>1</v>
      </c>
      <c r="O320" s="8">
        <v>45644.815775462965</v>
      </c>
      <c r="P320" s="9">
        <v>45646</v>
      </c>
      <c r="Q320" t="s">
        <v>74</v>
      </c>
      <c r="R320" t="s">
        <v>48</v>
      </c>
      <c r="S320" t="s">
        <v>49</v>
      </c>
      <c r="T320" t="s">
        <v>75</v>
      </c>
      <c r="U320" t="s">
        <v>1101</v>
      </c>
      <c r="V320">
        <v>28300</v>
      </c>
      <c r="W320" t="s">
        <v>48</v>
      </c>
      <c r="X320" t="s">
        <v>77</v>
      </c>
      <c r="Y320" t="s">
        <v>54</v>
      </c>
      <c r="Z320" s="12">
        <f>IF(N320&lt;=1,9,9+0.8*ROUNDUP(N320-1,0))</f>
        <v>9</v>
      </c>
      <c r="AA320" s="11">
        <v>-2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2"/>
        <v>0.42</v>
      </c>
      <c r="AG320" s="11">
        <f t="shared" si="13"/>
        <v>7.42</v>
      </c>
      <c r="AH320" s="11">
        <v>0</v>
      </c>
      <c r="AI320" s="11">
        <f t="shared" si="14"/>
        <v>7.42</v>
      </c>
      <c r="AJ320" t="s">
        <v>62</v>
      </c>
    </row>
    <row r="321" spans="1:36" ht="15" customHeight="1" x14ac:dyDescent="0.35">
      <c r="A321">
        <v>10428918</v>
      </c>
      <c r="B321" t="s">
        <v>36</v>
      </c>
      <c r="C321" t="s">
        <v>37</v>
      </c>
      <c r="D321" s="6" t="s">
        <v>38</v>
      </c>
      <c r="E321" t="s">
        <v>1102</v>
      </c>
      <c r="F321" t="s">
        <v>40</v>
      </c>
      <c r="G321" t="s">
        <v>41</v>
      </c>
      <c r="H321" t="s">
        <v>1103</v>
      </c>
      <c r="I321" t="s">
        <v>43</v>
      </c>
      <c r="J321">
        <v>2</v>
      </c>
      <c r="K321" t="s">
        <v>44</v>
      </c>
      <c r="L321" t="s">
        <v>45</v>
      </c>
      <c r="M321" t="s">
        <v>46</v>
      </c>
      <c r="N321" s="7">
        <v>1</v>
      </c>
      <c r="O321" s="8">
        <v>45642.661643518521</v>
      </c>
      <c r="P321" s="9">
        <v>45646</v>
      </c>
      <c r="Q321" t="s">
        <v>74</v>
      </c>
      <c r="R321" t="s">
        <v>48</v>
      </c>
      <c r="S321" t="s">
        <v>49</v>
      </c>
      <c r="T321" t="s">
        <v>80</v>
      </c>
      <c r="U321" t="s">
        <v>1104</v>
      </c>
      <c r="V321">
        <v>8000</v>
      </c>
      <c r="W321" t="s">
        <v>48</v>
      </c>
      <c r="X321" t="s">
        <v>145</v>
      </c>
      <c r="Y321" t="s">
        <v>54</v>
      </c>
      <c r="Z321" s="12">
        <f>IF(N321&lt;=1,9,9+0.8*ROUNDUP(N321-1,0))</f>
        <v>9</v>
      </c>
      <c r="AA321" s="11">
        <v>-2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2"/>
        <v>0.42</v>
      </c>
      <c r="AG321" s="11">
        <f t="shared" si="13"/>
        <v>7.42</v>
      </c>
      <c r="AH321" s="11">
        <v>0</v>
      </c>
      <c r="AI321" s="11">
        <f t="shared" si="14"/>
        <v>7.42</v>
      </c>
      <c r="AJ321" t="s">
        <v>62</v>
      </c>
    </row>
    <row r="322" spans="1:36" ht="15" customHeight="1" x14ac:dyDescent="0.35">
      <c r="A322">
        <v>10428918</v>
      </c>
      <c r="B322" t="s">
        <v>36</v>
      </c>
      <c r="C322" t="s">
        <v>37</v>
      </c>
      <c r="D322" s="6" t="s">
        <v>38</v>
      </c>
      <c r="E322" t="s">
        <v>1105</v>
      </c>
      <c r="F322" t="s">
        <v>40</v>
      </c>
      <c r="G322" t="s">
        <v>41</v>
      </c>
      <c r="H322" t="s">
        <v>1106</v>
      </c>
      <c r="I322" t="s">
        <v>43</v>
      </c>
      <c r="J322">
        <v>2</v>
      </c>
      <c r="K322" t="s">
        <v>44</v>
      </c>
      <c r="L322" t="s">
        <v>45</v>
      </c>
      <c r="M322" t="s">
        <v>46</v>
      </c>
      <c r="N322" s="7">
        <v>1</v>
      </c>
      <c r="O322" s="8">
        <v>45644.423993055556</v>
      </c>
      <c r="P322" s="9">
        <v>45646</v>
      </c>
      <c r="Q322" t="s">
        <v>74</v>
      </c>
      <c r="R322" t="s">
        <v>48</v>
      </c>
      <c r="S322" t="s">
        <v>49</v>
      </c>
      <c r="T322" t="s">
        <v>69</v>
      </c>
      <c r="U322" t="s">
        <v>1107</v>
      </c>
      <c r="V322">
        <v>81300</v>
      </c>
      <c r="W322" t="s">
        <v>48</v>
      </c>
      <c r="X322" t="s">
        <v>771</v>
      </c>
      <c r="Y322" t="s">
        <v>54</v>
      </c>
      <c r="Z322" s="12">
        <f>IF(N322&lt;=1,9,9+0.8*ROUNDUP(N322-1,0))</f>
        <v>9</v>
      </c>
      <c r="AA322" s="11">
        <v>-2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5">(Z322+AA322+AC322+AE322)*6%</f>
        <v>0.42</v>
      </c>
      <c r="AG322" s="11">
        <f t="shared" ref="AG322:AG385" si="16">Z322+AA322+AC322+AE322+AF322</f>
        <v>7.42</v>
      </c>
      <c r="AH322" s="11">
        <v>0</v>
      </c>
      <c r="AI322" s="11">
        <f t="shared" ref="AI322:AI385" si="17">AG322+AH322</f>
        <v>7.42</v>
      </c>
      <c r="AJ322" t="s">
        <v>62</v>
      </c>
    </row>
    <row r="323" spans="1:36" ht="15" customHeight="1" x14ac:dyDescent="0.35">
      <c r="A323">
        <v>10428918</v>
      </c>
      <c r="B323" t="s">
        <v>36</v>
      </c>
      <c r="C323" t="s">
        <v>37</v>
      </c>
      <c r="D323" s="6" t="s">
        <v>38</v>
      </c>
      <c r="E323" t="s">
        <v>1108</v>
      </c>
      <c r="F323" t="s">
        <v>40</v>
      </c>
      <c r="G323" t="s">
        <v>41</v>
      </c>
      <c r="H323" t="s">
        <v>1109</v>
      </c>
      <c r="I323" t="s">
        <v>43</v>
      </c>
      <c r="J323">
        <v>2</v>
      </c>
      <c r="K323" t="s">
        <v>44</v>
      </c>
      <c r="L323" t="s">
        <v>45</v>
      </c>
      <c r="M323" t="s">
        <v>46</v>
      </c>
      <c r="N323" s="7">
        <v>1</v>
      </c>
      <c r="O323" s="8">
        <v>45643.637118055558</v>
      </c>
      <c r="P323" s="9">
        <v>45646</v>
      </c>
      <c r="Q323" t="s">
        <v>74</v>
      </c>
      <c r="R323" t="s">
        <v>48</v>
      </c>
      <c r="S323" t="s">
        <v>49</v>
      </c>
      <c r="T323" t="s">
        <v>117</v>
      </c>
      <c r="U323" t="s">
        <v>1110</v>
      </c>
      <c r="V323">
        <v>43000</v>
      </c>
      <c r="W323" t="s">
        <v>48</v>
      </c>
      <c r="X323" t="s">
        <v>53</v>
      </c>
      <c r="Y323" t="s">
        <v>54</v>
      </c>
      <c r="Z323" s="12">
        <f>IF(N323&lt;=1,9,9+0.8*ROUNDUP(N323-1,0))</f>
        <v>9</v>
      </c>
      <c r="AA323" s="11">
        <v>-2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5"/>
        <v>0.42</v>
      </c>
      <c r="AG323" s="11">
        <f t="shared" si="16"/>
        <v>7.42</v>
      </c>
      <c r="AH323" s="11">
        <v>0</v>
      </c>
      <c r="AI323" s="11">
        <f t="shared" si="17"/>
        <v>7.42</v>
      </c>
      <c r="AJ323" t="s">
        <v>62</v>
      </c>
    </row>
    <row r="324" spans="1:36" ht="15" customHeight="1" x14ac:dyDescent="0.35">
      <c r="A324">
        <v>10428918</v>
      </c>
      <c r="B324" t="s">
        <v>36</v>
      </c>
      <c r="C324" t="s">
        <v>37</v>
      </c>
      <c r="D324" s="6" t="s">
        <v>38</v>
      </c>
      <c r="E324" t="s">
        <v>1111</v>
      </c>
      <c r="F324" t="s">
        <v>40</v>
      </c>
      <c r="G324" t="s">
        <v>41</v>
      </c>
      <c r="H324" t="s">
        <v>1112</v>
      </c>
      <c r="I324" t="s">
        <v>43</v>
      </c>
      <c r="J324">
        <v>2</v>
      </c>
      <c r="K324" t="s">
        <v>44</v>
      </c>
      <c r="L324" t="s">
        <v>45</v>
      </c>
      <c r="M324" t="s">
        <v>46</v>
      </c>
      <c r="N324" s="7">
        <v>1</v>
      </c>
      <c r="O324" s="8">
        <v>45644.530416666668</v>
      </c>
      <c r="P324" s="9">
        <v>45646</v>
      </c>
      <c r="Q324" t="s">
        <v>74</v>
      </c>
      <c r="R324" t="s">
        <v>48</v>
      </c>
      <c r="S324" t="s">
        <v>49</v>
      </c>
      <c r="T324" t="s">
        <v>65</v>
      </c>
      <c r="U324" t="s">
        <v>1113</v>
      </c>
      <c r="V324">
        <v>78300</v>
      </c>
      <c r="W324" t="s">
        <v>48</v>
      </c>
      <c r="X324" t="s">
        <v>406</v>
      </c>
      <c r="Y324" t="s">
        <v>54</v>
      </c>
      <c r="Z324" s="12">
        <f>IF(N324&lt;=1,9,9+0.8*ROUNDUP(N324-1,0))</f>
        <v>9</v>
      </c>
      <c r="AA324" s="11">
        <v>-2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5"/>
        <v>0.42</v>
      </c>
      <c r="AG324" s="11">
        <f t="shared" si="16"/>
        <v>7.42</v>
      </c>
      <c r="AH324" s="11">
        <v>0</v>
      </c>
      <c r="AI324" s="11">
        <f t="shared" si="17"/>
        <v>7.42</v>
      </c>
      <c r="AJ324" t="s">
        <v>62</v>
      </c>
    </row>
    <row r="325" spans="1:36" ht="15" customHeight="1" x14ac:dyDescent="0.35">
      <c r="A325">
        <v>10428918</v>
      </c>
      <c r="B325" t="s">
        <v>36</v>
      </c>
      <c r="C325" t="s">
        <v>37</v>
      </c>
      <c r="D325" s="6" t="s">
        <v>38</v>
      </c>
      <c r="E325" t="s">
        <v>1114</v>
      </c>
      <c r="F325" t="s">
        <v>40</v>
      </c>
      <c r="G325" t="s">
        <v>41</v>
      </c>
      <c r="H325" t="s">
        <v>1115</v>
      </c>
      <c r="I325" t="s">
        <v>43</v>
      </c>
      <c r="J325">
        <v>2</v>
      </c>
      <c r="K325" t="s">
        <v>44</v>
      </c>
      <c r="L325" t="s">
        <v>45</v>
      </c>
      <c r="M325" t="s">
        <v>46</v>
      </c>
      <c r="N325" s="7">
        <v>1</v>
      </c>
      <c r="O325" s="8">
        <v>45643.438483796293</v>
      </c>
      <c r="P325" s="9">
        <v>45646</v>
      </c>
      <c r="Q325" t="s">
        <v>74</v>
      </c>
      <c r="R325" t="s">
        <v>48</v>
      </c>
      <c r="S325" t="s">
        <v>49</v>
      </c>
      <c r="T325" t="s">
        <v>117</v>
      </c>
      <c r="U325" t="s">
        <v>1116</v>
      </c>
      <c r="V325">
        <v>41150</v>
      </c>
      <c r="W325" t="s">
        <v>48</v>
      </c>
      <c r="X325" t="s">
        <v>662</v>
      </c>
      <c r="Y325" t="s">
        <v>54</v>
      </c>
      <c r="Z325" s="12">
        <f>IF(N325&lt;=1,9,9+0.8*ROUNDUP(N325-1,0))</f>
        <v>9</v>
      </c>
      <c r="AA325" s="11">
        <v>-2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5"/>
        <v>0.42</v>
      </c>
      <c r="AG325" s="11">
        <f t="shared" si="16"/>
        <v>7.42</v>
      </c>
      <c r="AH325" s="11">
        <v>0</v>
      </c>
      <c r="AI325" s="11">
        <f t="shared" si="17"/>
        <v>7.42</v>
      </c>
      <c r="AJ325" t="s">
        <v>62</v>
      </c>
    </row>
    <row r="326" spans="1:36" ht="15" customHeight="1" x14ac:dyDescent="0.35">
      <c r="A326">
        <v>10428918</v>
      </c>
      <c r="B326" t="s">
        <v>36</v>
      </c>
      <c r="C326" t="s">
        <v>37</v>
      </c>
      <c r="D326" s="6" t="s">
        <v>38</v>
      </c>
      <c r="E326" t="s">
        <v>1117</v>
      </c>
      <c r="F326" t="s">
        <v>40</v>
      </c>
      <c r="G326" t="s">
        <v>41</v>
      </c>
      <c r="H326" t="s">
        <v>1118</v>
      </c>
      <c r="I326" t="s">
        <v>43</v>
      </c>
      <c r="J326">
        <v>2</v>
      </c>
      <c r="K326" t="s">
        <v>44</v>
      </c>
      <c r="L326" t="s">
        <v>45</v>
      </c>
      <c r="M326" t="s">
        <v>46</v>
      </c>
      <c r="N326" s="7">
        <v>1</v>
      </c>
      <c r="O326" s="8">
        <v>45644.521805555552</v>
      </c>
      <c r="P326" s="9">
        <v>45646</v>
      </c>
      <c r="Q326" t="s">
        <v>74</v>
      </c>
      <c r="R326" t="s">
        <v>48</v>
      </c>
      <c r="S326" t="s">
        <v>49</v>
      </c>
      <c r="T326" t="s">
        <v>101</v>
      </c>
      <c r="U326" t="s">
        <v>1119</v>
      </c>
      <c r="V326">
        <v>32040</v>
      </c>
      <c r="W326" t="s">
        <v>48</v>
      </c>
      <c r="X326" t="s">
        <v>1120</v>
      </c>
      <c r="Y326" t="s">
        <v>54</v>
      </c>
      <c r="Z326" s="12">
        <f>IF(N326&lt;=1,9,9+0.8*ROUNDUP(N326-1,0))</f>
        <v>9</v>
      </c>
      <c r="AA326" s="11">
        <v>-2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5"/>
        <v>0.42</v>
      </c>
      <c r="AG326" s="11">
        <f t="shared" si="16"/>
        <v>7.42</v>
      </c>
      <c r="AH326" s="11">
        <v>0</v>
      </c>
      <c r="AI326" s="11">
        <f t="shared" si="17"/>
        <v>7.42</v>
      </c>
      <c r="AJ326" t="s">
        <v>62</v>
      </c>
    </row>
    <row r="327" spans="1:36" ht="15" customHeight="1" x14ac:dyDescent="0.35">
      <c r="A327">
        <v>10428918</v>
      </c>
      <c r="B327" t="s">
        <v>36</v>
      </c>
      <c r="C327" t="s">
        <v>37</v>
      </c>
      <c r="D327" s="6" t="s">
        <v>38</v>
      </c>
      <c r="E327" t="s">
        <v>1121</v>
      </c>
      <c r="F327" t="s">
        <v>40</v>
      </c>
      <c r="G327" t="s">
        <v>41</v>
      </c>
      <c r="H327" t="s">
        <v>1122</v>
      </c>
      <c r="I327" t="s">
        <v>43</v>
      </c>
      <c r="J327">
        <v>2</v>
      </c>
      <c r="K327" t="s">
        <v>44</v>
      </c>
      <c r="L327" t="s">
        <v>45</v>
      </c>
      <c r="M327" t="s">
        <v>46</v>
      </c>
      <c r="N327" s="7">
        <v>2</v>
      </c>
      <c r="O327" s="8">
        <v>45644.812442129631</v>
      </c>
      <c r="P327" s="9">
        <v>45646</v>
      </c>
      <c r="Q327" t="s">
        <v>74</v>
      </c>
      <c r="R327" t="s">
        <v>48</v>
      </c>
      <c r="S327" t="s">
        <v>49</v>
      </c>
      <c r="T327" t="s">
        <v>90</v>
      </c>
      <c r="U327" t="s">
        <v>1123</v>
      </c>
      <c r="V327">
        <v>21400</v>
      </c>
      <c r="W327" t="s">
        <v>48</v>
      </c>
      <c r="X327" t="s">
        <v>92</v>
      </c>
      <c r="Y327" t="s">
        <v>54</v>
      </c>
      <c r="Z327" s="12">
        <f>IF(N327&lt;=1,9,9+0.8*ROUNDUP(N327-1,0))</f>
        <v>9.8000000000000007</v>
      </c>
      <c r="AA327" s="11">
        <v>-2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5"/>
        <v>0.46800000000000003</v>
      </c>
      <c r="AG327" s="11">
        <f t="shared" si="16"/>
        <v>8.2680000000000007</v>
      </c>
      <c r="AH327" s="11">
        <v>0</v>
      </c>
      <c r="AI327" s="11">
        <f t="shared" si="17"/>
        <v>8.2680000000000007</v>
      </c>
      <c r="AJ327" t="s">
        <v>62</v>
      </c>
    </row>
    <row r="328" spans="1:36" ht="15" customHeight="1" x14ac:dyDescent="0.35">
      <c r="A328">
        <v>10428918</v>
      </c>
      <c r="B328" t="s">
        <v>36</v>
      </c>
      <c r="C328" t="s">
        <v>37</v>
      </c>
      <c r="D328" s="6" t="s">
        <v>38</v>
      </c>
      <c r="E328" t="s">
        <v>1124</v>
      </c>
      <c r="F328" t="s">
        <v>40</v>
      </c>
      <c r="G328" t="s">
        <v>41</v>
      </c>
      <c r="H328" t="s">
        <v>1125</v>
      </c>
      <c r="I328" t="s">
        <v>43</v>
      </c>
      <c r="J328">
        <v>2</v>
      </c>
      <c r="K328" t="s">
        <v>44</v>
      </c>
      <c r="L328" t="s">
        <v>45</v>
      </c>
      <c r="M328" t="s">
        <v>46</v>
      </c>
      <c r="N328" s="7">
        <v>1</v>
      </c>
      <c r="O328" s="8">
        <v>45645.596724537034</v>
      </c>
      <c r="P328" s="9">
        <v>45646</v>
      </c>
      <c r="Q328" t="s">
        <v>74</v>
      </c>
      <c r="R328" t="s">
        <v>48</v>
      </c>
      <c r="S328" t="s">
        <v>49</v>
      </c>
      <c r="T328" t="s">
        <v>117</v>
      </c>
      <c r="U328" t="s">
        <v>1126</v>
      </c>
      <c r="V328">
        <v>47100</v>
      </c>
      <c r="W328" t="s">
        <v>48</v>
      </c>
      <c r="X328" t="s">
        <v>1127</v>
      </c>
      <c r="Y328" t="s">
        <v>54</v>
      </c>
      <c r="Z328" s="12">
        <f>IF(N328&lt;=1,9,9+0.8*ROUNDUP(N328-1,0))</f>
        <v>9</v>
      </c>
      <c r="AA328" s="11">
        <v>-2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5"/>
        <v>0.42</v>
      </c>
      <c r="AG328" s="11">
        <f t="shared" si="16"/>
        <v>7.42</v>
      </c>
      <c r="AH328" s="11">
        <v>0</v>
      </c>
      <c r="AI328" s="11">
        <f t="shared" si="17"/>
        <v>7.42</v>
      </c>
      <c r="AJ328" t="s">
        <v>62</v>
      </c>
    </row>
    <row r="329" spans="1:36" ht="15" customHeight="1" x14ac:dyDescent="0.35">
      <c r="A329">
        <v>10428918</v>
      </c>
      <c r="B329" t="s">
        <v>36</v>
      </c>
      <c r="C329" t="s">
        <v>37</v>
      </c>
      <c r="D329" s="6" t="s">
        <v>38</v>
      </c>
      <c r="E329" t="s">
        <v>1128</v>
      </c>
      <c r="F329" t="s">
        <v>40</v>
      </c>
      <c r="G329" t="s">
        <v>41</v>
      </c>
      <c r="H329" t="s">
        <v>1129</v>
      </c>
      <c r="I329" t="s">
        <v>43</v>
      </c>
      <c r="J329">
        <v>2</v>
      </c>
      <c r="K329" t="s">
        <v>44</v>
      </c>
      <c r="L329" t="s">
        <v>45</v>
      </c>
      <c r="M329" t="s">
        <v>46</v>
      </c>
      <c r="N329" s="7">
        <v>2</v>
      </c>
      <c r="O329" s="8">
        <v>45644.667870370373</v>
      </c>
      <c r="P329" s="9">
        <v>45646</v>
      </c>
      <c r="Q329" t="s">
        <v>74</v>
      </c>
      <c r="R329" t="s">
        <v>48</v>
      </c>
      <c r="S329" t="s">
        <v>49</v>
      </c>
      <c r="T329" t="s">
        <v>117</v>
      </c>
      <c r="U329" t="s">
        <v>1130</v>
      </c>
      <c r="V329">
        <v>43650</v>
      </c>
      <c r="W329" t="s">
        <v>48</v>
      </c>
      <c r="X329" t="s">
        <v>191</v>
      </c>
      <c r="Y329" t="s">
        <v>54</v>
      </c>
      <c r="Z329" s="12">
        <f>IF(N329&lt;=1,9,9+0.8*ROUNDUP(N329-1,0))</f>
        <v>9.8000000000000007</v>
      </c>
      <c r="AA329" s="11">
        <v>-2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5"/>
        <v>0.46800000000000003</v>
      </c>
      <c r="AG329" s="11">
        <f t="shared" si="16"/>
        <v>8.2680000000000007</v>
      </c>
      <c r="AH329" s="11">
        <v>0</v>
      </c>
      <c r="AI329" s="11">
        <f t="shared" si="17"/>
        <v>8.2680000000000007</v>
      </c>
      <c r="AJ329" t="s">
        <v>62</v>
      </c>
    </row>
    <row r="330" spans="1:36" ht="15" customHeight="1" x14ac:dyDescent="0.35">
      <c r="A330">
        <v>10428918</v>
      </c>
      <c r="B330" t="s">
        <v>36</v>
      </c>
      <c r="C330" t="s">
        <v>37</v>
      </c>
      <c r="D330" s="6" t="s">
        <v>38</v>
      </c>
      <c r="E330" t="s">
        <v>1131</v>
      </c>
      <c r="F330" t="s">
        <v>40</v>
      </c>
      <c r="G330" t="s">
        <v>41</v>
      </c>
      <c r="H330" t="s">
        <v>1132</v>
      </c>
      <c r="I330" t="s">
        <v>43</v>
      </c>
      <c r="J330">
        <v>2</v>
      </c>
      <c r="K330" t="s">
        <v>44</v>
      </c>
      <c r="L330" t="s">
        <v>45</v>
      </c>
      <c r="M330" t="s">
        <v>46</v>
      </c>
      <c r="N330" s="7">
        <v>1</v>
      </c>
      <c r="O330" s="8">
        <v>45645.497233796297</v>
      </c>
      <c r="P330" s="9">
        <v>45646</v>
      </c>
      <c r="Q330" t="s">
        <v>74</v>
      </c>
      <c r="R330" t="s">
        <v>48</v>
      </c>
      <c r="S330" t="s">
        <v>49</v>
      </c>
      <c r="T330" t="s">
        <v>170</v>
      </c>
      <c r="U330" t="s">
        <v>1133</v>
      </c>
      <c r="V330">
        <v>50050</v>
      </c>
      <c r="W330" t="s">
        <v>48</v>
      </c>
      <c r="X330" t="s">
        <v>53</v>
      </c>
      <c r="Y330" t="s">
        <v>54</v>
      </c>
      <c r="Z330" s="12">
        <f>IF(N330&lt;=1,9,9+0.8*ROUNDUP(N330-1,0))</f>
        <v>9</v>
      </c>
      <c r="AA330" s="11">
        <v>-2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5"/>
        <v>0.42</v>
      </c>
      <c r="AG330" s="11">
        <f t="shared" si="16"/>
        <v>7.42</v>
      </c>
      <c r="AH330" s="11">
        <v>0</v>
      </c>
      <c r="AI330" s="11">
        <f t="shared" si="17"/>
        <v>7.42</v>
      </c>
      <c r="AJ330" t="s">
        <v>62</v>
      </c>
    </row>
    <row r="331" spans="1:36" ht="15" customHeight="1" x14ac:dyDescent="0.35">
      <c r="A331">
        <v>10428918</v>
      </c>
      <c r="B331" t="s">
        <v>36</v>
      </c>
      <c r="C331" t="s">
        <v>37</v>
      </c>
      <c r="D331" s="6" t="s">
        <v>38</v>
      </c>
      <c r="E331" t="s">
        <v>1134</v>
      </c>
      <c r="F331" t="s">
        <v>40</v>
      </c>
      <c r="G331" t="s">
        <v>41</v>
      </c>
      <c r="H331" t="s">
        <v>1135</v>
      </c>
      <c r="I331" t="s">
        <v>43</v>
      </c>
      <c r="J331">
        <v>2</v>
      </c>
      <c r="K331" t="s">
        <v>44</v>
      </c>
      <c r="L331" t="s">
        <v>45</v>
      </c>
      <c r="M331" t="s">
        <v>46</v>
      </c>
      <c r="N331" s="7">
        <v>2</v>
      </c>
      <c r="O331" s="8">
        <v>45644.812442129631</v>
      </c>
      <c r="P331" s="9">
        <v>45646</v>
      </c>
      <c r="Q331" t="s">
        <v>74</v>
      </c>
      <c r="R331" t="s">
        <v>48</v>
      </c>
      <c r="S331" t="s">
        <v>49</v>
      </c>
      <c r="T331" t="s">
        <v>75</v>
      </c>
      <c r="U331" t="s">
        <v>1136</v>
      </c>
      <c r="V331">
        <v>27060</v>
      </c>
      <c r="W331" t="s">
        <v>48</v>
      </c>
      <c r="X331" t="s">
        <v>77</v>
      </c>
      <c r="Y331" t="s">
        <v>54</v>
      </c>
      <c r="Z331" s="12">
        <f>IF(N331&lt;=1,9,9+0.8*ROUNDUP(N331-1,0))</f>
        <v>9.8000000000000007</v>
      </c>
      <c r="AA331" s="11">
        <v>-2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5"/>
        <v>0.46800000000000003</v>
      </c>
      <c r="AG331" s="11">
        <f t="shared" si="16"/>
        <v>8.2680000000000007</v>
      </c>
      <c r="AH331" s="11">
        <v>0</v>
      </c>
      <c r="AI331" s="11">
        <f t="shared" si="17"/>
        <v>8.2680000000000007</v>
      </c>
      <c r="AJ331" t="s">
        <v>62</v>
      </c>
    </row>
    <row r="332" spans="1:36" ht="15" customHeight="1" x14ac:dyDescent="0.35">
      <c r="A332">
        <v>10428918</v>
      </c>
      <c r="B332" t="s">
        <v>36</v>
      </c>
      <c r="C332" t="s">
        <v>37</v>
      </c>
      <c r="D332" s="6" t="s">
        <v>38</v>
      </c>
      <c r="E332" t="s">
        <v>1137</v>
      </c>
      <c r="F332" t="s">
        <v>40</v>
      </c>
      <c r="G332" t="s">
        <v>41</v>
      </c>
      <c r="H332" t="s">
        <v>1138</v>
      </c>
      <c r="I332" t="s">
        <v>43</v>
      </c>
      <c r="J332">
        <v>2</v>
      </c>
      <c r="K332" t="s">
        <v>44</v>
      </c>
      <c r="L332" t="s">
        <v>45</v>
      </c>
      <c r="M332" t="s">
        <v>46</v>
      </c>
      <c r="N332" s="7">
        <v>1</v>
      </c>
      <c r="O332" s="8">
        <v>45644.521793981483</v>
      </c>
      <c r="P332" s="9">
        <v>45646</v>
      </c>
      <c r="Q332" t="s">
        <v>74</v>
      </c>
      <c r="R332" t="s">
        <v>48</v>
      </c>
      <c r="S332" t="s">
        <v>49</v>
      </c>
      <c r="T332" t="s">
        <v>117</v>
      </c>
      <c r="U332" t="s">
        <v>1139</v>
      </c>
      <c r="V332">
        <v>56100</v>
      </c>
      <c r="W332" t="s">
        <v>48</v>
      </c>
      <c r="X332" t="s">
        <v>53</v>
      </c>
      <c r="Y332" t="s">
        <v>54</v>
      </c>
      <c r="Z332" s="12">
        <f>IF(N332&lt;=1,9,9+0.8*ROUNDUP(N332-1,0))</f>
        <v>9</v>
      </c>
      <c r="AA332" s="11">
        <v>-2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5"/>
        <v>0.42</v>
      </c>
      <c r="AG332" s="11">
        <f t="shared" si="16"/>
        <v>7.42</v>
      </c>
      <c r="AH332" s="11">
        <v>0</v>
      </c>
      <c r="AI332" s="11">
        <f t="shared" si="17"/>
        <v>7.42</v>
      </c>
      <c r="AJ332" t="s">
        <v>62</v>
      </c>
    </row>
    <row r="333" spans="1:36" ht="15" customHeight="1" x14ac:dyDescent="0.35">
      <c r="A333">
        <v>10428918</v>
      </c>
      <c r="B333" t="s">
        <v>36</v>
      </c>
      <c r="C333" t="s">
        <v>37</v>
      </c>
      <c r="D333" s="6" t="s">
        <v>38</v>
      </c>
      <c r="E333" t="s">
        <v>1140</v>
      </c>
      <c r="F333" t="s">
        <v>40</v>
      </c>
      <c r="G333" t="s">
        <v>41</v>
      </c>
      <c r="H333" t="s">
        <v>1141</v>
      </c>
      <c r="I333" t="s">
        <v>43</v>
      </c>
      <c r="J333">
        <v>2</v>
      </c>
      <c r="K333" t="s">
        <v>44</v>
      </c>
      <c r="L333" t="s">
        <v>45</v>
      </c>
      <c r="M333" t="s">
        <v>46</v>
      </c>
      <c r="N333" s="7">
        <v>1</v>
      </c>
      <c r="O333" s="8">
        <v>45642.832812499997</v>
      </c>
      <c r="P333" s="9">
        <v>45646</v>
      </c>
      <c r="Q333" t="s">
        <v>74</v>
      </c>
      <c r="R333" t="s">
        <v>48</v>
      </c>
      <c r="S333" t="s">
        <v>49</v>
      </c>
      <c r="T333" t="s">
        <v>278</v>
      </c>
      <c r="U333" t="s">
        <v>1142</v>
      </c>
      <c r="V333">
        <v>94300</v>
      </c>
      <c r="W333" t="s">
        <v>52</v>
      </c>
      <c r="X333" t="s">
        <v>53</v>
      </c>
      <c r="Y333" t="s">
        <v>54</v>
      </c>
      <c r="Z333" s="10">
        <f>IF(N333&lt;=1,13,IF(N333&lt;=2,23,IF(N333&lt;=3,35,IF(N333&lt;=4,43,IF(N333&lt;=5,53,IF(N333&lt;=6,63,IF(N333&lt;=7,71,IF(N333&lt;=8,79,IF(N333&lt;=9,87,IF(N333&lt;=10,95,IF(N333&lt;=11,105,IF(N333&lt;=12,114,IF(N333&lt;=13,119,IF(N333&lt;=14,127,IF(N333&lt;=15,135,IF(N333&lt;=16,143,IF(N333&lt;=17,153,IF(N333&lt;=18,163,IF(N333&lt;=19,171,IF(N333&lt;=20,185,IF(N333&lt;=21,193,IF(N333&lt;=22,201,IF(N333&lt;=23,210,IF(N333&lt;=24,220,IF(N333&lt;=25,230,IF(N333&lt;=26,240,IF(N333&lt;=27,250,IF(N333&lt;=28,260,IF(N333&lt;=29,270,IF(N333&lt;=30,280,280+10*ROUNDUP(N333-30,0)))))))))))))))))))))))))))))))</f>
        <v>13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5"/>
        <v>0.78</v>
      </c>
      <c r="AG333" s="11">
        <f t="shared" si="16"/>
        <v>13.78</v>
      </c>
      <c r="AH333" s="11">
        <v>0</v>
      </c>
      <c r="AI333" s="11">
        <f t="shared" si="17"/>
        <v>13.78</v>
      </c>
      <c r="AJ333" t="s">
        <v>55</v>
      </c>
    </row>
    <row r="334" spans="1:36" ht="15" customHeight="1" x14ac:dyDescent="0.35">
      <c r="A334">
        <v>10428918</v>
      </c>
      <c r="B334" t="s">
        <v>36</v>
      </c>
      <c r="C334" t="s">
        <v>37</v>
      </c>
      <c r="D334" s="6" t="s">
        <v>38</v>
      </c>
      <c r="E334" t="s">
        <v>1143</v>
      </c>
      <c r="F334" t="s">
        <v>40</v>
      </c>
      <c r="G334" t="s">
        <v>41</v>
      </c>
      <c r="H334" t="s">
        <v>1144</v>
      </c>
      <c r="I334" t="s">
        <v>43</v>
      </c>
      <c r="J334">
        <v>2</v>
      </c>
      <c r="K334" t="s">
        <v>44</v>
      </c>
      <c r="L334" t="s">
        <v>45</v>
      </c>
      <c r="M334" t="s">
        <v>46</v>
      </c>
      <c r="N334" s="7">
        <v>2</v>
      </c>
      <c r="O334" s="8">
        <v>45643.629629629628</v>
      </c>
      <c r="P334" s="9">
        <v>45646</v>
      </c>
      <c r="Q334" t="s">
        <v>74</v>
      </c>
      <c r="R334" t="s">
        <v>48</v>
      </c>
      <c r="S334" t="s">
        <v>49</v>
      </c>
      <c r="T334" t="s">
        <v>69</v>
      </c>
      <c r="U334" t="s">
        <v>1145</v>
      </c>
      <c r="V334">
        <v>83200</v>
      </c>
      <c r="W334" t="s">
        <v>48</v>
      </c>
      <c r="X334" t="s">
        <v>71</v>
      </c>
      <c r="Y334" t="s">
        <v>54</v>
      </c>
      <c r="Z334" s="12">
        <f>IF(N334&lt;=1,9,9+0.8*ROUNDUP(N334-1,0))</f>
        <v>9.8000000000000007</v>
      </c>
      <c r="AA334" s="11">
        <v>-2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5"/>
        <v>0.46800000000000003</v>
      </c>
      <c r="AG334" s="11">
        <f t="shared" si="16"/>
        <v>8.2680000000000007</v>
      </c>
      <c r="AH334" s="11">
        <v>0</v>
      </c>
      <c r="AI334" s="11">
        <f t="shared" si="17"/>
        <v>8.2680000000000007</v>
      </c>
      <c r="AJ334" t="s">
        <v>62</v>
      </c>
    </row>
    <row r="335" spans="1:36" ht="15" customHeight="1" x14ac:dyDescent="0.35">
      <c r="A335">
        <v>10428918</v>
      </c>
      <c r="B335" t="s">
        <v>36</v>
      </c>
      <c r="C335" t="s">
        <v>37</v>
      </c>
      <c r="D335" s="6" t="s">
        <v>38</v>
      </c>
      <c r="E335" t="s">
        <v>1146</v>
      </c>
      <c r="F335" t="s">
        <v>40</v>
      </c>
      <c r="G335" t="s">
        <v>41</v>
      </c>
      <c r="H335" t="s">
        <v>1147</v>
      </c>
      <c r="I335" t="s">
        <v>43</v>
      </c>
      <c r="J335">
        <v>2</v>
      </c>
      <c r="K335" t="s">
        <v>44</v>
      </c>
      <c r="L335" t="s">
        <v>45</v>
      </c>
      <c r="M335" t="s">
        <v>46</v>
      </c>
      <c r="N335" s="7">
        <v>1</v>
      </c>
      <c r="O335" s="8">
        <v>45644.702256944445</v>
      </c>
      <c r="P335" s="9">
        <v>45646</v>
      </c>
      <c r="Q335" t="s">
        <v>74</v>
      </c>
      <c r="R335" t="s">
        <v>48</v>
      </c>
      <c r="S335" t="s">
        <v>49</v>
      </c>
      <c r="T335" t="s">
        <v>69</v>
      </c>
      <c r="U335" t="s">
        <v>1148</v>
      </c>
      <c r="V335">
        <v>80350</v>
      </c>
      <c r="W335" t="s">
        <v>48</v>
      </c>
      <c r="X335" t="s">
        <v>53</v>
      </c>
      <c r="Y335" t="s">
        <v>54</v>
      </c>
      <c r="Z335" s="12">
        <f>IF(N335&lt;=1,9,9+0.8*ROUNDUP(N335-1,0))</f>
        <v>9</v>
      </c>
      <c r="AA335" s="11">
        <v>-2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5"/>
        <v>0.42</v>
      </c>
      <c r="AG335" s="11">
        <f t="shared" si="16"/>
        <v>7.42</v>
      </c>
      <c r="AH335" s="11">
        <v>0</v>
      </c>
      <c r="AI335" s="11">
        <f t="shared" si="17"/>
        <v>7.42</v>
      </c>
      <c r="AJ335" t="s">
        <v>62</v>
      </c>
    </row>
    <row r="336" spans="1:36" ht="15" customHeight="1" x14ac:dyDescent="0.35">
      <c r="A336">
        <v>10428918</v>
      </c>
      <c r="B336" t="s">
        <v>36</v>
      </c>
      <c r="C336" t="s">
        <v>37</v>
      </c>
      <c r="D336" s="6" t="s">
        <v>38</v>
      </c>
      <c r="E336" t="s">
        <v>1149</v>
      </c>
      <c r="F336" t="s">
        <v>40</v>
      </c>
      <c r="G336" t="s">
        <v>41</v>
      </c>
      <c r="H336" t="s">
        <v>1150</v>
      </c>
      <c r="I336" t="s">
        <v>43</v>
      </c>
      <c r="J336">
        <v>2</v>
      </c>
      <c r="K336" t="s">
        <v>44</v>
      </c>
      <c r="L336" t="s">
        <v>45</v>
      </c>
      <c r="M336" t="s">
        <v>46</v>
      </c>
      <c r="N336" s="7">
        <v>2</v>
      </c>
      <c r="O336" s="8">
        <v>45643.629629629628</v>
      </c>
      <c r="P336" s="9">
        <v>45646</v>
      </c>
      <c r="Q336" t="s">
        <v>74</v>
      </c>
      <c r="R336" t="s">
        <v>48</v>
      </c>
      <c r="S336" t="s">
        <v>49</v>
      </c>
      <c r="T336" t="s">
        <v>69</v>
      </c>
      <c r="U336" t="s">
        <v>1151</v>
      </c>
      <c r="V336">
        <v>81700</v>
      </c>
      <c r="W336" t="s">
        <v>48</v>
      </c>
      <c r="X336" t="s">
        <v>841</v>
      </c>
      <c r="Y336" t="s">
        <v>54</v>
      </c>
      <c r="Z336" s="12">
        <f>IF(N336&lt;=1,9,9+0.8*ROUNDUP(N336-1,0))</f>
        <v>9.8000000000000007</v>
      </c>
      <c r="AA336" s="11">
        <v>-2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5"/>
        <v>0.46800000000000003</v>
      </c>
      <c r="AG336" s="11">
        <f t="shared" si="16"/>
        <v>8.2680000000000007</v>
      </c>
      <c r="AH336" s="11">
        <v>0</v>
      </c>
      <c r="AI336" s="11">
        <f t="shared" si="17"/>
        <v>8.2680000000000007</v>
      </c>
      <c r="AJ336" t="s">
        <v>62</v>
      </c>
    </row>
    <row r="337" spans="1:36" ht="15" customHeight="1" x14ac:dyDescent="0.35">
      <c r="A337">
        <v>10428918</v>
      </c>
      <c r="B337" t="s">
        <v>36</v>
      </c>
      <c r="C337" t="s">
        <v>37</v>
      </c>
      <c r="D337" s="6" t="s">
        <v>38</v>
      </c>
      <c r="E337" t="s">
        <v>1152</v>
      </c>
      <c r="F337" t="s">
        <v>40</v>
      </c>
      <c r="G337" t="s">
        <v>41</v>
      </c>
      <c r="H337" t="s">
        <v>1153</v>
      </c>
      <c r="I337" t="s">
        <v>43</v>
      </c>
      <c r="J337">
        <v>2</v>
      </c>
      <c r="K337" t="s">
        <v>44</v>
      </c>
      <c r="L337" t="s">
        <v>45</v>
      </c>
      <c r="M337" t="s">
        <v>46</v>
      </c>
      <c r="N337" s="7">
        <v>1</v>
      </c>
      <c r="O337" s="8">
        <v>45644.530416666668</v>
      </c>
      <c r="P337" s="9">
        <v>45646</v>
      </c>
      <c r="Q337" t="s">
        <v>74</v>
      </c>
      <c r="R337" t="s">
        <v>48</v>
      </c>
      <c r="S337" t="s">
        <v>49</v>
      </c>
      <c r="T337" t="s">
        <v>117</v>
      </c>
      <c r="U337" t="s">
        <v>1154</v>
      </c>
      <c r="V337">
        <v>48050</v>
      </c>
      <c r="W337" t="s">
        <v>48</v>
      </c>
      <c r="X337" t="s">
        <v>53</v>
      </c>
      <c r="Y337" t="s">
        <v>54</v>
      </c>
      <c r="Z337" s="12">
        <f>IF(N337&lt;=1,9,9+0.8*ROUNDUP(N337-1,0))</f>
        <v>9</v>
      </c>
      <c r="AA337" s="11">
        <v>-2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5"/>
        <v>0.42</v>
      </c>
      <c r="AG337" s="11">
        <f t="shared" si="16"/>
        <v>7.42</v>
      </c>
      <c r="AH337" s="11">
        <v>0</v>
      </c>
      <c r="AI337" s="11">
        <f t="shared" si="17"/>
        <v>7.42</v>
      </c>
      <c r="AJ337" t="s">
        <v>62</v>
      </c>
    </row>
    <row r="338" spans="1:36" ht="15" customHeight="1" x14ac:dyDescent="0.35">
      <c r="A338">
        <v>10428918</v>
      </c>
      <c r="B338" t="s">
        <v>36</v>
      </c>
      <c r="C338" t="s">
        <v>37</v>
      </c>
      <c r="D338" s="6" t="s">
        <v>38</v>
      </c>
      <c r="E338" t="s">
        <v>1155</v>
      </c>
      <c r="F338" t="s">
        <v>40</v>
      </c>
      <c r="G338" t="s">
        <v>41</v>
      </c>
      <c r="H338" t="s">
        <v>1156</v>
      </c>
      <c r="I338" t="s">
        <v>43</v>
      </c>
      <c r="J338">
        <v>2</v>
      </c>
      <c r="K338" t="s">
        <v>44</v>
      </c>
      <c r="L338" t="s">
        <v>45</v>
      </c>
      <c r="M338" t="s">
        <v>46</v>
      </c>
      <c r="N338" s="7">
        <v>1</v>
      </c>
      <c r="O338" s="8">
        <v>45643.629629629628</v>
      </c>
      <c r="P338" s="9">
        <v>45646</v>
      </c>
      <c r="Q338" t="s">
        <v>74</v>
      </c>
      <c r="R338" t="s">
        <v>48</v>
      </c>
      <c r="S338" t="s">
        <v>49</v>
      </c>
      <c r="T338" t="s">
        <v>117</v>
      </c>
      <c r="U338" t="s">
        <v>1157</v>
      </c>
      <c r="V338">
        <v>42200</v>
      </c>
      <c r="W338" t="s">
        <v>48</v>
      </c>
      <c r="X338" t="s">
        <v>53</v>
      </c>
      <c r="Y338" t="s">
        <v>54</v>
      </c>
      <c r="Z338" s="12">
        <f>IF(N338&lt;=1,9,9+0.8*ROUNDUP(N338-1,0))</f>
        <v>9</v>
      </c>
      <c r="AA338" s="11">
        <v>-2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5"/>
        <v>0.42</v>
      </c>
      <c r="AG338" s="11">
        <f t="shared" si="16"/>
        <v>7.42</v>
      </c>
      <c r="AH338" s="11">
        <v>0</v>
      </c>
      <c r="AI338" s="11">
        <f t="shared" si="17"/>
        <v>7.42</v>
      </c>
      <c r="AJ338" t="s">
        <v>62</v>
      </c>
    </row>
    <row r="339" spans="1:36" ht="15" customHeight="1" x14ac:dyDescent="0.35">
      <c r="A339">
        <v>10428918</v>
      </c>
      <c r="B339" t="s">
        <v>36</v>
      </c>
      <c r="C339" t="s">
        <v>37</v>
      </c>
      <c r="D339" s="6" t="s">
        <v>38</v>
      </c>
      <c r="E339" t="s">
        <v>1158</v>
      </c>
      <c r="F339" t="s">
        <v>40</v>
      </c>
      <c r="G339" t="s">
        <v>41</v>
      </c>
      <c r="H339" t="s">
        <v>1159</v>
      </c>
      <c r="I339" t="s">
        <v>43</v>
      </c>
      <c r="J339">
        <v>2</v>
      </c>
      <c r="K339" t="s">
        <v>44</v>
      </c>
      <c r="L339" t="s">
        <v>45</v>
      </c>
      <c r="M339" t="s">
        <v>46</v>
      </c>
      <c r="N339" s="7">
        <v>1</v>
      </c>
      <c r="O339" s="8">
        <v>45645.659131944441</v>
      </c>
      <c r="P339" s="9">
        <v>45646</v>
      </c>
      <c r="Q339" t="s">
        <v>74</v>
      </c>
      <c r="R339" t="s">
        <v>48</v>
      </c>
      <c r="S339" t="s">
        <v>49</v>
      </c>
      <c r="T339" t="s">
        <v>75</v>
      </c>
      <c r="U339" t="s">
        <v>1160</v>
      </c>
      <c r="V339">
        <v>28400</v>
      </c>
      <c r="W339" t="s">
        <v>48</v>
      </c>
      <c r="X339" t="s">
        <v>77</v>
      </c>
      <c r="Y339" t="s">
        <v>54</v>
      </c>
      <c r="Z339" s="12">
        <f>IF(N339&lt;=1,9,9+0.8*ROUNDUP(N339-1,0))</f>
        <v>9</v>
      </c>
      <c r="AA339" s="11">
        <v>-2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5"/>
        <v>0.42</v>
      </c>
      <c r="AG339" s="11">
        <f t="shared" si="16"/>
        <v>7.42</v>
      </c>
      <c r="AH339" s="11">
        <v>0</v>
      </c>
      <c r="AI339" s="11">
        <f t="shared" si="17"/>
        <v>7.42</v>
      </c>
      <c r="AJ339" t="s">
        <v>62</v>
      </c>
    </row>
    <row r="340" spans="1:36" ht="15" customHeight="1" x14ac:dyDescent="0.35">
      <c r="A340">
        <v>10428918</v>
      </c>
      <c r="B340" t="s">
        <v>36</v>
      </c>
      <c r="C340" t="s">
        <v>37</v>
      </c>
      <c r="D340" s="6" t="s">
        <v>38</v>
      </c>
      <c r="E340" t="s">
        <v>1161</v>
      </c>
      <c r="F340" t="s">
        <v>40</v>
      </c>
      <c r="G340" t="s">
        <v>41</v>
      </c>
      <c r="H340" t="s">
        <v>1162</v>
      </c>
      <c r="I340" t="s">
        <v>43</v>
      </c>
      <c r="J340">
        <v>2</v>
      </c>
      <c r="K340" t="s">
        <v>44</v>
      </c>
      <c r="L340" t="s">
        <v>45</v>
      </c>
      <c r="M340" t="s">
        <v>46</v>
      </c>
      <c r="N340" s="7">
        <v>1</v>
      </c>
      <c r="O340" s="8">
        <v>45644.812442129631</v>
      </c>
      <c r="P340" s="9">
        <v>45646</v>
      </c>
      <c r="Q340" t="s">
        <v>74</v>
      </c>
      <c r="R340" t="s">
        <v>48</v>
      </c>
      <c r="S340" t="s">
        <v>49</v>
      </c>
      <c r="T340" t="s">
        <v>59</v>
      </c>
      <c r="U340" t="s">
        <v>1163</v>
      </c>
      <c r="V340">
        <v>16020</v>
      </c>
      <c r="W340" t="s">
        <v>48</v>
      </c>
      <c r="X340" t="s">
        <v>61</v>
      </c>
      <c r="Y340" t="s">
        <v>54</v>
      </c>
      <c r="Z340" s="12">
        <f>IF(N340&lt;=1,9,9+0.8*ROUNDUP(N340-1,0))</f>
        <v>9</v>
      </c>
      <c r="AA340" s="11">
        <v>-2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5"/>
        <v>0.42</v>
      </c>
      <c r="AG340" s="11">
        <f t="shared" si="16"/>
        <v>7.42</v>
      </c>
      <c r="AH340" s="11">
        <v>0</v>
      </c>
      <c r="AI340" s="11">
        <f t="shared" si="17"/>
        <v>7.42</v>
      </c>
      <c r="AJ340" t="s">
        <v>62</v>
      </c>
    </row>
    <row r="341" spans="1:36" ht="15" customHeight="1" x14ac:dyDescent="0.35">
      <c r="A341">
        <v>10428918</v>
      </c>
      <c r="B341" t="s">
        <v>36</v>
      </c>
      <c r="C341" t="s">
        <v>37</v>
      </c>
      <c r="D341" s="6" t="s">
        <v>38</v>
      </c>
      <c r="E341" t="s">
        <v>1164</v>
      </c>
      <c r="F341" t="s">
        <v>40</v>
      </c>
      <c r="G341" t="s">
        <v>41</v>
      </c>
      <c r="H341" t="s">
        <v>1165</v>
      </c>
      <c r="I341" t="s">
        <v>43</v>
      </c>
      <c r="J341">
        <v>2</v>
      </c>
      <c r="K341" t="s">
        <v>44</v>
      </c>
      <c r="L341" t="s">
        <v>45</v>
      </c>
      <c r="M341" t="s">
        <v>46</v>
      </c>
      <c r="N341" s="7">
        <v>1</v>
      </c>
      <c r="O341" s="8">
        <v>45645.60665509259</v>
      </c>
      <c r="P341" s="9">
        <v>45646</v>
      </c>
      <c r="Q341" t="s">
        <v>74</v>
      </c>
      <c r="R341" t="s">
        <v>48</v>
      </c>
      <c r="S341" t="s">
        <v>49</v>
      </c>
      <c r="T341" t="s">
        <v>59</v>
      </c>
      <c r="U341" t="s">
        <v>1166</v>
      </c>
      <c r="V341">
        <v>16090</v>
      </c>
      <c r="W341" t="s">
        <v>48</v>
      </c>
      <c r="X341" t="s">
        <v>61</v>
      </c>
      <c r="Y341" t="s">
        <v>54</v>
      </c>
      <c r="Z341" s="12">
        <f>IF(N341&lt;=1,9,9+0.8*ROUNDUP(N341-1,0))</f>
        <v>9</v>
      </c>
      <c r="AA341" s="11">
        <v>-2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5"/>
        <v>0.42</v>
      </c>
      <c r="AG341" s="11">
        <f t="shared" si="16"/>
        <v>7.42</v>
      </c>
      <c r="AH341" s="11">
        <v>0</v>
      </c>
      <c r="AI341" s="11">
        <f t="shared" si="17"/>
        <v>7.42</v>
      </c>
      <c r="AJ341" t="s">
        <v>62</v>
      </c>
    </row>
    <row r="342" spans="1:36" ht="15" customHeight="1" x14ac:dyDescent="0.35">
      <c r="A342">
        <v>10428918</v>
      </c>
      <c r="B342" t="s">
        <v>36</v>
      </c>
      <c r="C342" t="s">
        <v>37</v>
      </c>
      <c r="D342" s="6" t="s">
        <v>38</v>
      </c>
      <c r="E342" t="s">
        <v>1167</v>
      </c>
      <c r="F342" t="s">
        <v>40</v>
      </c>
      <c r="G342" t="s">
        <v>41</v>
      </c>
      <c r="H342" t="s">
        <v>1168</v>
      </c>
      <c r="I342" t="s">
        <v>43</v>
      </c>
      <c r="J342">
        <v>2</v>
      </c>
      <c r="K342" t="s">
        <v>44</v>
      </c>
      <c r="L342" t="s">
        <v>45</v>
      </c>
      <c r="M342" t="s">
        <v>46</v>
      </c>
      <c r="N342" s="7">
        <v>1</v>
      </c>
      <c r="O342" s="8">
        <v>45643.637129629627</v>
      </c>
      <c r="P342" s="9">
        <v>45646</v>
      </c>
      <c r="Q342" t="s">
        <v>74</v>
      </c>
      <c r="R342" t="s">
        <v>48</v>
      </c>
      <c r="S342" t="s">
        <v>49</v>
      </c>
      <c r="T342" t="s">
        <v>693</v>
      </c>
      <c r="U342" t="s">
        <v>1169</v>
      </c>
      <c r="V342">
        <v>2600</v>
      </c>
      <c r="W342" t="s">
        <v>48</v>
      </c>
      <c r="X342" t="s">
        <v>53</v>
      </c>
      <c r="Y342" t="s">
        <v>54</v>
      </c>
      <c r="Z342" s="12">
        <f>IF(N342&lt;=1,9,9+0.8*ROUNDUP(N342-1,0))</f>
        <v>9</v>
      </c>
      <c r="AA342" s="11">
        <v>-2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5"/>
        <v>0.42</v>
      </c>
      <c r="AG342" s="11">
        <f t="shared" si="16"/>
        <v>7.42</v>
      </c>
      <c r="AH342" s="11">
        <v>0</v>
      </c>
      <c r="AI342" s="11">
        <f t="shared" si="17"/>
        <v>7.42</v>
      </c>
      <c r="AJ342" t="s">
        <v>62</v>
      </c>
    </row>
    <row r="343" spans="1:36" ht="15" customHeight="1" x14ac:dyDescent="0.35">
      <c r="A343">
        <v>10428918</v>
      </c>
      <c r="B343" t="s">
        <v>36</v>
      </c>
      <c r="C343" t="s">
        <v>37</v>
      </c>
      <c r="D343" s="6" t="s">
        <v>38</v>
      </c>
      <c r="E343" t="s">
        <v>1170</v>
      </c>
      <c r="F343" t="s">
        <v>40</v>
      </c>
      <c r="G343" t="s">
        <v>41</v>
      </c>
      <c r="H343" t="s">
        <v>1171</v>
      </c>
      <c r="I343" t="s">
        <v>43</v>
      </c>
      <c r="J343">
        <v>2</v>
      </c>
      <c r="K343" t="s">
        <v>44</v>
      </c>
      <c r="L343" t="s">
        <v>45</v>
      </c>
      <c r="M343" t="s">
        <v>46</v>
      </c>
      <c r="N343" s="7">
        <v>1</v>
      </c>
      <c r="O343" s="8">
        <v>45644.815775462965</v>
      </c>
      <c r="P343" s="9">
        <v>45646</v>
      </c>
      <c r="Q343" t="s">
        <v>74</v>
      </c>
      <c r="R343" t="s">
        <v>48</v>
      </c>
      <c r="S343" t="s">
        <v>49</v>
      </c>
      <c r="T343" t="s">
        <v>117</v>
      </c>
      <c r="U343" t="s">
        <v>1172</v>
      </c>
      <c r="V343">
        <v>43000</v>
      </c>
      <c r="W343" t="s">
        <v>48</v>
      </c>
      <c r="X343" t="s">
        <v>53</v>
      </c>
      <c r="Y343" t="s">
        <v>54</v>
      </c>
      <c r="Z343" s="12">
        <f>IF(N343&lt;=1,9,9+0.8*ROUNDUP(N343-1,0))</f>
        <v>9</v>
      </c>
      <c r="AA343" s="11">
        <v>-2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5"/>
        <v>0.42</v>
      </c>
      <c r="AG343" s="11">
        <f t="shared" si="16"/>
        <v>7.42</v>
      </c>
      <c r="AH343" s="11">
        <v>0</v>
      </c>
      <c r="AI343" s="11">
        <f t="shared" si="17"/>
        <v>7.42</v>
      </c>
      <c r="AJ343" t="s">
        <v>62</v>
      </c>
    </row>
    <row r="344" spans="1:36" ht="15" customHeight="1" x14ac:dyDescent="0.35">
      <c r="A344">
        <v>10428918</v>
      </c>
      <c r="B344" t="s">
        <v>36</v>
      </c>
      <c r="C344" t="s">
        <v>37</v>
      </c>
      <c r="D344" s="6" t="s">
        <v>38</v>
      </c>
      <c r="E344" t="s">
        <v>1173</v>
      </c>
      <c r="F344" t="s">
        <v>40</v>
      </c>
      <c r="G344" t="s">
        <v>41</v>
      </c>
      <c r="H344" t="s">
        <v>1174</v>
      </c>
      <c r="I344" t="s">
        <v>43</v>
      </c>
      <c r="J344">
        <v>2</v>
      </c>
      <c r="K344" t="s">
        <v>44</v>
      </c>
      <c r="L344" t="s">
        <v>45</v>
      </c>
      <c r="M344" t="s">
        <v>46</v>
      </c>
      <c r="N344" s="7">
        <v>1</v>
      </c>
      <c r="O344" s="8">
        <v>45644.530416666668</v>
      </c>
      <c r="P344" s="9">
        <v>45646</v>
      </c>
      <c r="Q344" t="s">
        <v>74</v>
      </c>
      <c r="R344" t="s">
        <v>48</v>
      </c>
      <c r="S344" t="s">
        <v>49</v>
      </c>
      <c r="T344" t="s">
        <v>69</v>
      </c>
      <c r="U344" t="s">
        <v>1175</v>
      </c>
      <c r="V344">
        <v>82000</v>
      </c>
      <c r="W344" t="s">
        <v>48</v>
      </c>
      <c r="X344" t="s">
        <v>295</v>
      </c>
      <c r="Y344" t="s">
        <v>54</v>
      </c>
      <c r="Z344" s="12">
        <f>IF(N344&lt;=1,9,9+0.8*ROUNDUP(N344-1,0))</f>
        <v>9</v>
      </c>
      <c r="AA344" s="11">
        <v>-2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5"/>
        <v>0.42</v>
      </c>
      <c r="AG344" s="11">
        <f t="shared" si="16"/>
        <v>7.42</v>
      </c>
      <c r="AH344" s="11">
        <v>0</v>
      </c>
      <c r="AI344" s="11">
        <f t="shared" si="17"/>
        <v>7.42</v>
      </c>
      <c r="AJ344" t="s">
        <v>62</v>
      </c>
    </row>
    <row r="345" spans="1:36" ht="15" customHeight="1" x14ac:dyDescent="0.35">
      <c r="A345">
        <v>10428918</v>
      </c>
      <c r="B345" t="s">
        <v>36</v>
      </c>
      <c r="C345" t="s">
        <v>37</v>
      </c>
      <c r="D345" s="6" t="s">
        <v>38</v>
      </c>
      <c r="E345" t="s">
        <v>1176</v>
      </c>
      <c r="F345" t="s">
        <v>40</v>
      </c>
      <c r="G345" t="s">
        <v>41</v>
      </c>
      <c r="H345" t="s">
        <v>1177</v>
      </c>
      <c r="I345" t="s">
        <v>43</v>
      </c>
      <c r="J345">
        <v>2</v>
      </c>
      <c r="K345" t="s">
        <v>44</v>
      </c>
      <c r="L345" t="s">
        <v>45</v>
      </c>
      <c r="M345" t="s">
        <v>46</v>
      </c>
      <c r="N345" s="7">
        <v>2</v>
      </c>
      <c r="O345" s="8">
        <v>45644.521793981483</v>
      </c>
      <c r="P345" s="9">
        <v>45646</v>
      </c>
      <c r="Q345" t="s">
        <v>74</v>
      </c>
      <c r="R345" t="s">
        <v>48</v>
      </c>
      <c r="S345" t="s">
        <v>49</v>
      </c>
      <c r="T345" t="s">
        <v>80</v>
      </c>
      <c r="U345" t="s">
        <v>1178</v>
      </c>
      <c r="V345">
        <v>6010</v>
      </c>
      <c r="W345" t="s">
        <v>48</v>
      </c>
      <c r="X345" t="s">
        <v>53</v>
      </c>
      <c r="Y345" t="s">
        <v>54</v>
      </c>
      <c r="Z345" s="12">
        <f>IF(N345&lt;=1,9,9+0.8*ROUNDUP(N345-1,0))</f>
        <v>9.8000000000000007</v>
      </c>
      <c r="AA345" s="11">
        <v>-2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5"/>
        <v>0.46800000000000003</v>
      </c>
      <c r="AG345" s="11">
        <f t="shared" si="16"/>
        <v>8.2680000000000007</v>
      </c>
      <c r="AH345" s="11">
        <v>0</v>
      </c>
      <c r="AI345" s="11">
        <f t="shared" si="17"/>
        <v>8.2680000000000007</v>
      </c>
      <c r="AJ345" t="s">
        <v>62</v>
      </c>
    </row>
    <row r="346" spans="1:36" ht="15" customHeight="1" x14ac:dyDescent="0.35">
      <c r="A346">
        <v>10428918</v>
      </c>
      <c r="B346" t="s">
        <v>36</v>
      </c>
      <c r="C346" t="s">
        <v>37</v>
      </c>
      <c r="D346" s="6" t="s">
        <v>38</v>
      </c>
      <c r="E346" t="s">
        <v>1179</v>
      </c>
      <c r="F346" t="s">
        <v>40</v>
      </c>
      <c r="G346" t="s">
        <v>41</v>
      </c>
      <c r="H346" t="s">
        <v>1180</v>
      </c>
      <c r="I346" t="s">
        <v>43</v>
      </c>
      <c r="J346">
        <v>2</v>
      </c>
      <c r="K346" t="s">
        <v>44</v>
      </c>
      <c r="L346" t="s">
        <v>45</v>
      </c>
      <c r="M346" t="s">
        <v>46</v>
      </c>
      <c r="N346" s="7">
        <v>1</v>
      </c>
      <c r="O346" s="8">
        <v>45645.752210648148</v>
      </c>
      <c r="P346" s="9">
        <v>45646</v>
      </c>
      <c r="Q346" t="s">
        <v>74</v>
      </c>
      <c r="R346" t="s">
        <v>48</v>
      </c>
      <c r="S346" t="s">
        <v>49</v>
      </c>
      <c r="T346" t="s">
        <v>170</v>
      </c>
      <c r="U346" t="s">
        <v>1181</v>
      </c>
      <c r="V346">
        <v>56000</v>
      </c>
      <c r="W346" t="s">
        <v>48</v>
      </c>
      <c r="X346" t="s">
        <v>343</v>
      </c>
      <c r="Y346" t="s">
        <v>54</v>
      </c>
      <c r="Z346" s="12">
        <f>IF(N346&lt;=1,9,9+0.8*ROUNDUP(N346-1,0))</f>
        <v>9</v>
      </c>
      <c r="AA346" s="11">
        <v>-2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5"/>
        <v>0.42</v>
      </c>
      <c r="AG346" s="11">
        <f t="shared" si="16"/>
        <v>7.42</v>
      </c>
      <c r="AH346" s="11">
        <v>0</v>
      </c>
      <c r="AI346" s="11">
        <f t="shared" si="17"/>
        <v>7.42</v>
      </c>
      <c r="AJ346" t="s">
        <v>62</v>
      </c>
    </row>
    <row r="347" spans="1:36" ht="15" customHeight="1" x14ac:dyDescent="0.35">
      <c r="A347">
        <v>10428918</v>
      </c>
      <c r="B347" t="s">
        <v>36</v>
      </c>
      <c r="C347" t="s">
        <v>37</v>
      </c>
      <c r="D347" s="6" t="s">
        <v>38</v>
      </c>
      <c r="E347" t="s">
        <v>1182</v>
      </c>
      <c r="F347" t="s">
        <v>40</v>
      </c>
      <c r="G347" t="s">
        <v>41</v>
      </c>
      <c r="H347" t="s">
        <v>1183</v>
      </c>
      <c r="I347" t="s">
        <v>43</v>
      </c>
      <c r="J347">
        <v>2</v>
      </c>
      <c r="K347" t="s">
        <v>44</v>
      </c>
      <c r="L347" t="s">
        <v>45</v>
      </c>
      <c r="M347" t="s">
        <v>46</v>
      </c>
      <c r="N347" s="7">
        <v>1</v>
      </c>
      <c r="O347" s="8">
        <v>45643.511631944442</v>
      </c>
      <c r="P347" s="9">
        <v>45646</v>
      </c>
      <c r="Q347" t="s">
        <v>74</v>
      </c>
      <c r="R347" t="s">
        <v>48</v>
      </c>
      <c r="S347" t="s">
        <v>49</v>
      </c>
      <c r="T347" t="s">
        <v>80</v>
      </c>
      <c r="U347" t="s">
        <v>1184</v>
      </c>
      <c r="V347">
        <v>8100</v>
      </c>
      <c r="W347" t="s">
        <v>48</v>
      </c>
      <c r="X347" t="s">
        <v>141</v>
      </c>
      <c r="Y347" t="s">
        <v>54</v>
      </c>
      <c r="Z347" s="12">
        <f>IF(N347&lt;=1,9,9+0.8*ROUNDUP(N347-1,0))</f>
        <v>9</v>
      </c>
      <c r="AA347" s="11">
        <v>-2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5"/>
        <v>0.42</v>
      </c>
      <c r="AG347" s="11">
        <f t="shared" si="16"/>
        <v>7.42</v>
      </c>
      <c r="AH347" s="11">
        <v>0</v>
      </c>
      <c r="AI347" s="11">
        <f t="shared" si="17"/>
        <v>7.42</v>
      </c>
      <c r="AJ347" t="s">
        <v>62</v>
      </c>
    </row>
    <row r="348" spans="1:36" ht="15" customHeight="1" x14ac:dyDescent="0.35">
      <c r="A348">
        <v>10428918</v>
      </c>
      <c r="B348" t="s">
        <v>36</v>
      </c>
      <c r="C348" t="s">
        <v>37</v>
      </c>
      <c r="D348" s="6" t="s">
        <v>38</v>
      </c>
      <c r="E348" t="s">
        <v>1185</v>
      </c>
      <c r="F348" t="s">
        <v>40</v>
      </c>
      <c r="G348" t="s">
        <v>41</v>
      </c>
      <c r="H348" t="s">
        <v>1186</v>
      </c>
      <c r="I348" t="s">
        <v>43</v>
      </c>
      <c r="J348">
        <v>2</v>
      </c>
      <c r="K348" t="s">
        <v>44</v>
      </c>
      <c r="L348" t="s">
        <v>45</v>
      </c>
      <c r="M348" t="s">
        <v>46</v>
      </c>
      <c r="N348" s="7">
        <v>1</v>
      </c>
      <c r="O348" s="8">
        <v>45644.530416666668</v>
      </c>
      <c r="P348" s="9">
        <v>45646</v>
      </c>
      <c r="Q348" t="s">
        <v>74</v>
      </c>
      <c r="R348" t="s">
        <v>48</v>
      </c>
      <c r="S348" t="s">
        <v>49</v>
      </c>
      <c r="T348" t="s">
        <v>65</v>
      </c>
      <c r="U348" t="s">
        <v>1187</v>
      </c>
      <c r="V348">
        <v>75250</v>
      </c>
      <c r="W348" t="s">
        <v>48</v>
      </c>
      <c r="X348" t="s">
        <v>167</v>
      </c>
      <c r="Y348" t="s">
        <v>54</v>
      </c>
      <c r="Z348" s="12">
        <f>IF(N348&lt;=1,9,9+0.8*ROUNDUP(N348-1,0))</f>
        <v>9</v>
      </c>
      <c r="AA348" s="11">
        <v>-2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5"/>
        <v>0.42</v>
      </c>
      <c r="AG348" s="11">
        <f t="shared" si="16"/>
        <v>7.42</v>
      </c>
      <c r="AH348" s="11">
        <v>0</v>
      </c>
      <c r="AI348" s="11">
        <f t="shared" si="17"/>
        <v>7.42</v>
      </c>
      <c r="AJ348" t="s">
        <v>62</v>
      </c>
    </row>
    <row r="349" spans="1:36" ht="15" customHeight="1" x14ac:dyDescent="0.35">
      <c r="A349">
        <v>10428918</v>
      </c>
      <c r="B349" t="s">
        <v>36</v>
      </c>
      <c r="C349" t="s">
        <v>37</v>
      </c>
      <c r="D349" s="6" t="s">
        <v>38</v>
      </c>
      <c r="E349" t="s">
        <v>1188</v>
      </c>
      <c r="F349" t="s">
        <v>40</v>
      </c>
      <c r="G349" t="s">
        <v>41</v>
      </c>
      <c r="H349" t="s">
        <v>1189</v>
      </c>
      <c r="I349" t="s">
        <v>43</v>
      </c>
      <c r="J349">
        <v>2</v>
      </c>
      <c r="K349" t="s">
        <v>44</v>
      </c>
      <c r="L349" t="s">
        <v>45</v>
      </c>
      <c r="M349" t="s">
        <v>46</v>
      </c>
      <c r="N349" s="7">
        <v>1</v>
      </c>
      <c r="O349" s="8">
        <v>45645.535150462965</v>
      </c>
      <c r="P349" s="9">
        <v>45646</v>
      </c>
      <c r="Q349" t="s">
        <v>74</v>
      </c>
      <c r="R349" t="s">
        <v>48</v>
      </c>
      <c r="S349" t="s">
        <v>49</v>
      </c>
      <c r="T349" t="s">
        <v>117</v>
      </c>
      <c r="U349" t="s">
        <v>1190</v>
      </c>
      <c r="V349">
        <v>43300</v>
      </c>
      <c r="W349" t="s">
        <v>48</v>
      </c>
      <c r="X349" t="s">
        <v>917</v>
      </c>
      <c r="Y349" t="s">
        <v>54</v>
      </c>
      <c r="Z349" s="12">
        <f>IF(N349&lt;=1,9,9+0.8*ROUNDUP(N349-1,0))</f>
        <v>9</v>
      </c>
      <c r="AA349" s="11">
        <v>-2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5"/>
        <v>0.42</v>
      </c>
      <c r="AG349" s="11">
        <f t="shared" si="16"/>
        <v>7.42</v>
      </c>
      <c r="AH349" s="11">
        <v>0</v>
      </c>
      <c r="AI349" s="11">
        <f t="shared" si="17"/>
        <v>7.42</v>
      </c>
      <c r="AJ349" t="s">
        <v>62</v>
      </c>
    </row>
    <row r="350" spans="1:36" ht="15" customHeight="1" x14ac:dyDescent="0.35">
      <c r="A350">
        <v>10428918</v>
      </c>
      <c r="B350" t="s">
        <v>36</v>
      </c>
      <c r="C350" t="s">
        <v>37</v>
      </c>
      <c r="D350" s="6" t="s">
        <v>38</v>
      </c>
      <c r="E350" t="s">
        <v>1191</v>
      </c>
      <c r="F350" t="s">
        <v>40</v>
      </c>
      <c r="G350" t="s">
        <v>41</v>
      </c>
      <c r="H350" t="s">
        <v>1192</v>
      </c>
      <c r="I350" t="s">
        <v>43</v>
      </c>
      <c r="J350">
        <v>2</v>
      </c>
      <c r="K350" t="s">
        <v>44</v>
      </c>
      <c r="L350" t="s">
        <v>45</v>
      </c>
      <c r="M350" t="s">
        <v>46</v>
      </c>
      <c r="N350" s="7">
        <v>2</v>
      </c>
      <c r="O350" s="8">
        <v>45644.812442129631</v>
      </c>
      <c r="P350" s="9">
        <v>45646</v>
      </c>
      <c r="Q350" t="s">
        <v>74</v>
      </c>
      <c r="R350" t="s">
        <v>48</v>
      </c>
      <c r="S350" t="s">
        <v>49</v>
      </c>
      <c r="T350" t="s">
        <v>75</v>
      </c>
      <c r="U350" t="s">
        <v>1193</v>
      </c>
      <c r="V350">
        <v>26600</v>
      </c>
      <c r="W350" t="s">
        <v>48</v>
      </c>
      <c r="X350" t="s">
        <v>77</v>
      </c>
      <c r="Y350" t="s">
        <v>54</v>
      </c>
      <c r="Z350" s="12">
        <f>IF(N350&lt;=1,9,9+0.8*ROUNDUP(N350-1,0))</f>
        <v>9.8000000000000007</v>
      </c>
      <c r="AA350" s="11">
        <v>-2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5"/>
        <v>0.46800000000000003</v>
      </c>
      <c r="AG350" s="11">
        <f t="shared" si="16"/>
        <v>8.2680000000000007</v>
      </c>
      <c r="AH350" s="11">
        <v>0</v>
      </c>
      <c r="AI350" s="11">
        <f t="shared" si="17"/>
        <v>8.2680000000000007</v>
      </c>
      <c r="AJ350" t="s">
        <v>62</v>
      </c>
    </row>
    <row r="351" spans="1:36" ht="15" customHeight="1" x14ac:dyDescent="0.35">
      <c r="A351">
        <v>10428918</v>
      </c>
      <c r="B351" t="s">
        <v>36</v>
      </c>
      <c r="C351" t="s">
        <v>37</v>
      </c>
      <c r="D351" s="6" t="s">
        <v>38</v>
      </c>
      <c r="E351" t="s">
        <v>1194</v>
      </c>
      <c r="F351" t="s">
        <v>40</v>
      </c>
      <c r="G351" t="s">
        <v>41</v>
      </c>
      <c r="H351" t="s">
        <v>1195</v>
      </c>
      <c r="I351" t="s">
        <v>43</v>
      </c>
      <c r="J351">
        <v>2</v>
      </c>
      <c r="K351" t="s">
        <v>44</v>
      </c>
      <c r="L351" t="s">
        <v>45</v>
      </c>
      <c r="M351" t="s">
        <v>46</v>
      </c>
      <c r="N351" s="7">
        <v>1</v>
      </c>
      <c r="O351" s="8">
        <v>45644.806967592594</v>
      </c>
      <c r="P351" s="9">
        <v>45646</v>
      </c>
      <c r="Q351" t="s">
        <v>74</v>
      </c>
      <c r="R351" t="s">
        <v>48</v>
      </c>
      <c r="S351" t="s">
        <v>49</v>
      </c>
      <c r="T351" t="s">
        <v>75</v>
      </c>
      <c r="U351" t="s">
        <v>1196</v>
      </c>
      <c r="V351">
        <v>28200</v>
      </c>
      <c r="W351" t="s">
        <v>48</v>
      </c>
      <c r="X351" t="s">
        <v>77</v>
      </c>
      <c r="Y351" t="s">
        <v>54</v>
      </c>
      <c r="Z351" s="12">
        <f>IF(N351&lt;=1,9,9+0.8*ROUNDUP(N351-1,0))</f>
        <v>9</v>
      </c>
      <c r="AA351" s="11">
        <v>-2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5"/>
        <v>0.42</v>
      </c>
      <c r="AG351" s="11">
        <f t="shared" si="16"/>
        <v>7.42</v>
      </c>
      <c r="AH351" s="11">
        <v>0</v>
      </c>
      <c r="AI351" s="11">
        <f t="shared" si="17"/>
        <v>7.42</v>
      </c>
      <c r="AJ351" t="s">
        <v>62</v>
      </c>
    </row>
    <row r="352" spans="1:36" ht="15" customHeight="1" x14ac:dyDescent="0.35">
      <c r="A352">
        <v>10428918</v>
      </c>
      <c r="B352" t="s">
        <v>36</v>
      </c>
      <c r="C352" t="s">
        <v>37</v>
      </c>
      <c r="D352" s="6" t="s">
        <v>38</v>
      </c>
      <c r="E352" t="s">
        <v>1197</v>
      </c>
      <c r="F352" t="s">
        <v>40</v>
      </c>
      <c r="G352" t="s">
        <v>41</v>
      </c>
      <c r="H352" t="s">
        <v>1198</v>
      </c>
      <c r="I352" t="s">
        <v>43</v>
      </c>
      <c r="J352">
        <v>2</v>
      </c>
      <c r="K352" t="s">
        <v>44</v>
      </c>
      <c r="L352" t="s">
        <v>45</v>
      </c>
      <c r="M352" t="s">
        <v>46</v>
      </c>
      <c r="N352" s="7">
        <v>1</v>
      </c>
      <c r="O352" s="8">
        <v>45644.760983796295</v>
      </c>
      <c r="P352" s="9">
        <v>45646</v>
      </c>
      <c r="Q352" t="s">
        <v>74</v>
      </c>
      <c r="R352" t="s">
        <v>48</v>
      </c>
      <c r="S352" t="s">
        <v>49</v>
      </c>
      <c r="T352" t="s">
        <v>117</v>
      </c>
      <c r="U352" t="s">
        <v>1199</v>
      </c>
      <c r="V352">
        <v>42100</v>
      </c>
      <c r="W352" t="s">
        <v>48</v>
      </c>
      <c r="X352" t="s">
        <v>53</v>
      </c>
      <c r="Y352" t="s">
        <v>54</v>
      </c>
      <c r="Z352" s="12">
        <f>IF(N352&lt;=1,9,9+0.8*ROUNDUP(N352-1,0))</f>
        <v>9</v>
      </c>
      <c r="AA352" s="11">
        <v>-2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5"/>
        <v>0.42</v>
      </c>
      <c r="AG352" s="11">
        <f t="shared" si="16"/>
        <v>7.42</v>
      </c>
      <c r="AH352" s="11">
        <v>0</v>
      </c>
      <c r="AI352" s="11">
        <f t="shared" si="17"/>
        <v>7.42</v>
      </c>
      <c r="AJ352" t="s">
        <v>62</v>
      </c>
    </row>
    <row r="353" spans="1:36" ht="15" customHeight="1" x14ac:dyDescent="0.35">
      <c r="A353">
        <v>10428918</v>
      </c>
      <c r="B353" t="s">
        <v>36</v>
      </c>
      <c r="C353" t="s">
        <v>37</v>
      </c>
      <c r="D353" s="6" t="s">
        <v>38</v>
      </c>
      <c r="E353" t="s">
        <v>1200</v>
      </c>
      <c r="F353" t="s">
        <v>40</v>
      </c>
      <c r="G353" t="s">
        <v>41</v>
      </c>
      <c r="H353" t="s">
        <v>1201</v>
      </c>
      <c r="I353" t="s">
        <v>43</v>
      </c>
      <c r="J353">
        <v>2</v>
      </c>
      <c r="K353" t="s">
        <v>44</v>
      </c>
      <c r="L353" t="s">
        <v>45</v>
      </c>
      <c r="M353" t="s">
        <v>46</v>
      </c>
      <c r="N353" s="7">
        <v>1</v>
      </c>
      <c r="O353" s="8">
        <v>45645.600057870368</v>
      </c>
      <c r="P353" s="9">
        <v>45646</v>
      </c>
      <c r="Q353" t="s">
        <v>74</v>
      </c>
      <c r="R353" t="s">
        <v>48</v>
      </c>
      <c r="S353" t="s">
        <v>49</v>
      </c>
      <c r="T353" t="s">
        <v>59</v>
      </c>
      <c r="U353" t="s">
        <v>1202</v>
      </c>
      <c r="V353">
        <v>22300</v>
      </c>
      <c r="W353" t="s">
        <v>48</v>
      </c>
      <c r="X353" t="s">
        <v>1203</v>
      </c>
      <c r="Y353" t="s">
        <v>54</v>
      </c>
      <c r="Z353" s="12">
        <f>IF(N353&lt;=1,9,9+0.8*ROUNDUP(N353-1,0))</f>
        <v>9</v>
      </c>
      <c r="AA353" s="11">
        <v>-2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5"/>
        <v>0.42</v>
      </c>
      <c r="AG353" s="11">
        <f t="shared" si="16"/>
        <v>7.42</v>
      </c>
      <c r="AH353" s="11">
        <v>0</v>
      </c>
      <c r="AI353" s="11">
        <f t="shared" si="17"/>
        <v>7.42</v>
      </c>
      <c r="AJ353" t="s">
        <v>62</v>
      </c>
    </row>
    <row r="354" spans="1:36" ht="15" customHeight="1" x14ac:dyDescent="0.35">
      <c r="A354">
        <v>10428918</v>
      </c>
      <c r="B354" t="s">
        <v>36</v>
      </c>
      <c r="C354" t="s">
        <v>37</v>
      </c>
      <c r="D354" s="6" t="s">
        <v>38</v>
      </c>
      <c r="E354" t="s">
        <v>1204</v>
      </c>
      <c r="F354" t="s">
        <v>40</v>
      </c>
      <c r="G354" t="s">
        <v>41</v>
      </c>
      <c r="H354" t="s">
        <v>1205</v>
      </c>
      <c r="I354" t="s">
        <v>43</v>
      </c>
      <c r="J354">
        <v>2</v>
      </c>
      <c r="K354" t="s">
        <v>44</v>
      </c>
      <c r="L354" t="s">
        <v>45</v>
      </c>
      <c r="M354" t="s">
        <v>46</v>
      </c>
      <c r="N354" s="7">
        <v>4</v>
      </c>
      <c r="O354" s="8">
        <v>45643.477835648147</v>
      </c>
      <c r="P354" s="9">
        <v>45646</v>
      </c>
      <c r="Q354" t="s">
        <v>74</v>
      </c>
      <c r="R354" t="s">
        <v>48</v>
      </c>
      <c r="S354" t="s">
        <v>49</v>
      </c>
      <c r="T354" t="s">
        <v>50</v>
      </c>
      <c r="U354" t="s">
        <v>1206</v>
      </c>
      <c r="V354">
        <v>90000</v>
      </c>
      <c r="W354" t="s">
        <v>52</v>
      </c>
      <c r="X354" t="s">
        <v>53</v>
      </c>
      <c r="Y354" t="s">
        <v>54</v>
      </c>
      <c r="Z354" s="10">
        <f>IF(N354&lt;=1,13,IF(N354&lt;=2,23,IF(N354&lt;=3,35,IF(N354&lt;=4,43,IF(N354&lt;=5,53,IF(N354&lt;=6,63,IF(N354&lt;=7,71,IF(N354&lt;=8,79,IF(N354&lt;=9,87,IF(N354&lt;=10,95,IF(N354&lt;=11,105,IF(N354&lt;=12,114,IF(N354&lt;=13,119,IF(N354&lt;=14,127,IF(N354&lt;=15,135,IF(N354&lt;=16,143,IF(N354&lt;=17,153,IF(N354&lt;=18,163,IF(N354&lt;=19,171,IF(N354&lt;=20,185,IF(N354&lt;=21,193,IF(N354&lt;=22,201,IF(N354&lt;=23,210,IF(N354&lt;=24,220,IF(N354&lt;=25,230,IF(N354&lt;=26,240,IF(N354&lt;=27,250,IF(N354&lt;=28,260,IF(N354&lt;=29,270,IF(N354&lt;=30,280,280+10*ROUNDUP(N354-30,0)))))))))))))))))))))))))))))))</f>
        <v>43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5"/>
        <v>2.58</v>
      </c>
      <c r="AG354" s="11">
        <f t="shared" si="16"/>
        <v>45.58</v>
      </c>
      <c r="AH354" s="11">
        <v>0</v>
      </c>
      <c r="AI354" s="11">
        <f t="shared" si="17"/>
        <v>45.58</v>
      </c>
      <c r="AJ354" t="s">
        <v>55</v>
      </c>
    </row>
    <row r="355" spans="1:36" ht="15" customHeight="1" x14ac:dyDescent="0.35">
      <c r="A355">
        <v>10428918</v>
      </c>
      <c r="B355" t="s">
        <v>36</v>
      </c>
      <c r="C355" t="s">
        <v>37</v>
      </c>
      <c r="D355" s="6" t="s">
        <v>38</v>
      </c>
      <c r="E355" t="s">
        <v>1207</v>
      </c>
      <c r="F355" t="s">
        <v>40</v>
      </c>
      <c r="G355" t="s">
        <v>41</v>
      </c>
      <c r="H355" t="s">
        <v>1208</v>
      </c>
      <c r="I355" t="s">
        <v>43</v>
      </c>
      <c r="J355">
        <v>2</v>
      </c>
      <c r="K355" t="s">
        <v>44</v>
      </c>
      <c r="L355" t="s">
        <v>45</v>
      </c>
      <c r="M355" t="s">
        <v>46</v>
      </c>
      <c r="N355" s="7">
        <v>1</v>
      </c>
      <c r="O355" s="8">
        <v>45645.60665509259</v>
      </c>
      <c r="P355" s="9">
        <v>45646</v>
      </c>
      <c r="Q355" t="s">
        <v>74</v>
      </c>
      <c r="R355" t="s">
        <v>48</v>
      </c>
      <c r="S355" t="s">
        <v>49</v>
      </c>
      <c r="T355" t="s">
        <v>117</v>
      </c>
      <c r="U355" t="s">
        <v>1209</v>
      </c>
      <c r="V355">
        <v>62250</v>
      </c>
      <c r="W355" t="s">
        <v>48</v>
      </c>
      <c r="X355" t="s">
        <v>53</v>
      </c>
      <c r="Y355" t="s">
        <v>54</v>
      </c>
      <c r="Z355" s="12">
        <f>IF(N355&lt;=1,9,9+0.8*ROUNDUP(N355-1,0))</f>
        <v>9</v>
      </c>
      <c r="AA355" s="11">
        <v>-2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5"/>
        <v>0.42</v>
      </c>
      <c r="AG355" s="11">
        <f t="shared" si="16"/>
        <v>7.42</v>
      </c>
      <c r="AH355" s="11">
        <v>0</v>
      </c>
      <c r="AI355" s="11">
        <f t="shared" si="17"/>
        <v>7.42</v>
      </c>
      <c r="AJ355" t="s">
        <v>62</v>
      </c>
    </row>
    <row r="356" spans="1:36" ht="15" customHeight="1" x14ac:dyDescent="0.35">
      <c r="A356">
        <v>10428918</v>
      </c>
      <c r="B356" t="s">
        <v>36</v>
      </c>
      <c r="C356" t="s">
        <v>37</v>
      </c>
      <c r="D356" s="6" t="s">
        <v>38</v>
      </c>
      <c r="E356" t="s">
        <v>1210</v>
      </c>
      <c r="F356" t="s">
        <v>40</v>
      </c>
      <c r="G356" t="s">
        <v>41</v>
      </c>
      <c r="H356" t="s">
        <v>1211</v>
      </c>
      <c r="I356" t="s">
        <v>43</v>
      </c>
      <c r="J356">
        <v>2</v>
      </c>
      <c r="K356" t="s">
        <v>44</v>
      </c>
      <c r="L356" t="s">
        <v>45</v>
      </c>
      <c r="M356" t="s">
        <v>46</v>
      </c>
      <c r="N356" s="7">
        <v>3</v>
      </c>
      <c r="O356" s="8">
        <v>45644.759988425925</v>
      </c>
      <c r="P356" s="9">
        <v>45646</v>
      </c>
      <c r="Q356" t="s">
        <v>74</v>
      </c>
      <c r="R356" t="s">
        <v>48</v>
      </c>
      <c r="S356" t="s">
        <v>49</v>
      </c>
      <c r="T356" t="s">
        <v>117</v>
      </c>
      <c r="U356" t="s">
        <v>1212</v>
      </c>
      <c r="V356">
        <v>41000</v>
      </c>
      <c r="W356" t="s">
        <v>48</v>
      </c>
      <c r="X356" t="s">
        <v>662</v>
      </c>
      <c r="Y356" t="s">
        <v>54</v>
      </c>
      <c r="Z356" s="12">
        <f>IF(N356&lt;=1,9,9+0.8*ROUNDUP(N356-1,0))</f>
        <v>10.6</v>
      </c>
      <c r="AA356" s="11">
        <v>-2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5"/>
        <v>0.51600000000000001</v>
      </c>
      <c r="AG356" s="11">
        <f t="shared" si="16"/>
        <v>9.1159999999999997</v>
      </c>
      <c r="AH356" s="11">
        <v>0</v>
      </c>
      <c r="AI356" s="11">
        <f t="shared" si="17"/>
        <v>9.1159999999999997</v>
      </c>
      <c r="AJ356" t="s">
        <v>62</v>
      </c>
    </row>
    <row r="357" spans="1:36" ht="15" customHeight="1" x14ac:dyDescent="0.35">
      <c r="A357">
        <v>10428918</v>
      </c>
      <c r="B357" t="s">
        <v>36</v>
      </c>
      <c r="C357" t="s">
        <v>37</v>
      </c>
      <c r="D357" s="6" t="s">
        <v>38</v>
      </c>
      <c r="E357" t="s">
        <v>1213</v>
      </c>
      <c r="F357" t="s">
        <v>40</v>
      </c>
      <c r="G357" t="s">
        <v>41</v>
      </c>
      <c r="H357" t="s">
        <v>1214</v>
      </c>
      <c r="I357" t="s">
        <v>43</v>
      </c>
      <c r="J357">
        <v>2</v>
      </c>
      <c r="K357" t="s">
        <v>44</v>
      </c>
      <c r="L357" t="s">
        <v>45</v>
      </c>
      <c r="M357" t="s">
        <v>46</v>
      </c>
      <c r="N357" s="7">
        <v>1</v>
      </c>
      <c r="O357" s="8">
        <v>45644.8124537037</v>
      </c>
      <c r="P357" s="9">
        <v>45646</v>
      </c>
      <c r="Q357" t="s">
        <v>74</v>
      </c>
      <c r="R357" t="s">
        <v>48</v>
      </c>
      <c r="S357" t="s">
        <v>49</v>
      </c>
      <c r="T357" t="s">
        <v>117</v>
      </c>
      <c r="U357" t="s">
        <v>1215</v>
      </c>
      <c r="V357">
        <v>42920</v>
      </c>
      <c r="W357" t="s">
        <v>48</v>
      </c>
      <c r="X357" t="s">
        <v>53</v>
      </c>
      <c r="Y357" t="s">
        <v>54</v>
      </c>
      <c r="Z357" s="12">
        <f>IF(N357&lt;=1,9,9+0.8*ROUNDUP(N357-1,0))</f>
        <v>9</v>
      </c>
      <c r="AA357" s="11">
        <v>-2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5"/>
        <v>0.42</v>
      </c>
      <c r="AG357" s="11">
        <f t="shared" si="16"/>
        <v>7.42</v>
      </c>
      <c r="AH357" s="11">
        <v>0</v>
      </c>
      <c r="AI357" s="11">
        <f t="shared" si="17"/>
        <v>7.42</v>
      </c>
      <c r="AJ357" t="s">
        <v>62</v>
      </c>
    </row>
    <row r="358" spans="1:36" ht="15" customHeight="1" x14ac:dyDescent="0.35">
      <c r="A358">
        <v>10428918</v>
      </c>
      <c r="B358" t="s">
        <v>36</v>
      </c>
      <c r="C358" t="s">
        <v>37</v>
      </c>
      <c r="D358" s="6" t="s">
        <v>38</v>
      </c>
      <c r="E358" t="s">
        <v>1216</v>
      </c>
      <c r="F358" t="s">
        <v>40</v>
      </c>
      <c r="G358" t="s">
        <v>41</v>
      </c>
      <c r="H358" t="s">
        <v>1217</v>
      </c>
      <c r="I358" t="s">
        <v>43</v>
      </c>
      <c r="J358">
        <v>2</v>
      </c>
      <c r="K358" t="s">
        <v>44</v>
      </c>
      <c r="L358" t="s">
        <v>45</v>
      </c>
      <c r="M358" t="s">
        <v>46</v>
      </c>
      <c r="N358" s="7">
        <v>1</v>
      </c>
      <c r="O358" s="8">
        <v>45643.629641203705</v>
      </c>
      <c r="P358" s="9">
        <v>45646</v>
      </c>
      <c r="Q358" t="s">
        <v>74</v>
      </c>
      <c r="R358" t="s">
        <v>48</v>
      </c>
      <c r="S358" t="s">
        <v>49</v>
      </c>
      <c r="T358" t="s">
        <v>161</v>
      </c>
      <c r="U358" t="s">
        <v>1218</v>
      </c>
      <c r="V358">
        <v>13300</v>
      </c>
      <c r="W358" t="s">
        <v>48</v>
      </c>
      <c r="X358" t="s">
        <v>53</v>
      </c>
      <c r="Y358" t="s">
        <v>54</v>
      </c>
      <c r="Z358" s="12">
        <f>IF(N358&lt;=1,9,9+0.8*ROUNDUP(N358-1,0))</f>
        <v>9</v>
      </c>
      <c r="AA358" s="11">
        <v>-2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5"/>
        <v>0.42</v>
      </c>
      <c r="AG358" s="11">
        <f t="shared" si="16"/>
        <v>7.42</v>
      </c>
      <c r="AH358" s="11">
        <v>0</v>
      </c>
      <c r="AI358" s="11">
        <f t="shared" si="17"/>
        <v>7.42</v>
      </c>
      <c r="AJ358" t="s">
        <v>62</v>
      </c>
    </row>
    <row r="359" spans="1:36" ht="15" customHeight="1" x14ac:dyDescent="0.35">
      <c r="A359">
        <v>10428918</v>
      </c>
      <c r="B359" t="s">
        <v>36</v>
      </c>
      <c r="C359" t="s">
        <v>37</v>
      </c>
      <c r="D359" s="6" t="s">
        <v>38</v>
      </c>
      <c r="E359" t="s">
        <v>1219</v>
      </c>
      <c r="F359" t="s">
        <v>40</v>
      </c>
      <c r="G359" t="s">
        <v>41</v>
      </c>
      <c r="H359" t="s">
        <v>1220</v>
      </c>
      <c r="I359" t="s">
        <v>43</v>
      </c>
      <c r="J359">
        <v>2</v>
      </c>
      <c r="K359" t="s">
        <v>44</v>
      </c>
      <c r="L359" t="s">
        <v>45</v>
      </c>
      <c r="M359" t="s">
        <v>46</v>
      </c>
      <c r="N359" s="7">
        <v>2</v>
      </c>
      <c r="O359" s="8">
        <v>45644.8124537037</v>
      </c>
      <c r="P359" s="9">
        <v>45646</v>
      </c>
      <c r="Q359" t="s">
        <v>74</v>
      </c>
      <c r="R359" t="s">
        <v>48</v>
      </c>
      <c r="S359" t="s">
        <v>49</v>
      </c>
      <c r="T359" t="s">
        <v>59</v>
      </c>
      <c r="U359" t="s">
        <v>1221</v>
      </c>
      <c r="V359">
        <v>16700</v>
      </c>
      <c r="W359" t="s">
        <v>48</v>
      </c>
      <c r="X359" t="s">
        <v>61</v>
      </c>
      <c r="Y359" t="s">
        <v>54</v>
      </c>
      <c r="Z359" s="12">
        <f>IF(N359&lt;=1,9,9+0.8*ROUNDUP(N359-1,0))</f>
        <v>9.8000000000000007</v>
      </c>
      <c r="AA359" s="11">
        <v>-2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5"/>
        <v>0.46800000000000003</v>
      </c>
      <c r="AG359" s="11">
        <f t="shared" si="16"/>
        <v>8.2680000000000007</v>
      </c>
      <c r="AH359" s="11">
        <v>0</v>
      </c>
      <c r="AI359" s="11">
        <f t="shared" si="17"/>
        <v>8.2680000000000007</v>
      </c>
      <c r="AJ359" t="s">
        <v>62</v>
      </c>
    </row>
    <row r="360" spans="1:36" ht="15" customHeight="1" x14ac:dyDescent="0.35">
      <c r="A360">
        <v>10428918</v>
      </c>
      <c r="B360" t="s">
        <v>36</v>
      </c>
      <c r="C360" t="s">
        <v>37</v>
      </c>
      <c r="D360" s="6" t="s">
        <v>38</v>
      </c>
      <c r="E360" t="s">
        <v>1222</v>
      </c>
      <c r="F360" t="s">
        <v>40</v>
      </c>
      <c r="G360" t="s">
        <v>41</v>
      </c>
      <c r="H360" t="s">
        <v>1223</v>
      </c>
      <c r="I360" t="s">
        <v>43</v>
      </c>
      <c r="J360">
        <v>2</v>
      </c>
      <c r="K360" t="s">
        <v>44</v>
      </c>
      <c r="L360" t="s">
        <v>45</v>
      </c>
      <c r="M360" t="s">
        <v>46</v>
      </c>
      <c r="N360" s="7">
        <v>2</v>
      </c>
      <c r="O360" s="8">
        <v>45644.815775462965</v>
      </c>
      <c r="P360" s="9">
        <v>45646</v>
      </c>
      <c r="Q360" t="s">
        <v>74</v>
      </c>
      <c r="R360" t="s">
        <v>48</v>
      </c>
      <c r="S360" t="s">
        <v>49</v>
      </c>
      <c r="T360" t="s">
        <v>75</v>
      </c>
      <c r="U360" t="s">
        <v>1224</v>
      </c>
      <c r="V360">
        <v>28000</v>
      </c>
      <c r="W360" t="s">
        <v>48</v>
      </c>
      <c r="X360" t="s">
        <v>77</v>
      </c>
      <c r="Y360" t="s">
        <v>54</v>
      </c>
      <c r="Z360" s="12">
        <f>IF(N360&lt;=1,9,9+0.8*ROUNDUP(N360-1,0))</f>
        <v>9.8000000000000007</v>
      </c>
      <c r="AA360" s="11">
        <v>-2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5"/>
        <v>0.46800000000000003</v>
      </c>
      <c r="AG360" s="11">
        <f t="shared" si="16"/>
        <v>8.2680000000000007</v>
      </c>
      <c r="AH360" s="11">
        <v>0</v>
      </c>
      <c r="AI360" s="11">
        <f t="shared" si="17"/>
        <v>8.2680000000000007</v>
      </c>
      <c r="AJ360" t="s">
        <v>62</v>
      </c>
    </row>
    <row r="361" spans="1:36" ht="15" customHeight="1" x14ac:dyDescent="0.35">
      <c r="A361">
        <v>10428918</v>
      </c>
      <c r="B361" t="s">
        <v>36</v>
      </c>
      <c r="C361" t="s">
        <v>37</v>
      </c>
      <c r="D361" s="6" t="s">
        <v>38</v>
      </c>
      <c r="E361" t="s">
        <v>1225</v>
      </c>
      <c r="F361" t="s">
        <v>40</v>
      </c>
      <c r="G361" t="s">
        <v>41</v>
      </c>
      <c r="H361" t="s">
        <v>1226</v>
      </c>
      <c r="I361" t="s">
        <v>43</v>
      </c>
      <c r="J361">
        <v>2</v>
      </c>
      <c r="K361" t="s">
        <v>44</v>
      </c>
      <c r="L361" t="s">
        <v>45</v>
      </c>
      <c r="M361" t="s">
        <v>46</v>
      </c>
      <c r="N361" s="7">
        <v>2</v>
      </c>
      <c r="O361" s="8">
        <v>45643.629629629628</v>
      </c>
      <c r="P361" s="9">
        <v>45646</v>
      </c>
      <c r="Q361" t="s">
        <v>74</v>
      </c>
      <c r="R361" t="s">
        <v>48</v>
      </c>
      <c r="S361" t="s">
        <v>49</v>
      </c>
      <c r="T361" t="s">
        <v>161</v>
      </c>
      <c r="U361" t="s">
        <v>1227</v>
      </c>
      <c r="V361">
        <v>11600</v>
      </c>
      <c r="W361" t="s">
        <v>48</v>
      </c>
      <c r="X361" t="s">
        <v>163</v>
      </c>
      <c r="Y361" t="s">
        <v>54</v>
      </c>
      <c r="Z361" s="12">
        <f>IF(N361&lt;=1,9,9+0.8*ROUNDUP(N361-1,0))</f>
        <v>9.8000000000000007</v>
      </c>
      <c r="AA361" s="11">
        <v>-2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5"/>
        <v>0.46800000000000003</v>
      </c>
      <c r="AG361" s="11">
        <f t="shared" si="16"/>
        <v>8.2680000000000007</v>
      </c>
      <c r="AH361" s="11">
        <v>0</v>
      </c>
      <c r="AI361" s="11">
        <f t="shared" si="17"/>
        <v>8.2680000000000007</v>
      </c>
      <c r="AJ361" t="s">
        <v>62</v>
      </c>
    </row>
    <row r="362" spans="1:36" ht="15" customHeight="1" x14ac:dyDescent="0.35">
      <c r="A362">
        <v>10428918</v>
      </c>
      <c r="B362" t="s">
        <v>36</v>
      </c>
      <c r="C362" t="s">
        <v>37</v>
      </c>
      <c r="D362" s="6" t="s">
        <v>38</v>
      </c>
      <c r="E362" t="s">
        <v>1228</v>
      </c>
      <c r="F362" t="s">
        <v>40</v>
      </c>
      <c r="G362" t="s">
        <v>41</v>
      </c>
      <c r="H362" t="s">
        <v>1229</v>
      </c>
      <c r="I362" t="s">
        <v>43</v>
      </c>
      <c r="J362">
        <v>2</v>
      </c>
      <c r="K362" t="s">
        <v>44</v>
      </c>
      <c r="L362" t="s">
        <v>45</v>
      </c>
      <c r="M362" t="s">
        <v>46</v>
      </c>
      <c r="N362" s="7">
        <v>2</v>
      </c>
      <c r="O362" s="8">
        <v>45645.73201388889</v>
      </c>
      <c r="P362" s="9">
        <v>45646</v>
      </c>
      <c r="Q362" t="s">
        <v>74</v>
      </c>
      <c r="R362" t="s">
        <v>48</v>
      </c>
      <c r="S362" t="s">
        <v>49</v>
      </c>
      <c r="T362" t="s">
        <v>75</v>
      </c>
      <c r="U362" t="s">
        <v>1230</v>
      </c>
      <c r="V362">
        <v>25150</v>
      </c>
      <c r="W362" t="s">
        <v>48</v>
      </c>
      <c r="X362" t="s">
        <v>316</v>
      </c>
      <c r="Y362" t="s">
        <v>54</v>
      </c>
      <c r="Z362" s="12">
        <f>IF(N362&lt;=1,9,9+0.8*ROUNDUP(N362-1,0))</f>
        <v>9.8000000000000007</v>
      </c>
      <c r="AA362" s="11">
        <v>-2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5"/>
        <v>0.46800000000000003</v>
      </c>
      <c r="AG362" s="11">
        <f t="shared" si="16"/>
        <v>8.2680000000000007</v>
      </c>
      <c r="AH362" s="11">
        <v>0</v>
      </c>
      <c r="AI362" s="11">
        <f t="shared" si="17"/>
        <v>8.2680000000000007</v>
      </c>
      <c r="AJ362" t="s">
        <v>62</v>
      </c>
    </row>
    <row r="363" spans="1:36" ht="15" customHeight="1" x14ac:dyDescent="0.35">
      <c r="A363">
        <v>10428918</v>
      </c>
      <c r="B363" t="s">
        <v>36</v>
      </c>
      <c r="C363" t="s">
        <v>37</v>
      </c>
      <c r="D363" s="6" t="s">
        <v>38</v>
      </c>
      <c r="E363" t="s">
        <v>1231</v>
      </c>
      <c r="F363" t="s">
        <v>40</v>
      </c>
      <c r="G363" t="s">
        <v>41</v>
      </c>
      <c r="H363" t="s">
        <v>1232</v>
      </c>
      <c r="I363" t="s">
        <v>43</v>
      </c>
      <c r="J363">
        <v>2</v>
      </c>
      <c r="K363" t="s">
        <v>44</v>
      </c>
      <c r="L363" t="s">
        <v>45</v>
      </c>
      <c r="M363" t="s">
        <v>46</v>
      </c>
      <c r="N363" s="7">
        <v>2</v>
      </c>
      <c r="O363" s="8">
        <v>45644.429548611108</v>
      </c>
      <c r="P363" s="9">
        <v>45646</v>
      </c>
      <c r="Q363" t="s">
        <v>74</v>
      </c>
      <c r="R363" t="s">
        <v>48</v>
      </c>
      <c r="S363" t="s">
        <v>49</v>
      </c>
      <c r="T363" t="s">
        <v>80</v>
      </c>
      <c r="U363" t="s">
        <v>1233</v>
      </c>
      <c r="V363">
        <v>8000</v>
      </c>
      <c r="W363" t="s">
        <v>48</v>
      </c>
      <c r="X363" t="s">
        <v>145</v>
      </c>
      <c r="Y363" t="s">
        <v>54</v>
      </c>
      <c r="Z363" s="12">
        <f>IF(N363&lt;=1,9,9+0.8*ROUNDUP(N363-1,0))</f>
        <v>9.8000000000000007</v>
      </c>
      <c r="AA363" s="11">
        <v>-2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5"/>
        <v>0.46800000000000003</v>
      </c>
      <c r="AG363" s="11">
        <f t="shared" si="16"/>
        <v>8.2680000000000007</v>
      </c>
      <c r="AH363" s="11">
        <v>0</v>
      </c>
      <c r="AI363" s="11">
        <f t="shared" si="17"/>
        <v>8.2680000000000007</v>
      </c>
      <c r="AJ363" t="s">
        <v>62</v>
      </c>
    </row>
    <row r="364" spans="1:36" ht="15" customHeight="1" x14ac:dyDescent="0.35">
      <c r="A364">
        <v>10428918</v>
      </c>
      <c r="B364" t="s">
        <v>36</v>
      </c>
      <c r="C364" t="s">
        <v>37</v>
      </c>
      <c r="D364" s="6" t="s">
        <v>38</v>
      </c>
      <c r="E364" t="s">
        <v>1234</v>
      </c>
      <c r="F364" t="s">
        <v>40</v>
      </c>
      <c r="G364" t="s">
        <v>41</v>
      </c>
      <c r="H364" t="s">
        <v>1235</v>
      </c>
      <c r="I364" t="s">
        <v>43</v>
      </c>
      <c r="J364">
        <v>2</v>
      </c>
      <c r="K364" t="s">
        <v>44</v>
      </c>
      <c r="L364" t="s">
        <v>45</v>
      </c>
      <c r="M364" t="s">
        <v>46</v>
      </c>
      <c r="N364" s="7">
        <v>2</v>
      </c>
      <c r="O364" s="8">
        <v>45644.521805555552</v>
      </c>
      <c r="P364" s="9">
        <v>45646</v>
      </c>
      <c r="Q364" t="s">
        <v>74</v>
      </c>
      <c r="R364" t="s">
        <v>48</v>
      </c>
      <c r="S364" t="s">
        <v>49</v>
      </c>
      <c r="T364" t="s">
        <v>80</v>
      </c>
      <c r="U364" t="s">
        <v>1236</v>
      </c>
      <c r="V364">
        <v>8100</v>
      </c>
      <c r="W364" t="s">
        <v>48</v>
      </c>
      <c r="X364" t="s">
        <v>141</v>
      </c>
      <c r="Y364" t="s">
        <v>54</v>
      </c>
      <c r="Z364" s="12">
        <f>IF(N364&lt;=1,9,9+0.8*ROUNDUP(N364-1,0))</f>
        <v>9.8000000000000007</v>
      </c>
      <c r="AA364" s="11">
        <v>-2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5"/>
        <v>0.46800000000000003</v>
      </c>
      <c r="AG364" s="11">
        <f t="shared" si="16"/>
        <v>8.2680000000000007</v>
      </c>
      <c r="AH364" s="11">
        <v>0</v>
      </c>
      <c r="AI364" s="11">
        <f t="shared" si="17"/>
        <v>8.2680000000000007</v>
      </c>
      <c r="AJ364" t="s">
        <v>62</v>
      </c>
    </row>
    <row r="365" spans="1:36" ht="15" customHeight="1" x14ac:dyDescent="0.35">
      <c r="A365">
        <v>10428918</v>
      </c>
      <c r="B365" t="s">
        <v>36</v>
      </c>
      <c r="C365" t="s">
        <v>37</v>
      </c>
      <c r="D365" s="6" t="s">
        <v>38</v>
      </c>
      <c r="E365" t="s">
        <v>1237</v>
      </c>
      <c r="F365" t="s">
        <v>40</v>
      </c>
      <c r="G365" t="s">
        <v>41</v>
      </c>
      <c r="H365" t="s">
        <v>1238</v>
      </c>
      <c r="I365" t="s">
        <v>43</v>
      </c>
      <c r="J365">
        <v>2</v>
      </c>
      <c r="K365" t="s">
        <v>44</v>
      </c>
      <c r="L365" t="s">
        <v>45</v>
      </c>
      <c r="M365" t="s">
        <v>46</v>
      </c>
      <c r="N365" s="7">
        <v>6</v>
      </c>
      <c r="O365" s="8">
        <v>45644.751585648148</v>
      </c>
      <c r="P365" s="9">
        <v>45646</v>
      </c>
      <c r="Q365" t="s">
        <v>74</v>
      </c>
      <c r="R365" t="s">
        <v>48</v>
      </c>
      <c r="S365" t="s">
        <v>49</v>
      </c>
      <c r="T365" t="s">
        <v>117</v>
      </c>
      <c r="U365" t="s">
        <v>1239</v>
      </c>
      <c r="V365">
        <v>40170</v>
      </c>
      <c r="W365" t="s">
        <v>48</v>
      </c>
      <c r="X365" t="s">
        <v>429</v>
      </c>
      <c r="Y365" t="s">
        <v>54</v>
      </c>
      <c r="Z365" s="12">
        <f>IF(N365&lt;=1,9,9+0.8*ROUNDUP(N365-1,0))</f>
        <v>13</v>
      </c>
      <c r="AA365" s="11">
        <v>-2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5"/>
        <v>0.65999999999999992</v>
      </c>
      <c r="AG365" s="11">
        <f t="shared" si="16"/>
        <v>11.66</v>
      </c>
      <c r="AH365" s="11">
        <v>0</v>
      </c>
      <c r="AI365" s="11">
        <f t="shared" si="17"/>
        <v>11.66</v>
      </c>
      <c r="AJ365" t="s">
        <v>62</v>
      </c>
    </row>
    <row r="366" spans="1:36" ht="15" customHeight="1" x14ac:dyDescent="0.35">
      <c r="A366">
        <v>10428918</v>
      </c>
      <c r="B366" t="s">
        <v>36</v>
      </c>
      <c r="C366" t="s">
        <v>37</v>
      </c>
      <c r="D366" s="6" t="s">
        <v>38</v>
      </c>
      <c r="E366" t="s">
        <v>1240</v>
      </c>
      <c r="F366" t="s">
        <v>40</v>
      </c>
      <c r="G366" t="s">
        <v>41</v>
      </c>
      <c r="H366" t="s">
        <v>1241</v>
      </c>
      <c r="I366" t="s">
        <v>43</v>
      </c>
      <c r="J366">
        <v>2</v>
      </c>
      <c r="K366" t="s">
        <v>44</v>
      </c>
      <c r="L366" t="s">
        <v>45</v>
      </c>
      <c r="M366" t="s">
        <v>46</v>
      </c>
      <c r="N366" s="7">
        <v>1</v>
      </c>
      <c r="O366" s="8">
        <v>45644.429537037038</v>
      </c>
      <c r="P366" s="9">
        <v>45646</v>
      </c>
      <c r="Q366" t="s">
        <v>74</v>
      </c>
      <c r="R366" t="s">
        <v>48</v>
      </c>
      <c r="S366" t="s">
        <v>49</v>
      </c>
      <c r="T366" t="s">
        <v>69</v>
      </c>
      <c r="U366" t="s">
        <v>1242</v>
      </c>
      <c r="V366">
        <v>81800</v>
      </c>
      <c r="W366" t="s">
        <v>48</v>
      </c>
      <c r="X366" t="s">
        <v>53</v>
      </c>
      <c r="Y366" t="s">
        <v>54</v>
      </c>
      <c r="Z366" s="12">
        <f>IF(N366&lt;=1,9,9+0.8*ROUNDUP(N366-1,0))</f>
        <v>9</v>
      </c>
      <c r="AA366" s="11">
        <v>-2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5"/>
        <v>0.42</v>
      </c>
      <c r="AG366" s="11">
        <f t="shared" si="16"/>
        <v>7.42</v>
      </c>
      <c r="AH366" s="11">
        <v>0</v>
      </c>
      <c r="AI366" s="11">
        <f t="shared" si="17"/>
        <v>7.42</v>
      </c>
      <c r="AJ366" t="s">
        <v>62</v>
      </c>
    </row>
    <row r="367" spans="1:36" ht="15" customHeight="1" x14ac:dyDescent="0.35">
      <c r="A367">
        <v>10428918</v>
      </c>
      <c r="B367" t="s">
        <v>36</v>
      </c>
      <c r="C367" t="s">
        <v>37</v>
      </c>
      <c r="D367" s="6" t="s">
        <v>38</v>
      </c>
      <c r="E367" t="s">
        <v>1243</v>
      </c>
      <c r="F367" t="s">
        <v>40</v>
      </c>
      <c r="G367" t="s">
        <v>41</v>
      </c>
      <c r="H367" t="s">
        <v>1244</v>
      </c>
      <c r="I367" t="s">
        <v>43</v>
      </c>
      <c r="J367">
        <v>2</v>
      </c>
      <c r="K367" t="s">
        <v>44</v>
      </c>
      <c r="L367" t="s">
        <v>45</v>
      </c>
      <c r="M367" t="s">
        <v>46</v>
      </c>
      <c r="N367" s="7">
        <v>1</v>
      </c>
      <c r="O367" s="8">
        <v>45645.716585648152</v>
      </c>
      <c r="P367" s="9">
        <v>45646</v>
      </c>
      <c r="Q367" t="s">
        <v>74</v>
      </c>
      <c r="R367" t="s">
        <v>48</v>
      </c>
      <c r="S367" t="s">
        <v>49</v>
      </c>
      <c r="T367" t="s">
        <v>117</v>
      </c>
      <c r="U367" t="s">
        <v>1245</v>
      </c>
      <c r="V367">
        <v>45600</v>
      </c>
      <c r="W367" t="s">
        <v>48</v>
      </c>
      <c r="X367" t="s">
        <v>53</v>
      </c>
      <c r="Y367" t="s">
        <v>54</v>
      </c>
      <c r="Z367" s="12">
        <f>IF(N367&lt;=1,9,9+0.8*ROUNDUP(N367-1,0))</f>
        <v>9</v>
      </c>
      <c r="AA367" s="11">
        <v>-2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5"/>
        <v>0.42</v>
      </c>
      <c r="AG367" s="11">
        <f t="shared" si="16"/>
        <v>7.42</v>
      </c>
      <c r="AH367" s="11">
        <v>0</v>
      </c>
      <c r="AI367" s="11">
        <f t="shared" si="17"/>
        <v>7.42</v>
      </c>
      <c r="AJ367" t="s">
        <v>62</v>
      </c>
    </row>
    <row r="368" spans="1:36" ht="15" customHeight="1" x14ac:dyDescent="0.35">
      <c r="A368">
        <v>10428918</v>
      </c>
      <c r="B368" t="s">
        <v>36</v>
      </c>
      <c r="C368" t="s">
        <v>37</v>
      </c>
      <c r="D368" s="6" t="s">
        <v>38</v>
      </c>
      <c r="E368" t="s">
        <v>1246</v>
      </c>
      <c r="F368" t="s">
        <v>40</v>
      </c>
      <c r="G368" t="s">
        <v>41</v>
      </c>
      <c r="H368" t="s">
        <v>1247</v>
      </c>
      <c r="I368" t="s">
        <v>43</v>
      </c>
      <c r="J368">
        <v>2</v>
      </c>
      <c r="K368" t="s">
        <v>44</v>
      </c>
      <c r="L368" t="s">
        <v>45</v>
      </c>
      <c r="M368" t="s">
        <v>46</v>
      </c>
      <c r="N368" s="7">
        <v>1</v>
      </c>
      <c r="O368" s="8">
        <v>45644.812442129631</v>
      </c>
      <c r="P368" s="9">
        <v>45646</v>
      </c>
      <c r="Q368" t="s">
        <v>74</v>
      </c>
      <c r="R368" t="s">
        <v>48</v>
      </c>
      <c r="S368" t="s">
        <v>49</v>
      </c>
      <c r="T368" t="s">
        <v>75</v>
      </c>
      <c r="U368" t="s">
        <v>1248</v>
      </c>
      <c r="V368">
        <v>27500</v>
      </c>
      <c r="W368" t="s">
        <v>48</v>
      </c>
      <c r="X368" t="s">
        <v>77</v>
      </c>
      <c r="Y368" t="s">
        <v>54</v>
      </c>
      <c r="Z368" s="12">
        <f>IF(N368&lt;=1,9,9+0.8*ROUNDUP(N368-1,0))</f>
        <v>9</v>
      </c>
      <c r="AA368" s="11">
        <v>-2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5"/>
        <v>0.42</v>
      </c>
      <c r="AG368" s="11">
        <f t="shared" si="16"/>
        <v>7.42</v>
      </c>
      <c r="AH368" s="11">
        <v>0</v>
      </c>
      <c r="AI368" s="11">
        <f t="shared" si="17"/>
        <v>7.42</v>
      </c>
      <c r="AJ368" t="s">
        <v>62</v>
      </c>
    </row>
    <row r="369" spans="1:36" ht="15" customHeight="1" x14ac:dyDescent="0.35">
      <c r="A369">
        <v>10428918</v>
      </c>
      <c r="B369" t="s">
        <v>36</v>
      </c>
      <c r="C369" t="s">
        <v>37</v>
      </c>
      <c r="D369" s="6" t="s">
        <v>38</v>
      </c>
      <c r="E369" t="s">
        <v>1249</v>
      </c>
      <c r="F369" t="s">
        <v>40</v>
      </c>
      <c r="G369" t="s">
        <v>41</v>
      </c>
      <c r="H369" t="s">
        <v>1250</v>
      </c>
      <c r="I369" t="s">
        <v>43</v>
      </c>
      <c r="J369">
        <v>2</v>
      </c>
      <c r="K369" t="s">
        <v>44</v>
      </c>
      <c r="L369" t="s">
        <v>45</v>
      </c>
      <c r="M369" t="s">
        <v>46</v>
      </c>
      <c r="N369" s="7">
        <v>1</v>
      </c>
      <c r="O369" s="8">
        <v>45643.637118055558</v>
      </c>
      <c r="P369" s="9">
        <v>45646</v>
      </c>
      <c r="Q369" t="s">
        <v>74</v>
      </c>
      <c r="R369" t="s">
        <v>48</v>
      </c>
      <c r="S369" t="s">
        <v>49</v>
      </c>
      <c r="T369" t="s">
        <v>80</v>
      </c>
      <c r="U369" t="s">
        <v>1251</v>
      </c>
      <c r="V369">
        <v>9700</v>
      </c>
      <c r="W369" t="s">
        <v>48</v>
      </c>
      <c r="X369" t="s">
        <v>690</v>
      </c>
      <c r="Y369" t="s">
        <v>54</v>
      </c>
      <c r="Z369" s="12">
        <f>IF(N369&lt;=1,9,9+0.8*ROUNDUP(N369-1,0))</f>
        <v>9</v>
      </c>
      <c r="AA369" s="11">
        <v>-2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5"/>
        <v>0.42</v>
      </c>
      <c r="AG369" s="11">
        <f t="shared" si="16"/>
        <v>7.42</v>
      </c>
      <c r="AH369" s="11">
        <v>0</v>
      </c>
      <c r="AI369" s="11">
        <f t="shared" si="17"/>
        <v>7.42</v>
      </c>
      <c r="AJ369" t="s">
        <v>62</v>
      </c>
    </row>
    <row r="370" spans="1:36" ht="15" customHeight="1" x14ac:dyDescent="0.35">
      <c r="A370">
        <v>10428918</v>
      </c>
      <c r="B370" t="s">
        <v>36</v>
      </c>
      <c r="C370" t="s">
        <v>37</v>
      </c>
      <c r="D370" s="6" t="s">
        <v>38</v>
      </c>
      <c r="E370" t="s">
        <v>1252</v>
      </c>
      <c r="F370" t="s">
        <v>40</v>
      </c>
      <c r="G370" t="s">
        <v>41</v>
      </c>
      <c r="H370" t="s">
        <v>1253</v>
      </c>
      <c r="I370" t="s">
        <v>43</v>
      </c>
      <c r="J370">
        <v>2</v>
      </c>
      <c r="K370" t="s">
        <v>44</v>
      </c>
      <c r="L370" t="s">
        <v>45</v>
      </c>
      <c r="M370" t="s">
        <v>46</v>
      </c>
      <c r="N370" s="7">
        <v>1</v>
      </c>
      <c r="O370" s="8">
        <v>45645.60665509259</v>
      </c>
      <c r="P370" s="9">
        <v>45646</v>
      </c>
      <c r="Q370" t="s">
        <v>74</v>
      </c>
      <c r="R370" t="s">
        <v>48</v>
      </c>
      <c r="S370" t="s">
        <v>49</v>
      </c>
      <c r="T370" t="s">
        <v>117</v>
      </c>
      <c r="U370" t="s">
        <v>1254</v>
      </c>
      <c r="V370">
        <v>48300</v>
      </c>
      <c r="W370" t="s">
        <v>48</v>
      </c>
      <c r="X370" t="s">
        <v>53</v>
      </c>
      <c r="Y370" t="s">
        <v>54</v>
      </c>
      <c r="Z370" s="12">
        <f>IF(N370&lt;=1,9,9+0.8*ROUNDUP(N370-1,0))</f>
        <v>9</v>
      </c>
      <c r="AA370" s="11">
        <v>-2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5"/>
        <v>0.42</v>
      </c>
      <c r="AG370" s="11">
        <f t="shared" si="16"/>
        <v>7.42</v>
      </c>
      <c r="AH370" s="11">
        <v>0</v>
      </c>
      <c r="AI370" s="11">
        <f t="shared" si="17"/>
        <v>7.42</v>
      </c>
      <c r="AJ370" t="s">
        <v>62</v>
      </c>
    </row>
    <row r="371" spans="1:36" ht="15" customHeight="1" x14ac:dyDescent="0.35">
      <c r="A371">
        <v>10428918</v>
      </c>
      <c r="B371" t="s">
        <v>36</v>
      </c>
      <c r="C371" t="s">
        <v>37</v>
      </c>
      <c r="D371" s="6" t="s">
        <v>38</v>
      </c>
      <c r="E371" t="s">
        <v>1255</v>
      </c>
      <c r="F371" t="s">
        <v>40</v>
      </c>
      <c r="G371" t="s">
        <v>41</v>
      </c>
      <c r="H371" t="s">
        <v>1256</v>
      </c>
      <c r="I371" t="s">
        <v>43</v>
      </c>
      <c r="J371">
        <v>2</v>
      </c>
      <c r="K371" t="s">
        <v>44</v>
      </c>
      <c r="L371" t="s">
        <v>45</v>
      </c>
      <c r="M371" t="s">
        <v>46</v>
      </c>
      <c r="N371" s="7">
        <v>1</v>
      </c>
      <c r="O371" s="8">
        <v>45645.695949074077</v>
      </c>
      <c r="P371" s="9">
        <v>45646</v>
      </c>
      <c r="Q371" t="s">
        <v>74</v>
      </c>
      <c r="R371" t="s">
        <v>48</v>
      </c>
      <c r="S371" t="s">
        <v>49</v>
      </c>
      <c r="T371" t="s">
        <v>90</v>
      </c>
      <c r="U371" t="s">
        <v>1257</v>
      </c>
      <c r="V371">
        <v>21400</v>
      </c>
      <c r="W371" t="s">
        <v>48</v>
      </c>
      <c r="X371" t="s">
        <v>92</v>
      </c>
      <c r="Y371" t="s">
        <v>54</v>
      </c>
      <c r="Z371" s="12">
        <f>IF(N371&lt;=1,9,9+0.8*ROUNDUP(N371-1,0))</f>
        <v>9</v>
      </c>
      <c r="AA371" s="11">
        <v>-2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5"/>
        <v>0.42</v>
      </c>
      <c r="AG371" s="11">
        <f t="shared" si="16"/>
        <v>7.42</v>
      </c>
      <c r="AH371" s="11">
        <v>0</v>
      </c>
      <c r="AI371" s="11">
        <f t="shared" si="17"/>
        <v>7.42</v>
      </c>
      <c r="AJ371" t="s">
        <v>62</v>
      </c>
    </row>
    <row r="372" spans="1:36" ht="15" customHeight="1" x14ac:dyDescent="0.35">
      <c r="A372">
        <v>10428918</v>
      </c>
      <c r="B372" t="s">
        <v>36</v>
      </c>
      <c r="C372" t="s">
        <v>37</v>
      </c>
      <c r="D372" s="6" t="s">
        <v>38</v>
      </c>
      <c r="E372" t="s">
        <v>1258</v>
      </c>
      <c r="F372" t="s">
        <v>40</v>
      </c>
      <c r="G372" t="s">
        <v>41</v>
      </c>
      <c r="H372" t="s">
        <v>1259</v>
      </c>
      <c r="I372" t="s">
        <v>43</v>
      </c>
      <c r="J372">
        <v>2</v>
      </c>
      <c r="K372" t="s">
        <v>44</v>
      </c>
      <c r="L372" t="s">
        <v>45</v>
      </c>
      <c r="M372" t="s">
        <v>46</v>
      </c>
      <c r="N372" s="7">
        <v>1</v>
      </c>
      <c r="O372" s="8">
        <v>45643.830925925926</v>
      </c>
      <c r="P372" s="9">
        <v>45646</v>
      </c>
      <c r="Q372" t="s">
        <v>74</v>
      </c>
      <c r="R372" t="s">
        <v>48</v>
      </c>
      <c r="S372" t="s">
        <v>49</v>
      </c>
      <c r="T372" t="s">
        <v>559</v>
      </c>
      <c r="U372" t="s">
        <v>1260</v>
      </c>
      <c r="V372">
        <v>62100</v>
      </c>
      <c r="W372" t="s">
        <v>48</v>
      </c>
      <c r="X372" t="s">
        <v>53</v>
      </c>
      <c r="Y372" t="s">
        <v>54</v>
      </c>
      <c r="Z372" s="12">
        <f>IF(N372&lt;=1,9,9+0.8*ROUNDUP(N372-1,0))</f>
        <v>9</v>
      </c>
      <c r="AA372" s="11">
        <v>-2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5"/>
        <v>0.42</v>
      </c>
      <c r="AG372" s="11">
        <f t="shared" si="16"/>
        <v>7.42</v>
      </c>
      <c r="AH372" s="11">
        <v>0</v>
      </c>
      <c r="AI372" s="11">
        <f t="shared" si="17"/>
        <v>7.42</v>
      </c>
      <c r="AJ372" t="s">
        <v>62</v>
      </c>
    </row>
    <row r="373" spans="1:36" ht="15" customHeight="1" x14ac:dyDescent="0.35">
      <c r="A373">
        <v>10428918</v>
      </c>
      <c r="B373" t="s">
        <v>36</v>
      </c>
      <c r="C373" t="s">
        <v>37</v>
      </c>
      <c r="D373" s="6" t="s">
        <v>38</v>
      </c>
      <c r="E373" t="s">
        <v>1261</v>
      </c>
      <c r="F373" t="s">
        <v>40</v>
      </c>
      <c r="G373" t="s">
        <v>41</v>
      </c>
      <c r="H373" t="s">
        <v>1262</v>
      </c>
      <c r="I373" t="s">
        <v>43</v>
      </c>
      <c r="J373">
        <v>2</v>
      </c>
      <c r="K373" t="s">
        <v>44</v>
      </c>
      <c r="L373" t="s">
        <v>45</v>
      </c>
      <c r="M373" t="s">
        <v>46</v>
      </c>
      <c r="N373" s="7">
        <v>18</v>
      </c>
      <c r="O373" s="8">
        <v>45643.676238425927</v>
      </c>
      <c r="P373" s="9">
        <v>45646</v>
      </c>
      <c r="Q373" t="s">
        <v>74</v>
      </c>
      <c r="R373" t="s">
        <v>48</v>
      </c>
      <c r="S373" t="s">
        <v>49</v>
      </c>
      <c r="T373" t="s">
        <v>117</v>
      </c>
      <c r="U373" t="s">
        <v>1263</v>
      </c>
      <c r="V373">
        <v>42610</v>
      </c>
      <c r="W373" t="s">
        <v>48</v>
      </c>
      <c r="X373" t="s">
        <v>455</v>
      </c>
      <c r="Y373" t="s">
        <v>54</v>
      </c>
      <c r="Z373" s="12">
        <f>IF(N373&lt;=1,9,9+0.8*ROUNDUP(N373-1,0))</f>
        <v>22.6</v>
      </c>
      <c r="AA373" s="11">
        <v>-2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5"/>
        <v>1.236</v>
      </c>
      <c r="AG373" s="11">
        <f t="shared" si="16"/>
        <v>21.836000000000002</v>
      </c>
      <c r="AH373" s="11">
        <v>0</v>
      </c>
      <c r="AI373" s="11">
        <f t="shared" si="17"/>
        <v>21.836000000000002</v>
      </c>
      <c r="AJ373" t="s">
        <v>62</v>
      </c>
    </row>
    <row r="374" spans="1:36" ht="15" customHeight="1" x14ac:dyDescent="0.35">
      <c r="A374">
        <v>10428918</v>
      </c>
      <c r="B374" t="s">
        <v>36</v>
      </c>
      <c r="C374" t="s">
        <v>37</v>
      </c>
      <c r="D374" s="6" t="s">
        <v>38</v>
      </c>
      <c r="E374" t="s">
        <v>1264</v>
      </c>
      <c r="F374" t="s">
        <v>40</v>
      </c>
      <c r="G374" t="s">
        <v>41</v>
      </c>
      <c r="H374" t="s">
        <v>1265</v>
      </c>
      <c r="I374" t="s">
        <v>43</v>
      </c>
      <c r="J374">
        <v>2</v>
      </c>
      <c r="K374" t="s">
        <v>44</v>
      </c>
      <c r="L374" t="s">
        <v>45</v>
      </c>
      <c r="M374" t="s">
        <v>46</v>
      </c>
      <c r="N374" s="7">
        <v>1</v>
      </c>
      <c r="O374" s="8">
        <v>45645.659131944441</v>
      </c>
      <c r="P374" s="9">
        <v>45646</v>
      </c>
      <c r="Q374" t="s">
        <v>74</v>
      </c>
      <c r="R374" t="s">
        <v>48</v>
      </c>
      <c r="S374" t="s">
        <v>49</v>
      </c>
      <c r="T374" t="s">
        <v>117</v>
      </c>
      <c r="U374" t="s">
        <v>1266</v>
      </c>
      <c r="V374">
        <v>47180</v>
      </c>
      <c r="W374" t="s">
        <v>48</v>
      </c>
      <c r="X374" t="s">
        <v>1127</v>
      </c>
      <c r="Y374" t="s">
        <v>54</v>
      </c>
      <c r="Z374" s="12">
        <f>IF(N374&lt;=1,9,9+0.8*ROUNDUP(N374-1,0))</f>
        <v>9</v>
      </c>
      <c r="AA374" s="11">
        <v>-2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5"/>
        <v>0.42</v>
      </c>
      <c r="AG374" s="11">
        <f t="shared" si="16"/>
        <v>7.42</v>
      </c>
      <c r="AH374" s="11">
        <v>0</v>
      </c>
      <c r="AI374" s="11">
        <f t="shared" si="17"/>
        <v>7.42</v>
      </c>
      <c r="AJ374" t="s">
        <v>62</v>
      </c>
    </row>
    <row r="375" spans="1:36" ht="15" customHeight="1" x14ac:dyDescent="0.35">
      <c r="A375">
        <v>10428918</v>
      </c>
      <c r="B375" t="s">
        <v>36</v>
      </c>
      <c r="C375" t="s">
        <v>37</v>
      </c>
      <c r="D375" s="6" t="s">
        <v>38</v>
      </c>
      <c r="E375" t="s">
        <v>1267</v>
      </c>
      <c r="F375" t="s">
        <v>40</v>
      </c>
      <c r="G375" t="s">
        <v>41</v>
      </c>
      <c r="H375" t="s">
        <v>1268</v>
      </c>
      <c r="I375" t="s">
        <v>43</v>
      </c>
      <c r="J375">
        <v>2</v>
      </c>
      <c r="K375" t="s">
        <v>44</v>
      </c>
      <c r="L375" t="s">
        <v>45</v>
      </c>
      <c r="M375" t="s">
        <v>46</v>
      </c>
      <c r="N375" s="7">
        <v>1</v>
      </c>
      <c r="O375" s="8">
        <v>45642.832800925928</v>
      </c>
      <c r="P375" s="9">
        <v>45646</v>
      </c>
      <c r="Q375" t="s">
        <v>74</v>
      </c>
      <c r="R375" t="s">
        <v>48</v>
      </c>
      <c r="S375" t="s">
        <v>49</v>
      </c>
      <c r="T375" t="s">
        <v>50</v>
      </c>
      <c r="U375" t="s">
        <v>1269</v>
      </c>
      <c r="V375">
        <v>90000</v>
      </c>
      <c r="W375" t="s">
        <v>52</v>
      </c>
      <c r="X375" t="s">
        <v>53</v>
      </c>
      <c r="Y375" t="s">
        <v>54</v>
      </c>
      <c r="Z375" s="10">
        <f>IF(N375&lt;=1,13,IF(N375&lt;=2,23,IF(N375&lt;=3,35,IF(N375&lt;=4,43,IF(N375&lt;=5,53,IF(N375&lt;=6,63,IF(N375&lt;=7,71,IF(N375&lt;=8,79,IF(N375&lt;=9,87,IF(N375&lt;=10,95,IF(N375&lt;=11,105,IF(N375&lt;=12,114,IF(N375&lt;=13,119,IF(N375&lt;=14,127,IF(N375&lt;=15,135,IF(N375&lt;=16,143,IF(N375&lt;=17,153,IF(N375&lt;=18,163,IF(N375&lt;=19,171,IF(N375&lt;=20,185,IF(N375&lt;=21,193,IF(N375&lt;=22,201,IF(N375&lt;=23,210,IF(N375&lt;=24,220,IF(N375&lt;=25,230,IF(N375&lt;=26,240,IF(N375&lt;=27,250,IF(N375&lt;=28,260,IF(N375&lt;=29,270,IF(N375&lt;=30,280,280+10*ROUNDUP(N375-30,0)))))))))))))))))))))))))))))))</f>
        <v>13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5"/>
        <v>0.78</v>
      </c>
      <c r="AG375" s="11">
        <f t="shared" si="16"/>
        <v>13.78</v>
      </c>
      <c r="AH375" s="11">
        <v>0</v>
      </c>
      <c r="AI375" s="11">
        <f t="shared" si="17"/>
        <v>13.78</v>
      </c>
      <c r="AJ375" t="s">
        <v>55</v>
      </c>
    </row>
    <row r="376" spans="1:36" ht="15" customHeight="1" x14ac:dyDescent="0.35">
      <c r="A376">
        <v>10428918</v>
      </c>
      <c r="B376" t="s">
        <v>36</v>
      </c>
      <c r="C376" t="s">
        <v>37</v>
      </c>
      <c r="D376" s="6" t="s">
        <v>38</v>
      </c>
      <c r="E376" t="s">
        <v>1270</v>
      </c>
      <c r="F376" t="s">
        <v>40</v>
      </c>
      <c r="G376" t="s">
        <v>41</v>
      </c>
      <c r="H376" t="s">
        <v>1271</v>
      </c>
      <c r="I376" t="s">
        <v>43</v>
      </c>
      <c r="J376">
        <v>2</v>
      </c>
      <c r="K376" t="s">
        <v>44</v>
      </c>
      <c r="L376" t="s">
        <v>45</v>
      </c>
      <c r="M376" t="s">
        <v>46</v>
      </c>
      <c r="N376" s="7">
        <v>1</v>
      </c>
      <c r="O376" s="8">
        <v>45644.530416666668</v>
      </c>
      <c r="P376" s="9">
        <v>45646</v>
      </c>
      <c r="Q376" t="s">
        <v>74</v>
      </c>
      <c r="R376" t="s">
        <v>48</v>
      </c>
      <c r="S376" t="s">
        <v>49</v>
      </c>
      <c r="T376" t="s">
        <v>161</v>
      </c>
      <c r="U376" t="s">
        <v>1272</v>
      </c>
      <c r="V376">
        <v>10460</v>
      </c>
      <c r="W376" t="s">
        <v>48</v>
      </c>
      <c r="X376" t="s">
        <v>163</v>
      </c>
      <c r="Y376" t="s">
        <v>54</v>
      </c>
      <c r="Z376" s="12">
        <f>IF(N376&lt;=1,9,9+0.8*ROUNDUP(N376-1,0))</f>
        <v>9</v>
      </c>
      <c r="AA376" s="11">
        <v>-2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5"/>
        <v>0.42</v>
      </c>
      <c r="AG376" s="11">
        <f t="shared" si="16"/>
        <v>7.42</v>
      </c>
      <c r="AH376" s="11">
        <v>0</v>
      </c>
      <c r="AI376" s="11">
        <f t="shared" si="17"/>
        <v>7.42</v>
      </c>
      <c r="AJ376" t="s">
        <v>62</v>
      </c>
    </row>
    <row r="377" spans="1:36" ht="15" customHeight="1" x14ac:dyDescent="0.35">
      <c r="A377">
        <v>10428918</v>
      </c>
      <c r="B377" t="s">
        <v>36</v>
      </c>
      <c r="C377" t="s">
        <v>37</v>
      </c>
      <c r="D377" s="6" t="s">
        <v>38</v>
      </c>
      <c r="E377" t="s">
        <v>1273</v>
      </c>
      <c r="F377" t="s">
        <v>40</v>
      </c>
      <c r="G377" t="s">
        <v>41</v>
      </c>
      <c r="H377" t="s">
        <v>1274</v>
      </c>
      <c r="I377" t="s">
        <v>43</v>
      </c>
      <c r="J377">
        <v>2</v>
      </c>
      <c r="K377" t="s">
        <v>44</v>
      </c>
      <c r="L377" t="s">
        <v>45</v>
      </c>
      <c r="M377" t="s">
        <v>46</v>
      </c>
      <c r="N377" s="7">
        <v>1</v>
      </c>
      <c r="O377" s="8">
        <v>45644.468275462961</v>
      </c>
      <c r="P377" s="9">
        <v>45646</v>
      </c>
      <c r="Q377" t="s">
        <v>74</v>
      </c>
      <c r="R377" t="s">
        <v>48</v>
      </c>
      <c r="S377" t="s">
        <v>49</v>
      </c>
      <c r="T377" t="s">
        <v>161</v>
      </c>
      <c r="U377" t="s">
        <v>1275</v>
      </c>
      <c r="V377">
        <v>13100</v>
      </c>
      <c r="W377" t="s">
        <v>48</v>
      </c>
      <c r="X377" t="s">
        <v>812</v>
      </c>
      <c r="Y377" t="s">
        <v>54</v>
      </c>
      <c r="Z377" s="12">
        <f>IF(N377&lt;=1,9,9+0.8*ROUNDUP(N377-1,0))</f>
        <v>9</v>
      </c>
      <c r="AA377" s="11">
        <v>-2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5"/>
        <v>0.42</v>
      </c>
      <c r="AG377" s="11">
        <f t="shared" si="16"/>
        <v>7.42</v>
      </c>
      <c r="AH377" s="11">
        <v>0</v>
      </c>
      <c r="AI377" s="11">
        <f t="shared" si="17"/>
        <v>7.42</v>
      </c>
      <c r="AJ377" t="s">
        <v>62</v>
      </c>
    </row>
    <row r="378" spans="1:36" ht="15" customHeight="1" x14ac:dyDescent="0.35">
      <c r="A378">
        <v>10428918</v>
      </c>
      <c r="B378" t="s">
        <v>36</v>
      </c>
      <c r="C378" t="s">
        <v>37</v>
      </c>
      <c r="D378" s="6" t="s">
        <v>38</v>
      </c>
      <c r="E378" t="s">
        <v>1276</v>
      </c>
      <c r="F378" t="s">
        <v>40</v>
      </c>
      <c r="G378" t="s">
        <v>41</v>
      </c>
      <c r="H378" t="s">
        <v>1277</v>
      </c>
      <c r="I378" t="s">
        <v>43</v>
      </c>
      <c r="J378">
        <v>2</v>
      </c>
      <c r="K378" t="s">
        <v>44</v>
      </c>
      <c r="L378" t="s">
        <v>45</v>
      </c>
      <c r="M378" t="s">
        <v>46</v>
      </c>
      <c r="N378" s="7">
        <v>2</v>
      </c>
      <c r="O378" s="8">
        <v>45646.423842592594</v>
      </c>
      <c r="P378" s="9">
        <v>45647</v>
      </c>
      <c r="Q378" t="s">
        <v>58</v>
      </c>
      <c r="R378" t="s">
        <v>48</v>
      </c>
      <c r="S378" t="s">
        <v>49</v>
      </c>
      <c r="T378" t="s">
        <v>117</v>
      </c>
      <c r="U378" t="s">
        <v>1278</v>
      </c>
      <c r="V378">
        <v>44300</v>
      </c>
      <c r="W378" t="s">
        <v>48</v>
      </c>
      <c r="X378" t="s">
        <v>1279</v>
      </c>
      <c r="Y378" t="s">
        <v>54</v>
      </c>
      <c r="Z378" s="12">
        <f>IF(N378&lt;=1,9,9+0.8*ROUNDUP(N378-1,0))</f>
        <v>9.8000000000000007</v>
      </c>
      <c r="AA378" s="11">
        <v>-2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5"/>
        <v>0.46800000000000003</v>
      </c>
      <c r="AG378" s="11">
        <f t="shared" si="16"/>
        <v>8.2680000000000007</v>
      </c>
      <c r="AH378" s="11">
        <v>0</v>
      </c>
      <c r="AI378" s="11">
        <f t="shared" si="17"/>
        <v>8.2680000000000007</v>
      </c>
      <c r="AJ378" t="s">
        <v>62</v>
      </c>
    </row>
    <row r="379" spans="1:36" ht="15" customHeight="1" x14ac:dyDescent="0.35">
      <c r="A379">
        <v>10428918</v>
      </c>
      <c r="B379" t="s">
        <v>36</v>
      </c>
      <c r="C379" t="s">
        <v>37</v>
      </c>
      <c r="D379" s="6" t="s">
        <v>38</v>
      </c>
      <c r="E379" t="s">
        <v>1280</v>
      </c>
      <c r="F379" t="s">
        <v>40</v>
      </c>
      <c r="G379" t="s">
        <v>41</v>
      </c>
      <c r="H379" t="s">
        <v>849</v>
      </c>
      <c r="I379" t="s">
        <v>43</v>
      </c>
      <c r="J379">
        <v>2</v>
      </c>
      <c r="K379" t="s">
        <v>44</v>
      </c>
      <c r="L379" t="s">
        <v>45</v>
      </c>
      <c r="M379" t="s">
        <v>46</v>
      </c>
      <c r="N379" s="7">
        <v>6</v>
      </c>
      <c r="O379" s="8">
        <v>45645.75408564815</v>
      </c>
      <c r="P379" s="9">
        <v>45647</v>
      </c>
      <c r="Q379" t="s">
        <v>74</v>
      </c>
      <c r="R379" t="s">
        <v>48</v>
      </c>
      <c r="S379" t="s">
        <v>49</v>
      </c>
      <c r="T379" t="s">
        <v>75</v>
      </c>
      <c r="U379" t="s">
        <v>1281</v>
      </c>
      <c r="V379">
        <v>39100</v>
      </c>
      <c r="W379" t="s">
        <v>48</v>
      </c>
      <c r="X379" t="s">
        <v>851</v>
      </c>
      <c r="Y379" t="s">
        <v>54</v>
      </c>
      <c r="Z379" s="12">
        <f>IF(N379&lt;=1,9,9+0.8*ROUNDUP(N379-1,0))</f>
        <v>13</v>
      </c>
      <c r="AA379" s="11">
        <v>-2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5"/>
        <v>0.65999999999999992</v>
      </c>
      <c r="AG379" s="11">
        <f t="shared" si="16"/>
        <v>11.66</v>
      </c>
      <c r="AH379" s="11">
        <v>0</v>
      </c>
      <c r="AI379" s="11">
        <f t="shared" si="17"/>
        <v>11.66</v>
      </c>
      <c r="AJ379" t="s">
        <v>62</v>
      </c>
    </row>
    <row r="380" spans="1:36" ht="15" customHeight="1" x14ac:dyDescent="0.35">
      <c r="A380">
        <v>10428918</v>
      </c>
      <c r="B380" t="s">
        <v>36</v>
      </c>
      <c r="C380" t="s">
        <v>37</v>
      </c>
      <c r="D380" s="6" t="s">
        <v>38</v>
      </c>
      <c r="E380" t="s">
        <v>1282</v>
      </c>
      <c r="F380" t="s">
        <v>40</v>
      </c>
      <c r="G380" t="s">
        <v>41</v>
      </c>
      <c r="H380" t="s">
        <v>849</v>
      </c>
      <c r="I380" t="s">
        <v>43</v>
      </c>
      <c r="J380">
        <v>2</v>
      </c>
      <c r="K380" t="s">
        <v>44</v>
      </c>
      <c r="L380" t="s">
        <v>45</v>
      </c>
      <c r="M380" t="s">
        <v>46</v>
      </c>
      <c r="N380" s="7">
        <v>4</v>
      </c>
      <c r="O380" s="8">
        <v>45645.75408564815</v>
      </c>
      <c r="P380" s="9">
        <v>45647</v>
      </c>
      <c r="Q380" t="s">
        <v>74</v>
      </c>
      <c r="R380" t="s">
        <v>48</v>
      </c>
      <c r="S380" t="s">
        <v>49</v>
      </c>
      <c r="T380" t="s">
        <v>75</v>
      </c>
      <c r="U380" t="s">
        <v>1281</v>
      </c>
      <c r="V380">
        <v>39100</v>
      </c>
      <c r="W380" t="s">
        <v>48</v>
      </c>
      <c r="X380" t="s">
        <v>851</v>
      </c>
      <c r="Y380" t="s">
        <v>54</v>
      </c>
      <c r="Z380" s="12">
        <f>IF(N380&lt;=1,9,9+0.8*ROUNDUP(N380-1,0))</f>
        <v>11.4</v>
      </c>
      <c r="AA380" s="11">
        <v>-2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5"/>
        <v>0.56399999999999995</v>
      </c>
      <c r="AG380" s="11">
        <f t="shared" si="16"/>
        <v>9.9640000000000004</v>
      </c>
      <c r="AH380" s="11">
        <v>0</v>
      </c>
      <c r="AI380" s="11">
        <f t="shared" si="17"/>
        <v>9.9640000000000004</v>
      </c>
      <c r="AJ380" t="s">
        <v>62</v>
      </c>
    </row>
    <row r="381" spans="1:36" ht="15" customHeight="1" x14ac:dyDescent="0.35">
      <c r="A381">
        <v>10428918</v>
      </c>
      <c r="B381" t="s">
        <v>36</v>
      </c>
      <c r="C381" t="s">
        <v>37</v>
      </c>
      <c r="D381" s="6" t="s">
        <v>38</v>
      </c>
      <c r="E381" t="s">
        <v>1283</v>
      </c>
      <c r="F381" t="s">
        <v>40</v>
      </c>
      <c r="G381" t="s">
        <v>41</v>
      </c>
      <c r="H381" t="s">
        <v>766</v>
      </c>
      <c r="I381" t="s">
        <v>43</v>
      </c>
      <c r="J381">
        <v>2</v>
      </c>
      <c r="K381" t="s">
        <v>44</v>
      </c>
      <c r="L381" t="s">
        <v>45</v>
      </c>
      <c r="M381" t="s">
        <v>46</v>
      </c>
      <c r="N381" s="7">
        <v>3</v>
      </c>
      <c r="O381" s="8">
        <v>45644.806967592594</v>
      </c>
      <c r="P381" s="9">
        <v>45647</v>
      </c>
      <c r="Q381" t="s">
        <v>74</v>
      </c>
      <c r="R381" t="s">
        <v>48</v>
      </c>
      <c r="S381" t="s">
        <v>49</v>
      </c>
      <c r="T381" t="s">
        <v>65</v>
      </c>
      <c r="U381" t="s">
        <v>1284</v>
      </c>
      <c r="V381">
        <v>75260</v>
      </c>
      <c r="W381" t="s">
        <v>48</v>
      </c>
      <c r="X381" t="s">
        <v>480</v>
      </c>
      <c r="Y381" t="s">
        <v>54</v>
      </c>
      <c r="Z381" s="12">
        <f>IF(N381&lt;=1,9,9+0.8*ROUNDUP(N381-1,0))</f>
        <v>10.6</v>
      </c>
      <c r="AA381" s="11">
        <v>-2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5"/>
        <v>0.51600000000000001</v>
      </c>
      <c r="AG381" s="11">
        <f t="shared" si="16"/>
        <v>9.1159999999999997</v>
      </c>
      <c r="AH381" s="11">
        <v>0</v>
      </c>
      <c r="AI381" s="11">
        <f t="shared" si="17"/>
        <v>9.1159999999999997</v>
      </c>
      <c r="AJ381" t="s">
        <v>62</v>
      </c>
    </row>
    <row r="382" spans="1:36" ht="15" customHeight="1" x14ac:dyDescent="0.35">
      <c r="A382">
        <v>10428918</v>
      </c>
      <c r="B382" t="s">
        <v>36</v>
      </c>
      <c r="C382" t="s">
        <v>37</v>
      </c>
      <c r="D382" s="6" t="s">
        <v>38</v>
      </c>
      <c r="E382" t="s">
        <v>1285</v>
      </c>
      <c r="F382" t="s">
        <v>40</v>
      </c>
      <c r="G382" t="s">
        <v>41</v>
      </c>
      <c r="H382" t="s">
        <v>1286</v>
      </c>
      <c r="I382" t="s">
        <v>43</v>
      </c>
      <c r="J382">
        <v>2</v>
      </c>
      <c r="K382" t="s">
        <v>44</v>
      </c>
      <c r="L382" t="s">
        <v>45</v>
      </c>
      <c r="M382" t="s">
        <v>46</v>
      </c>
      <c r="N382" s="7">
        <v>6</v>
      </c>
      <c r="O382" s="8">
        <v>45646.482152777775</v>
      </c>
      <c r="P382" s="9">
        <v>45647</v>
      </c>
      <c r="Q382" t="s">
        <v>58</v>
      </c>
      <c r="R382" t="s">
        <v>48</v>
      </c>
      <c r="S382" t="s">
        <v>49</v>
      </c>
      <c r="T382" t="s">
        <v>117</v>
      </c>
      <c r="U382" t="s">
        <v>1287</v>
      </c>
      <c r="V382">
        <v>43800</v>
      </c>
      <c r="W382" t="s">
        <v>48</v>
      </c>
      <c r="X382" t="s">
        <v>228</v>
      </c>
      <c r="Y382" t="s">
        <v>54</v>
      </c>
      <c r="Z382" s="12">
        <f>IF(N382&lt;=1,9,9+0.8*ROUNDUP(N382-1,0))</f>
        <v>13</v>
      </c>
      <c r="AA382" s="11">
        <v>-2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5"/>
        <v>0.65999999999999992</v>
      </c>
      <c r="AG382" s="11">
        <f t="shared" si="16"/>
        <v>11.66</v>
      </c>
      <c r="AH382" s="11">
        <v>0</v>
      </c>
      <c r="AI382" s="11">
        <f t="shared" si="17"/>
        <v>11.66</v>
      </c>
      <c r="AJ382" t="s">
        <v>62</v>
      </c>
    </row>
    <row r="383" spans="1:36" ht="15" customHeight="1" x14ac:dyDescent="0.35">
      <c r="A383">
        <v>10428918</v>
      </c>
      <c r="B383" t="s">
        <v>36</v>
      </c>
      <c r="C383" t="s">
        <v>37</v>
      </c>
      <c r="D383" s="6" t="s">
        <v>38</v>
      </c>
      <c r="E383" t="s">
        <v>1288</v>
      </c>
      <c r="F383" t="s">
        <v>40</v>
      </c>
      <c r="G383" t="s">
        <v>41</v>
      </c>
      <c r="H383" t="s">
        <v>1289</v>
      </c>
      <c r="I383" t="s">
        <v>43</v>
      </c>
      <c r="J383">
        <v>2</v>
      </c>
      <c r="K383" t="s">
        <v>44</v>
      </c>
      <c r="L383" t="s">
        <v>45</v>
      </c>
      <c r="M383" t="s">
        <v>46</v>
      </c>
      <c r="N383" s="7">
        <v>1</v>
      </c>
      <c r="O383" s="8">
        <v>45646.441689814812</v>
      </c>
      <c r="P383" s="9">
        <v>45647</v>
      </c>
      <c r="Q383" t="s">
        <v>58</v>
      </c>
      <c r="R383" t="s">
        <v>48</v>
      </c>
      <c r="S383" t="s">
        <v>49</v>
      </c>
      <c r="T383" t="s">
        <v>90</v>
      </c>
      <c r="U383" t="s">
        <v>1290</v>
      </c>
      <c r="V383">
        <v>21100</v>
      </c>
      <c r="W383" t="s">
        <v>48</v>
      </c>
      <c r="X383" t="s">
        <v>61</v>
      </c>
      <c r="Y383" t="s">
        <v>54</v>
      </c>
      <c r="Z383" s="12">
        <f>IF(N383&lt;=1,9,9+0.8*ROUNDUP(N383-1,0))</f>
        <v>9</v>
      </c>
      <c r="AA383" s="11">
        <v>-2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5"/>
        <v>0.42</v>
      </c>
      <c r="AG383" s="11">
        <f t="shared" si="16"/>
        <v>7.42</v>
      </c>
      <c r="AH383" s="11">
        <v>0</v>
      </c>
      <c r="AI383" s="11">
        <f t="shared" si="17"/>
        <v>7.42</v>
      </c>
      <c r="AJ383" t="s">
        <v>62</v>
      </c>
    </row>
    <row r="384" spans="1:36" ht="15" customHeight="1" x14ac:dyDescent="0.35">
      <c r="A384">
        <v>10428918</v>
      </c>
      <c r="B384" t="s">
        <v>36</v>
      </c>
      <c r="C384" t="s">
        <v>37</v>
      </c>
      <c r="D384" s="6" t="s">
        <v>38</v>
      </c>
      <c r="E384" t="s">
        <v>1291</v>
      </c>
      <c r="F384" t="s">
        <v>40</v>
      </c>
      <c r="G384" t="s">
        <v>41</v>
      </c>
      <c r="H384" t="s">
        <v>1292</v>
      </c>
      <c r="I384" t="s">
        <v>43</v>
      </c>
      <c r="J384">
        <v>2</v>
      </c>
      <c r="K384" t="s">
        <v>44</v>
      </c>
      <c r="L384" t="s">
        <v>45</v>
      </c>
      <c r="M384" t="s">
        <v>46</v>
      </c>
      <c r="N384" s="7">
        <v>1</v>
      </c>
      <c r="O384" s="8">
        <v>45644.806967592594</v>
      </c>
      <c r="P384" s="9">
        <v>45647</v>
      </c>
      <c r="Q384" t="s">
        <v>74</v>
      </c>
      <c r="R384" t="s">
        <v>48</v>
      </c>
      <c r="S384" t="s">
        <v>49</v>
      </c>
      <c r="T384" t="s">
        <v>101</v>
      </c>
      <c r="U384" t="s">
        <v>1293</v>
      </c>
      <c r="V384">
        <v>34850</v>
      </c>
      <c r="W384" t="s">
        <v>48</v>
      </c>
      <c r="X384" t="s">
        <v>827</v>
      </c>
      <c r="Y384" t="s">
        <v>54</v>
      </c>
      <c r="Z384" s="12">
        <f>IF(N384&lt;=1,9,9+0.8*ROUNDUP(N384-1,0))</f>
        <v>9</v>
      </c>
      <c r="AA384" s="11">
        <v>-2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5"/>
        <v>0.42</v>
      </c>
      <c r="AG384" s="11">
        <f t="shared" si="16"/>
        <v>7.42</v>
      </c>
      <c r="AH384" s="11">
        <v>0</v>
      </c>
      <c r="AI384" s="11">
        <f t="shared" si="17"/>
        <v>7.42</v>
      </c>
      <c r="AJ384" t="s">
        <v>62</v>
      </c>
    </row>
    <row r="385" spans="1:36" ht="15" customHeight="1" x14ac:dyDescent="0.35">
      <c r="A385">
        <v>10428918</v>
      </c>
      <c r="B385" t="s">
        <v>36</v>
      </c>
      <c r="C385" t="s">
        <v>37</v>
      </c>
      <c r="D385" s="6" t="s">
        <v>38</v>
      </c>
      <c r="E385" t="s">
        <v>1294</v>
      </c>
      <c r="F385" t="s">
        <v>40</v>
      </c>
      <c r="G385" t="s">
        <v>41</v>
      </c>
      <c r="H385" t="s">
        <v>1295</v>
      </c>
      <c r="I385" t="s">
        <v>43</v>
      </c>
      <c r="J385">
        <v>2</v>
      </c>
      <c r="K385" t="s">
        <v>44</v>
      </c>
      <c r="L385" t="s">
        <v>45</v>
      </c>
      <c r="M385" t="s">
        <v>46</v>
      </c>
      <c r="N385" s="7">
        <v>2</v>
      </c>
      <c r="O385" s="8">
        <v>45644.8124537037</v>
      </c>
      <c r="P385" s="9">
        <v>45647</v>
      </c>
      <c r="Q385" t="s">
        <v>74</v>
      </c>
      <c r="R385" t="s">
        <v>48</v>
      </c>
      <c r="S385" t="s">
        <v>49</v>
      </c>
      <c r="T385" t="s">
        <v>80</v>
      </c>
      <c r="U385" t="s">
        <v>1296</v>
      </c>
      <c r="V385">
        <v>9810</v>
      </c>
      <c r="W385" t="s">
        <v>48</v>
      </c>
      <c r="X385" t="s">
        <v>690</v>
      </c>
      <c r="Y385" t="s">
        <v>54</v>
      </c>
      <c r="Z385" s="12">
        <f>IF(N385&lt;=1,9,9+0.8*ROUNDUP(N385-1,0))</f>
        <v>9.8000000000000007</v>
      </c>
      <c r="AA385" s="11">
        <v>-2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5"/>
        <v>0.46800000000000003</v>
      </c>
      <c r="AG385" s="11">
        <f t="shared" si="16"/>
        <v>8.2680000000000007</v>
      </c>
      <c r="AH385" s="11">
        <v>0</v>
      </c>
      <c r="AI385" s="11">
        <f t="shared" si="17"/>
        <v>8.2680000000000007</v>
      </c>
      <c r="AJ385" t="s">
        <v>62</v>
      </c>
    </row>
    <row r="386" spans="1:36" ht="15" customHeight="1" x14ac:dyDescent="0.35">
      <c r="A386">
        <v>10428918</v>
      </c>
      <c r="B386" t="s">
        <v>36</v>
      </c>
      <c r="C386" t="s">
        <v>37</v>
      </c>
      <c r="D386" s="6" t="s">
        <v>38</v>
      </c>
      <c r="E386" t="s">
        <v>1297</v>
      </c>
      <c r="F386" t="s">
        <v>40</v>
      </c>
      <c r="G386" t="s">
        <v>41</v>
      </c>
      <c r="H386" t="s">
        <v>1298</v>
      </c>
      <c r="I386" t="s">
        <v>43</v>
      </c>
      <c r="J386">
        <v>2</v>
      </c>
      <c r="K386" t="s">
        <v>44</v>
      </c>
      <c r="L386" t="s">
        <v>45</v>
      </c>
      <c r="M386" t="s">
        <v>46</v>
      </c>
      <c r="N386" s="7">
        <v>1</v>
      </c>
      <c r="O386" s="8">
        <v>45646.471689814818</v>
      </c>
      <c r="P386" s="9">
        <v>45647</v>
      </c>
      <c r="Q386" t="s">
        <v>58</v>
      </c>
      <c r="R386" t="s">
        <v>48</v>
      </c>
      <c r="S386" t="s">
        <v>49</v>
      </c>
      <c r="T386" t="s">
        <v>117</v>
      </c>
      <c r="U386" t="s">
        <v>1299</v>
      </c>
      <c r="V386">
        <v>43000</v>
      </c>
      <c r="W386" t="s">
        <v>48</v>
      </c>
      <c r="X386" t="s">
        <v>330</v>
      </c>
      <c r="Y386" t="s">
        <v>54</v>
      </c>
      <c r="Z386" s="12">
        <f>IF(N386&lt;=1,9,9+0.8*ROUNDUP(N386-1,0))</f>
        <v>9</v>
      </c>
      <c r="AA386" s="11">
        <v>-2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8">(Z386+AA386+AC386+AE386)*6%</f>
        <v>0.42</v>
      </c>
      <c r="AG386" s="11">
        <f t="shared" ref="AG386:AG449" si="19">Z386+AA386+AC386+AE386+AF386</f>
        <v>7.42</v>
      </c>
      <c r="AH386" s="11">
        <v>0</v>
      </c>
      <c r="AI386" s="11">
        <f t="shared" ref="AI386:AI449" si="20">AG386+AH386</f>
        <v>7.42</v>
      </c>
      <c r="AJ386" t="s">
        <v>62</v>
      </c>
    </row>
    <row r="387" spans="1:36" ht="15" customHeight="1" x14ac:dyDescent="0.35">
      <c r="A387">
        <v>10428918</v>
      </c>
      <c r="B387" t="s">
        <v>36</v>
      </c>
      <c r="C387" t="s">
        <v>37</v>
      </c>
      <c r="D387" s="6" t="s">
        <v>38</v>
      </c>
      <c r="E387" t="s">
        <v>1300</v>
      </c>
      <c r="F387" t="s">
        <v>40</v>
      </c>
      <c r="G387" t="s">
        <v>41</v>
      </c>
      <c r="H387" t="s">
        <v>1301</v>
      </c>
      <c r="I387" t="s">
        <v>43</v>
      </c>
      <c r="J387">
        <v>2</v>
      </c>
      <c r="K387" t="s">
        <v>44</v>
      </c>
      <c r="L387" t="s">
        <v>45</v>
      </c>
      <c r="M387" t="s">
        <v>46</v>
      </c>
      <c r="N387" s="7">
        <v>2</v>
      </c>
      <c r="O387" s="8">
        <v>45645.73201388889</v>
      </c>
      <c r="P387" s="9">
        <v>45647</v>
      </c>
      <c r="Q387" t="s">
        <v>74</v>
      </c>
      <c r="R387" t="s">
        <v>48</v>
      </c>
      <c r="S387" t="s">
        <v>49</v>
      </c>
      <c r="T387" t="s">
        <v>117</v>
      </c>
      <c r="U387" t="s">
        <v>1302</v>
      </c>
      <c r="V387">
        <v>41050</v>
      </c>
      <c r="W387" t="s">
        <v>48</v>
      </c>
      <c r="X387" t="s">
        <v>1303</v>
      </c>
      <c r="Y387" t="s">
        <v>54</v>
      </c>
      <c r="Z387" s="12">
        <f>IF(N387&lt;=1,9,9+0.8*ROUNDUP(N387-1,0))</f>
        <v>9.8000000000000007</v>
      </c>
      <c r="AA387" s="11">
        <v>-2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8"/>
        <v>0.46800000000000003</v>
      </c>
      <c r="AG387" s="11">
        <f t="shared" si="19"/>
        <v>8.2680000000000007</v>
      </c>
      <c r="AH387" s="11">
        <v>0</v>
      </c>
      <c r="AI387" s="11">
        <f t="shared" si="20"/>
        <v>8.2680000000000007</v>
      </c>
      <c r="AJ387" t="s">
        <v>62</v>
      </c>
    </row>
    <row r="388" spans="1:36" ht="15" customHeight="1" x14ac:dyDescent="0.35">
      <c r="A388">
        <v>10428918</v>
      </c>
      <c r="B388" t="s">
        <v>36</v>
      </c>
      <c r="C388" t="s">
        <v>37</v>
      </c>
      <c r="D388" s="6" t="s">
        <v>38</v>
      </c>
      <c r="E388" t="s">
        <v>1304</v>
      </c>
      <c r="F388" t="s">
        <v>40</v>
      </c>
      <c r="G388" t="s">
        <v>41</v>
      </c>
      <c r="H388" t="s">
        <v>1305</v>
      </c>
      <c r="I388" t="s">
        <v>43</v>
      </c>
      <c r="J388">
        <v>2</v>
      </c>
      <c r="K388" t="s">
        <v>44</v>
      </c>
      <c r="L388" t="s">
        <v>45</v>
      </c>
      <c r="M388" t="s">
        <v>46</v>
      </c>
      <c r="N388" s="7">
        <v>1</v>
      </c>
      <c r="O388" s="8">
        <v>45645.758680555555</v>
      </c>
      <c r="P388" s="9">
        <v>45647</v>
      </c>
      <c r="Q388" t="s">
        <v>74</v>
      </c>
      <c r="R388" t="s">
        <v>48</v>
      </c>
      <c r="S388" t="s">
        <v>49</v>
      </c>
      <c r="T388" t="s">
        <v>80</v>
      </c>
      <c r="U388" t="s">
        <v>1306</v>
      </c>
      <c r="V388">
        <v>5350</v>
      </c>
      <c r="W388" t="s">
        <v>48</v>
      </c>
      <c r="X388" t="s">
        <v>137</v>
      </c>
      <c r="Y388" t="s">
        <v>54</v>
      </c>
      <c r="Z388" s="12">
        <f>IF(N388&lt;=1,9,9+0.8*ROUNDUP(N388-1,0))</f>
        <v>9</v>
      </c>
      <c r="AA388" s="11">
        <v>-2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8"/>
        <v>0.42</v>
      </c>
      <c r="AG388" s="11">
        <f t="shared" si="19"/>
        <v>7.42</v>
      </c>
      <c r="AH388" s="11">
        <v>0</v>
      </c>
      <c r="AI388" s="11">
        <f t="shared" si="20"/>
        <v>7.42</v>
      </c>
      <c r="AJ388" t="s">
        <v>62</v>
      </c>
    </row>
    <row r="389" spans="1:36" ht="15" customHeight="1" x14ac:dyDescent="0.35">
      <c r="A389">
        <v>10428918</v>
      </c>
      <c r="B389" t="s">
        <v>36</v>
      </c>
      <c r="C389" t="s">
        <v>37</v>
      </c>
      <c r="D389" s="6" t="s">
        <v>38</v>
      </c>
      <c r="E389" t="s">
        <v>1307</v>
      </c>
      <c r="F389" t="s">
        <v>40</v>
      </c>
      <c r="G389" t="s">
        <v>41</v>
      </c>
      <c r="H389" t="s">
        <v>1308</v>
      </c>
      <c r="I389" t="s">
        <v>43</v>
      </c>
      <c r="J389">
        <v>2</v>
      </c>
      <c r="K389" t="s">
        <v>44</v>
      </c>
      <c r="L389" t="s">
        <v>45</v>
      </c>
      <c r="M389" t="s">
        <v>46</v>
      </c>
      <c r="N389" s="7">
        <v>1</v>
      </c>
      <c r="O389" s="8">
        <v>45644.815775462965</v>
      </c>
      <c r="P389" s="9">
        <v>45647</v>
      </c>
      <c r="Q389" t="s">
        <v>74</v>
      </c>
      <c r="R389" t="s">
        <v>48</v>
      </c>
      <c r="S389" t="s">
        <v>49</v>
      </c>
      <c r="T389" t="s">
        <v>69</v>
      </c>
      <c r="U389" t="s">
        <v>1309</v>
      </c>
      <c r="V389">
        <v>81900</v>
      </c>
      <c r="W389" t="s">
        <v>48</v>
      </c>
      <c r="X389" t="s">
        <v>1310</v>
      </c>
      <c r="Y389" t="s">
        <v>54</v>
      </c>
      <c r="Z389" s="12">
        <f>IF(N389&lt;=1,9,9+0.8*ROUNDUP(N389-1,0))</f>
        <v>9</v>
      </c>
      <c r="AA389" s="11">
        <v>-2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8"/>
        <v>0.42</v>
      </c>
      <c r="AG389" s="11">
        <f t="shared" si="19"/>
        <v>7.42</v>
      </c>
      <c r="AH389" s="11">
        <v>0</v>
      </c>
      <c r="AI389" s="11">
        <f t="shared" si="20"/>
        <v>7.42</v>
      </c>
      <c r="AJ389" t="s">
        <v>62</v>
      </c>
    </row>
    <row r="390" spans="1:36" ht="15" customHeight="1" x14ac:dyDescent="0.35">
      <c r="A390">
        <v>10428918</v>
      </c>
      <c r="B390" t="s">
        <v>36</v>
      </c>
      <c r="C390" t="s">
        <v>37</v>
      </c>
      <c r="D390" s="6" t="s">
        <v>38</v>
      </c>
      <c r="E390" t="s">
        <v>1311</v>
      </c>
      <c r="F390" t="s">
        <v>40</v>
      </c>
      <c r="G390" t="s">
        <v>41</v>
      </c>
      <c r="H390" t="s">
        <v>1312</v>
      </c>
      <c r="I390" t="s">
        <v>43</v>
      </c>
      <c r="J390">
        <v>2</v>
      </c>
      <c r="K390" t="s">
        <v>44</v>
      </c>
      <c r="L390" t="s">
        <v>45</v>
      </c>
      <c r="M390" t="s">
        <v>46</v>
      </c>
      <c r="N390" s="7">
        <v>1</v>
      </c>
      <c r="O390" s="8">
        <v>45641.6637962963</v>
      </c>
      <c r="P390" s="9">
        <v>45647</v>
      </c>
      <c r="Q390" t="s">
        <v>74</v>
      </c>
      <c r="R390" t="s">
        <v>48</v>
      </c>
      <c r="S390" t="s">
        <v>49</v>
      </c>
      <c r="T390" t="s">
        <v>278</v>
      </c>
      <c r="U390" t="s">
        <v>1313</v>
      </c>
      <c r="V390">
        <v>93050</v>
      </c>
      <c r="W390" t="s">
        <v>52</v>
      </c>
      <c r="X390" t="s">
        <v>53</v>
      </c>
      <c r="Y390" t="s">
        <v>54</v>
      </c>
      <c r="Z390" s="10">
        <f>IF(N390&lt;=1,13,IF(N390&lt;=2,23,IF(N390&lt;=3,35,IF(N390&lt;=4,43,IF(N390&lt;=5,53,IF(N390&lt;=6,63,IF(N390&lt;=7,71,IF(N390&lt;=8,79,IF(N390&lt;=9,87,IF(N390&lt;=10,95,IF(N390&lt;=11,105,IF(N390&lt;=12,114,IF(N390&lt;=13,119,IF(N390&lt;=14,127,IF(N390&lt;=15,135,IF(N390&lt;=16,143,IF(N390&lt;=17,153,IF(N390&lt;=18,163,IF(N390&lt;=19,171,IF(N390&lt;=20,185,IF(N390&lt;=21,193,IF(N390&lt;=22,201,IF(N390&lt;=23,210,IF(N390&lt;=24,220,IF(N390&lt;=25,230,IF(N390&lt;=26,240,IF(N390&lt;=27,250,IF(N390&lt;=28,260,IF(N390&lt;=29,270,IF(N390&lt;=30,280,280+10*ROUNDUP(N390-30,0)))))))))))))))))))))))))))))))</f>
        <v>13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8"/>
        <v>0.78</v>
      </c>
      <c r="AG390" s="11">
        <f t="shared" si="19"/>
        <v>13.78</v>
      </c>
      <c r="AH390" s="11">
        <v>0</v>
      </c>
      <c r="AI390" s="11">
        <f t="shared" si="20"/>
        <v>13.78</v>
      </c>
      <c r="AJ390" t="s">
        <v>55</v>
      </c>
    </row>
    <row r="391" spans="1:36" ht="15" customHeight="1" x14ac:dyDescent="0.35">
      <c r="A391">
        <v>10428918</v>
      </c>
      <c r="B391" t="s">
        <v>36</v>
      </c>
      <c r="C391" t="s">
        <v>37</v>
      </c>
      <c r="D391" s="6" t="s">
        <v>38</v>
      </c>
      <c r="E391" t="s">
        <v>1314</v>
      </c>
      <c r="F391" t="s">
        <v>40</v>
      </c>
      <c r="G391" t="s">
        <v>41</v>
      </c>
      <c r="H391" t="s">
        <v>1315</v>
      </c>
      <c r="I391" t="s">
        <v>43</v>
      </c>
      <c r="J391">
        <v>2</v>
      </c>
      <c r="K391" t="s">
        <v>44</v>
      </c>
      <c r="L391" t="s">
        <v>45</v>
      </c>
      <c r="M391" t="s">
        <v>46</v>
      </c>
      <c r="N391" s="7">
        <v>1</v>
      </c>
      <c r="O391" s="8">
        <v>45645.596712962964</v>
      </c>
      <c r="P391" s="9">
        <v>45647</v>
      </c>
      <c r="Q391" t="s">
        <v>74</v>
      </c>
      <c r="R391" t="s">
        <v>48</v>
      </c>
      <c r="S391" t="s">
        <v>49</v>
      </c>
      <c r="T391" t="s">
        <v>69</v>
      </c>
      <c r="U391" t="s">
        <v>1316</v>
      </c>
      <c r="V391">
        <v>81100</v>
      </c>
      <c r="W391" t="s">
        <v>48</v>
      </c>
      <c r="X391" t="s">
        <v>761</v>
      </c>
      <c r="Y391" t="s">
        <v>54</v>
      </c>
      <c r="Z391" s="12">
        <f>IF(N391&lt;=1,9,9+0.8*ROUNDUP(N391-1,0))</f>
        <v>9</v>
      </c>
      <c r="AA391" s="11">
        <v>-2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8"/>
        <v>0.42</v>
      </c>
      <c r="AG391" s="11">
        <f t="shared" si="19"/>
        <v>7.42</v>
      </c>
      <c r="AH391" s="11">
        <v>0</v>
      </c>
      <c r="AI391" s="11">
        <f t="shared" si="20"/>
        <v>7.42</v>
      </c>
      <c r="AJ391" t="s">
        <v>62</v>
      </c>
    </row>
    <row r="392" spans="1:36" ht="15" customHeight="1" x14ac:dyDescent="0.35">
      <c r="A392">
        <v>10428918</v>
      </c>
      <c r="B392" t="s">
        <v>36</v>
      </c>
      <c r="C392" t="s">
        <v>37</v>
      </c>
      <c r="D392" s="6" t="s">
        <v>38</v>
      </c>
      <c r="E392" t="s">
        <v>1317</v>
      </c>
      <c r="F392" t="s">
        <v>40</v>
      </c>
      <c r="G392" t="s">
        <v>41</v>
      </c>
      <c r="H392" t="s">
        <v>1318</v>
      </c>
      <c r="I392" t="s">
        <v>43</v>
      </c>
      <c r="J392">
        <v>2</v>
      </c>
      <c r="K392" t="s">
        <v>44</v>
      </c>
      <c r="L392" t="s">
        <v>45</v>
      </c>
      <c r="M392" t="s">
        <v>46</v>
      </c>
      <c r="N392" s="7">
        <v>1</v>
      </c>
      <c r="O392" s="8">
        <v>45644.441458333335</v>
      </c>
      <c r="P392" s="9">
        <v>45647</v>
      </c>
      <c r="Q392" t="s">
        <v>74</v>
      </c>
      <c r="R392" t="s">
        <v>48</v>
      </c>
      <c r="S392" t="s">
        <v>49</v>
      </c>
      <c r="T392" t="s">
        <v>117</v>
      </c>
      <c r="U392" t="s">
        <v>1319</v>
      </c>
      <c r="V392">
        <v>42000</v>
      </c>
      <c r="W392" t="s">
        <v>48</v>
      </c>
      <c r="X392" t="s">
        <v>53</v>
      </c>
      <c r="Y392" t="s">
        <v>54</v>
      </c>
      <c r="Z392" s="12">
        <f>IF(N392&lt;=1,9,9+0.8*ROUNDUP(N392-1,0))</f>
        <v>9</v>
      </c>
      <c r="AA392" s="11">
        <v>-2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8"/>
        <v>0.42</v>
      </c>
      <c r="AG392" s="11">
        <f t="shared" si="19"/>
        <v>7.42</v>
      </c>
      <c r="AH392" s="11">
        <v>0</v>
      </c>
      <c r="AI392" s="11">
        <f t="shared" si="20"/>
        <v>7.42</v>
      </c>
      <c r="AJ392" t="s">
        <v>62</v>
      </c>
    </row>
    <row r="393" spans="1:36" ht="15" customHeight="1" x14ac:dyDescent="0.35">
      <c r="A393">
        <v>10428918</v>
      </c>
      <c r="B393" t="s">
        <v>36</v>
      </c>
      <c r="C393" t="s">
        <v>37</v>
      </c>
      <c r="D393" s="6" t="s">
        <v>38</v>
      </c>
      <c r="E393" t="s">
        <v>1320</v>
      </c>
      <c r="F393" t="s">
        <v>40</v>
      </c>
      <c r="G393" t="s">
        <v>41</v>
      </c>
      <c r="H393" t="s">
        <v>1321</v>
      </c>
      <c r="I393" t="s">
        <v>43</v>
      </c>
      <c r="J393">
        <v>2</v>
      </c>
      <c r="K393" t="s">
        <v>44</v>
      </c>
      <c r="L393" t="s">
        <v>45</v>
      </c>
      <c r="M393" t="s">
        <v>46</v>
      </c>
      <c r="N393" s="7">
        <v>1</v>
      </c>
      <c r="O393" s="8">
        <v>45645.770428240743</v>
      </c>
      <c r="P393" s="9">
        <v>45647</v>
      </c>
      <c r="Q393" t="s">
        <v>58</v>
      </c>
      <c r="R393" t="s">
        <v>48</v>
      </c>
      <c r="S393" t="s">
        <v>49</v>
      </c>
      <c r="T393" t="s">
        <v>90</v>
      </c>
      <c r="U393" t="s">
        <v>1322</v>
      </c>
      <c r="V393">
        <v>24100</v>
      </c>
      <c r="W393" t="s">
        <v>48</v>
      </c>
      <c r="X393" t="s">
        <v>61</v>
      </c>
      <c r="Y393" t="s">
        <v>54</v>
      </c>
      <c r="Z393" s="12">
        <f>IF(N393&lt;=1,9,9+0.8*ROUNDUP(N393-1,0))</f>
        <v>9</v>
      </c>
      <c r="AA393" s="11">
        <v>-2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8"/>
        <v>0.42</v>
      </c>
      <c r="AG393" s="11">
        <f t="shared" si="19"/>
        <v>7.42</v>
      </c>
      <c r="AH393" s="11">
        <v>0</v>
      </c>
      <c r="AI393" s="11">
        <f t="shared" si="20"/>
        <v>7.42</v>
      </c>
      <c r="AJ393" t="s">
        <v>62</v>
      </c>
    </row>
    <row r="394" spans="1:36" ht="15" customHeight="1" x14ac:dyDescent="0.35">
      <c r="A394">
        <v>10428918</v>
      </c>
      <c r="B394" t="s">
        <v>36</v>
      </c>
      <c r="C394" t="s">
        <v>37</v>
      </c>
      <c r="D394" s="6" t="s">
        <v>38</v>
      </c>
      <c r="E394" t="s">
        <v>1323</v>
      </c>
      <c r="F394" t="s">
        <v>40</v>
      </c>
      <c r="G394" t="s">
        <v>41</v>
      </c>
      <c r="H394" t="s">
        <v>1324</v>
      </c>
      <c r="I394" t="s">
        <v>43</v>
      </c>
      <c r="J394">
        <v>2</v>
      </c>
      <c r="K394" t="s">
        <v>44</v>
      </c>
      <c r="L394" t="s">
        <v>45</v>
      </c>
      <c r="M394" t="s">
        <v>46</v>
      </c>
      <c r="N394" s="7">
        <v>2</v>
      </c>
      <c r="O394" s="8">
        <v>45646.439803240741</v>
      </c>
      <c r="P394" s="9">
        <v>45647</v>
      </c>
      <c r="Q394" t="s">
        <v>58</v>
      </c>
      <c r="R394" t="s">
        <v>48</v>
      </c>
      <c r="S394" t="s">
        <v>49</v>
      </c>
      <c r="T394" t="s">
        <v>117</v>
      </c>
      <c r="U394" t="s">
        <v>1325</v>
      </c>
      <c r="V394">
        <v>68000</v>
      </c>
      <c r="W394" t="s">
        <v>48</v>
      </c>
      <c r="X394" t="s">
        <v>584</v>
      </c>
      <c r="Y394" t="s">
        <v>54</v>
      </c>
      <c r="Z394" s="12">
        <f>IF(N394&lt;=1,9,9+0.8*ROUNDUP(N394-1,0))</f>
        <v>9.8000000000000007</v>
      </c>
      <c r="AA394" s="11">
        <v>-2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8"/>
        <v>0.46800000000000003</v>
      </c>
      <c r="AG394" s="11">
        <f t="shared" si="19"/>
        <v>8.2680000000000007</v>
      </c>
      <c r="AH394" s="11">
        <v>0</v>
      </c>
      <c r="AI394" s="11">
        <f t="shared" si="20"/>
        <v>8.2680000000000007</v>
      </c>
      <c r="AJ394" t="s">
        <v>62</v>
      </c>
    </row>
    <row r="395" spans="1:36" ht="15" customHeight="1" x14ac:dyDescent="0.35">
      <c r="A395">
        <v>10428918</v>
      </c>
      <c r="B395" t="s">
        <v>36</v>
      </c>
      <c r="C395" t="s">
        <v>37</v>
      </c>
      <c r="D395" s="6" t="s">
        <v>38</v>
      </c>
      <c r="E395" t="s">
        <v>1326</v>
      </c>
      <c r="F395" t="s">
        <v>40</v>
      </c>
      <c r="G395" t="s">
        <v>41</v>
      </c>
      <c r="H395" t="s">
        <v>1327</v>
      </c>
      <c r="I395" t="s">
        <v>43</v>
      </c>
      <c r="J395">
        <v>2</v>
      </c>
      <c r="K395" t="s">
        <v>44</v>
      </c>
      <c r="L395" t="s">
        <v>45</v>
      </c>
      <c r="M395" t="s">
        <v>46</v>
      </c>
      <c r="N395" s="7">
        <v>2</v>
      </c>
      <c r="O395" s="8">
        <v>45646.423854166664</v>
      </c>
      <c r="P395" s="9">
        <v>45647</v>
      </c>
      <c r="Q395" t="s">
        <v>58</v>
      </c>
      <c r="R395" t="s">
        <v>48</v>
      </c>
      <c r="S395" t="s">
        <v>49</v>
      </c>
      <c r="T395" t="s">
        <v>170</v>
      </c>
      <c r="U395" t="s">
        <v>1328</v>
      </c>
      <c r="V395">
        <v>54200</v>
      </c>
      <c r="W395" t="s">
        <v>48</v>
      </c>
      <c r="X395" t="s">
        <v>1329</v>
      </c>
      <c r="Y395" t="s">
        <v>54</v>
      </c>
      <c r="Z395" s="12">
        <f>IF(N395&lt;=1,9,9+0.8*ROUNDUP(N395-1,0))</f>
        <v>9.8000000000000007</v>
      </c>
      <c r="AA395" s="11">
        <v>-2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8"/>
        <v>0.46800000000000003</v>
      </c>
      <c r="AG395" s="11">
        <f t="shared" si="19"/>
        <v>8.2680000000000007</v>
      </c>
      <c r="AH395" s="11">
        <v>0</v>
      </c>
      <c r="AI395" s="11">
        <f t="shared" si="20"/>
        <v>8.2680000000000007</v>
      </c>
      <c r="AJ395" t="s">
        <v>62</v>
      </c>
    </row>
    <row r="396" spans="1:36" ht="15" customHeight="1" x14ac:dyDescent="0.35">
      <c r="A396">
        <v>10428918</v>
      </c>
      <c r="B396" t="s">
        <v>36</v>
      </c>
      <c r="C396" t="s">
        <v>37</v>
      </c>
      <c r="D396" s="6" t="s">
        <v>38</v>
      </c>
      <c r="E396" t="s">
        <v>1330</v>
      </c>
      <c r="F396" t="s">
        <v>40</v>
      </c>
      <c r="G396" t="s">
        <v>41</v>
      </c>
      <c r="H396" t="s">
        <v>1331</v>
      </c>
      <c r="I396" t="s">
        <v>43</v>
      </c>
      <c r="J396">
        <v>2</v>
      </c>
      <c r="K396" t="s">
        <v>44</v>
      </c>
      <c r="L396" t="s">
        <v>45</v>
      </c>
      <c r="M396" t="s">
        <v>46</v>
      </c>
      <c r="N396" s="7">
        <v>1</v>
      </c>
      <c r="O396" s="8">
        <v>45645.60665509259</v>
      </c>
      <c r="P396" s="9">
        <v>45647</v>
      </c>
      <c r="Q396" t="s">
        <v>47</v>
      </c>
      <c r="R396" t="s">
        <v>48</v>
      </c>
      <c r="S396" t="s">
        <v>49</v>
      </c>
      <c r="T396" t="s">
        <v>161</v>
      </c>
      <c r="U396" t="s">
        <v>1332</v>
      </c>
      <c r="V396">
        <v>14000</v>
      </c>
      <c r="W396" t="s">
        <v>48</v>
      </c>
      <c r="X396" t="s">
        <v>53</v>
      </c>
      <c r="Y396" t="s">
        <v>54</v>
      </c>
      <c r="Z396" s="12">
        <f>IF(N396&lt;=1,9,9+0.8*ROUNDUP(N396-1,0))</f>
        <v>9</v>
      </c>
      <c r="AA396" s="11">
        <v>-2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8"/>
        <v>0.42</v>
      </c>
      <c r="AG396" s="11">
        <f t="shared" si="19"/>
        <v>7.42</v>
      </c>
      <c r="AH396" s="11">
        <v>0</v>
      </c>
      <c r="AI396" s="11">
        <f t="shared" si="20"/>
        <v>7.42</v>
      </c>
      <c r="AJ396" t="s">
        <v>62</v>
      </c>
    </row>
    <row r="397" spans="1:36" ht="15" customHeight="1" x14ac:dyDescent="0.35">
      <c r="A397">
        <v>10428918</v>
      </c>
      <c r="B397" t="s">
        <v>36</v>
      </c>
      <c r="C397" t="s">
        <v>37</v>
      </c>
      <c r="D397" s="6" t="s">
        <v>38</v>
      </c>
      <c r="E397" t="s">
        <v>1333</v>
      </c>
      <c r="F397" t="s">
        <v>40</v>
      </c>
      <c r="G397" t="s">
        <v>41</v>
      </c>
      <c r="H397" t="s">
        <v>1334</v>
      </c>
      <c r="I397" t="s">
        <v>43</v>
      </c>
      <c r="J397">
        <v>2</v>
      </c>
      <c r="K397" t="s">
        <v>44</v>
      </c>
      <c r="L397" t="s">
        <v>45</v>
      </c>
      <c r="M397" t="s">
        <v>46</v>
      </c>
      <c r="N397" s="7">
        <v>1</v>
      </c>
      <c r="O397" s="8">
        <v>45646.489803240744</v>
      </c>
      <c r="P397" s="9">
        <v>45647</v>
      </c>
      <c r="Q397" t="s">
        <v>58</v>
      </c>
      <c r="R397" t="s">
        <v>48</v>
      </c>
      <c r="S397" t="s">
        <v>49</v>
      </c>
      <c r="T397" t="s">
        <v>65</v>
      </c>
      <c r="U397" t="s">
        <v>1335</v>
      </c>
      <c r="V397">
        <v>76450</v>
      </c>
      <c r="W397" t="s">
        <v>48</v>
      </c>
      <c r="X397" t="s">
        <v>53</v>
      </c>
      <c r="Y397" t="s">
        <v>54</v>
      </c>
      <c r="Z397" s="12">
        <f>IF(N397&lt;=1,9,9+0.8*ROUNDUP(N397-1,0))</f>
        <v>9</v>
      </c>
      <c r="AA397" s="11">
        <v>-2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8"/>
        <v>0.42</v>
      </c>
      <c r="AG397" s="11">
        <f t="shared" si="19"/>
        <v>7.42</v>
      </c>
      <c r="AH397" s="11">
        <v>0</v>
      </c>
      <c r="AI397" s="11">
        <f t="shared" si="20"/>
        <v>7.42</v>
      </c>
      <c r="AJ397" t="s">
        <v>62</v>
      </c>
    </row>
    <row r="398" spans="1:36" ht="15" customHeight="1" x14ac:dyDescent="0.35">
      <c r="A398">
        <v>10428918</v>
      </c>
      <c r="B398" t="s">
        <v>36</v>
      </c>
      <c r="C398" t="s">
        <v>37</v>
      </c>
      <c r="D398" s="6" t="s">
        <v>38</v>
      </c>
      <c r="E398" t="s">
        <v>1336</v>
      </c>
      <c r="F398" t="s">
        <v>40</v>
      </c>
      <c r="G398" t="s">
        <v>41</v>
      </c>
      <c r="H398" t="s">
        <v>1337</v>
      </c>
      <c r="I398" t="s">
        <v>43</v>
      </c>
      <c r="J398">
        <v>2</v>
      </c>
      <c r="K398" t="s">
        <v>44</v>
      </c>
      <c r="L398" t="s">
        <v>45</v>
      </c>
      <c r="M398" t="s">
        <v>46</v>
      </c>
      <c r="N398" s="7">
        <v>2</v>
      </c>
      <c r="O398" s="8">
        <v>45646.423842592594</v>
      </c>
      <c r="P398" s="9">
        <v>45647</v>
      </c>
      <c r="Q398" t="s">
        <v>58</v>
      </c>
      <c r="R398" t="s">
        <v>48</v>
      </c>
      <c r="S398" t="s">
        <v>49</v>
      </c>
      <c r="T398" t="s">
        <v>117</v>
      </c>
      <c r="U398" t="s">
        <v>1338</v>
      </c>
      <c r="V398">
        <v>48000</v>
      </c>
      <c r="W398" t="s">
        <v>48</v>
      </c>
      <c r="X398" t="s">
        <v>254</v>
      </c>
      <c r="Y398" t="s">
        <v>54</v>
      </c>
      <c r="Z398" s="12">
        <f>IF(N398&lt;=1,9,9+0.8*ROUNDUP(N398-1,0))</f>
        <v>9.8000000000000007</v>
      </c>
      <c r="AA398" s="11">
        <v>-2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8"/>
        <v>0.46800000000000003</v>
      </c>
      <c r="AG398" s="11">
        <f t="shared" si="19"/>
        <v>8.2680000000000007</v>
      </c>
      <c r="AH398" s="11">
        <v>0</v>
      </c>
      <c r="AI398" s="11">
        <f t="shared" si="20"/>
        <v>8.2680000000000007</v>
      </c>
      <c r="AJ398" t="s">
        <v>62</v>
      </c>
    </row>
    <row r="399" spans="1:36" ht="15" customHeight="1" x14ac:dyDescent="0.35">
      <c r="A399">
        <v>10428918</v>
      </c>
      <c r="B399" t="s">
        <v>36</v>
      </c>
      <c r="C399" t="s">
        <v>37</v>
      </c>
      <c r="D399" s="6" t="s">
        <v>38</v>
      </c>
      <c r="E399" t="s">
        <v>1339</v>
      </c>
      <c r="F399" t="s">
        <v>40</v>
      </c>
      <c r="G399" t="s">
        <v>41</v>
      </c>
      <c r="H399" t="s">
        <v>1340</v>
      </c>
      <c r="I399" t="s">
        <v>43</v>
      </c>
      <c r="J399">
        <v>2</v>
      </c>
      <c r="K399" t="s">
        <v>44</v>
      </c>
      <c r="L399" t="s">
        <v>45</v>
      </c>
      <c r="M399" t="s">
        <v>46</v>
      </c>
      <c r="N399" s="7">
        <v>1</v>
      </c>
      <c r="O399" s="8">
        <v>45644.815763888888</v>
      </c>
      <c r="P399" s="9">
        <v>45647</v>
      </c>
      <c r="Q399" t="s">
        <v>74</v>
      </c>
      <c r="R399" t="s">
        <v>48</v>
      </c>
      <c r="S399" t="s">
        <v>49</v>
      </c>
      <c r="T399" t="s">
        <v>65</v>
      </c>
      <c r="U399" t="s">
        <v>1341</v>
      </c>
      <c r="V399">
        <v>77300</v>
      </c>
      <c r="W399" t="s">
        <v>48</v>
      </c>
      <c r="X399" t="s">
        <v>53</v>
      </c>
      <c r="Y399" t="s">
        <v>54</v>
      </c>
      <c r="Z399" s="12">
        <f>IF(N399&lt;=1,9,9+0.8*ROUNDUP(N399-1,0))</f>
        <v>9</v>
      </c>
      <c r="AA399" s="11">
        <v>-2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8"/>
        <v>0.42</v>
      </c>
      <c r="AG399" s="11">
        <f t="shared" si="19"/>
        <v>7.42</v>
      </c>
      <c r="AH399" s="11">
        <v>0</v>
      </c>
      <c r="AI399" s="11">
        <f t="shared" si="20"/>
        <v>7.42</v>
      </c>
      <c r="AJ399" t="s">
        <v>62</v>
      </c>
    </row>
    <row r="400" spans="1:36" ht="15" customHeight="1" x14ac:dyDescent="0.35">
      <c r="A400">
        <v>10428918</v>
      </c>
      <c r="B400" t="s">
        <v>36</v>
      </c>
      <c r="C400" t="s">
        <v>37</v>
      </c>
      <c r="D400" s="6" t="s">
        <v>38</v>
      </c>
      <c r="E400" t="s">
        <v>1342</v>
      </c>
      <c r="F400" t="s">
        <v>40</v>
      </c>
      <c r="G400" t="s">
        <v>41</v>
      </c>
      <c r="H400" t="s">
        <v>1343</v>
      </c>
      <c r="I400" t="s">
        <v>43</v>
      </c>
      <c r="J400">
        <v>2</v>
      </c>
      <c r="K400" t="s">
        <v>44</v>
      </c>
      <c r="L400" t="s">
        <v>45</v>
      </c>
      <c r="M400" t="s">
        <v>46</v>
      </c>
      <c r="N400" s="7">
        <v>2</v>
      </c>
      <c r="O400" s="8">
        <v>45645.732002314813</v>
      </c>
      <c r="P400" s="9">
        <v>45647</v>
      </c>
      <c r="Q400" t="s">
        <v>74</v>
      </c>
      <c r="R400" t="s">
        <v>48</v>
      </c>
      <c r="S400" t="s">
        <v>49</v>
      </c>
      <c r="T400" t="s">
        <v>69</v>
      </c>
      <c r="U400" t="s">
        <v>1344</v>
      </c>
      <c r="V400">
        <v>86900</v>
      </c>
      <c r="W400" t="s">
        <v>48</v>
      </c>
      <c r="X400" t="s">
        <v>1345</v>
      </c>
      <c r="Y400" t="s">
        <v>54</v>
      </c>
      <c r="Z400" s="12">
        <f>IF(N400&lt;=1,9,9+0.8*ROUNDUP(N400-1,0))</f>
        <v>9.8000000000000007</v>
      </c>
      <c r="AA400" s="11">
        <v>-2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8"/>
        <v>0.46800000000000003</v>
      </c>
      <c r="AG400" s="11">
        <f t="shared" si="19"/>
        <v>8.2680000000000007</v>
      </c>
      <c r="AH400" s="11">
        <v>0</v>
      </c>
      <c r="AI400" s="11">
        <f t="shared" si="20"/>
        <v>8.2680000000000007</v>
      </c>
      <c r="AJ400" t="s">
        <v>62</v>
      </c>
    </row>
    <row r="401" spans="1:36" ht="15" customHeight="1" x14ac:dyDescent="0.35">
      <c r="A401">
        <v>10428918</v>
      </c>
      <c r="B401" t="s">
        <v>36</v>
      </c>
      <c r="C401" t="s">
        <v>37</v>
      </c>
      <c r="D401" s="6" t="s">
        <v>38</v>
      </c>
      <c r="E401" t="s">
        <v>1346</v>
      </c>
      <c r="F401" t="s">
        <v>40</v>
      </c>
      <c r="G401" t="s">
        <v>41</v>
      </c>
      <c r="H401" t="s">
        <v>1347</v>
      </c>
      <c r="I401" t="s">
        <v>43</v>
      </c>
      <c r="J401">
        <v>2</v>
      </c>
      <c r="K401" t="s">
        <v>44</v>
      </c>
      <c r="L401" t="s">
        <v>45</v>
      </c>
      <c r="M401" t="s">
        <v>46</v>
      </c>
      <c r="N401" s="7">
        <v>2</v>
      </c>
      <c r="O401" s="8">
        <v>45644.435960648145</v>
      </c>
      <c r="P401" s="9">
        <v>45647</v>
      </c>
      <c r="Q401" t="s">
        <v>74</v>
      </c>
      <c r="R401" t="s">
        <v>48</v>
      </c>
      <c r="S401" t="s">
        <v>49</v>
      </c>
      <c r="T401" t="s">
        <v>69</v>
      </c>
      <c r="U401" t="s">
        <v>1348</v>
      </c>
      <c r="V401">
        <v>81300</v>
      </c>
      <c r="W401" t="s">
        <v>48</v>
      </c>
      <c r="X401" t="s">
        <v>1040</v>
      </c>
      <c r="Y401" t="s">
        <v>54</v>
      </c>
      <c r="Z401" s="12">
        <f>IF(N401&lt;=1,9,9+0.8*ROUNDUP(N401-1,0))</f>
        <v>9.8000000000000007</v>
      </c>
      <c r="AA401" s="11">
        <v>-2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8"/>
        <v>0.46800000000000003</v>
      </c>
      <c r="AG401" s="11">
        <f t="shared" si="19"/>
        <v>8.2680000000000007</v>
      </c>
      <c r="AH401" s="11">
        <v>0</v>
      </c>
      <c r="AI401" s="11">
        <f t="shared" si="20"/>
        <v>8.2680000000000007</v>
      </c>
      <c r="AJ401" t="s">
        <v>62</v>
      </c>
    </row>
    <row r="402" spans="1:36" ht="15" customHeight="1" x14ac:dyDescent="0.35">
      <c r="A402">
        <v>10428918</v>
      </c>
      <c r="B402" t="s">
        <v>36</v>
      </c>
      <c r="C402" t="s">
        <v>37</v>
      </c>
      <c r="D402" s="6" t="s">
        <v>38</v>
      </c>
      <c r="E402" t="s">
        <v>1349</v>
      </c>
      <c r="F402" t="s">
        <v>40</v>
      </c>
      <c r="G402" t="s">
        <v>41</v>
      </c>
      <c r="H402" t="s">
        <v>1350</v>
      </c>
      <c r="I402" t="s">
        <v>43</v>
      </c>
      <c r="J402">
        <v>2</v>
      </c>
      <c r="K402" t="s">
        <v>44</v>
      </c>
      <c r="L402" t="s">
        <v>45</v>
      </c>
      <c r="M402" t="s">
        <v>46</v>
      </c>
      <c r="N402" s="7">
        <v>1</v>
      </c>
      <c r="O402" s="8">
        <v>45645.60665509259</v>
      </c>
      <c r="P402" s="9">
        <v>45647</v>
      </c>
      <c r="Q402" t="s">
        <v>74</v>
      </c>
      <c r="R402" t="s">
        <v>48</v>
      </c>
      <c r="S402" t="s">
        <v>49</v>
      </c>
      <c r="T402" t="s">
        <v>161</v>
      </c>
      <c r="U402" t="s">
        <v>1351</v>
      </c>
      <c r="V402">
        <v>13700</v>
      </c>
      <c r="W402" t="s">
        <v>48</v>
      </c>
      <c r="X402" t="s">
        <v>53</v>
      </c>
      <c r="Y402" t="s">
        <v>54</v>
      </c>
      <c r="Z402" s="12">
        <f>IF(N402&lt;=1,9,9+0.8*ROUNDUP(N402-1,0))</f>
        <v>9</v>
      </c>
      <c r="AA402" s="11">
        <v>-2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8"/>
        <v>0.42</v>
      </c>
      <c r="AG402" s="11">
        <f t="shared" si="19"/>
        <v>7.42</v>
      </c>
      <c r="AH402" s="11">
        <v>0</v>
      </c>
      <c r="AI402" s="11">
        <f t="shared" si="20"/>
        <v>7.42</v>
      </c>
      <c r="AJ402" t="s">
        <v>62</v>
      </c>
    </row>
    <row r="403" spans="1:36" ht="15" customHeight="1" x14ac:dyDescent="0.35">
      <c r="A403">
        <v>10428918</v>
      </c>
      <c r="B403" t="s">
        <v>36</v>
      </c>
      <c r="C403" t="s">
        <v>37</v>
      </c>
      <c r="D403" s="6" t="s">
        <v>38</v>
      </c>
      <c r="E403" t="s">
        <v>1352</v>
      </c>
      <c r="F403" t="s">
        <v>40</v>
      </c>
      <c r="G403" t="s">
        <v>41</v>
      </c>
      <c r="H403" t="s">
        <v>1353</v>
      </c>
      <c r="I403" t="s">
        <v>43</v>
      </c>
      <c r="J403">
        <v>2</v>
      </c>
      <c r="K403" t="s">
        <v>44</v>
      </c>
      <c r="L403" t="s">
        <v>45</v>
      </c>
      <c r="M403" t="s">
        <v>46</v>
      </c>
      <c r="N403" s="7">
        <v>2</v>
      </c>
      <c r="O403" s="8">
        <v>45644.806967592594</v>
      </c>
      <c r="P403" s="9">
        <v>45647</v>
      </c>
      <c r="Q403" t="s">
        <v>74</v>
      </c>
      <c r="R403" t="s">
        <v>48</v>
      </c>
      <c r="S403" t="s">
        <v>49</v>
      </c>
      <c r="T403" t="s">
        <v>69</v>
      </c>
      <c r="U403" t="s">
        <v>1354</v>
      </c>
      <c r="V403">
        <v>81750</v>
      </c>
      <c r="W403" t="s">
        <v>48</v>
      </c>
      <c r="X403" t="s">
        <v>552</v>
      </c>
      <c r="Y403" t="s">
        <v>54</v>
      </c>
      <c r="Z403" s="12">
        <f>IF(N403&lt;=1,9,9+0.8*ROUNDUP(N403-1,0))</f>
        <v>9.8000000000000007</v>
      </c>
      <c r="AA403" s="11">
        <v>-2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8"/>
        <v>0.46800000000000003</v>
      </c>
      <c r="AG403" s="11">
        <f t="shared" si="19"/>
        <v>8.2680000000000007</v>
      </c>
      <c r="AH403" s="11">
        <v>0</v>
      </c>
      <c r="AI403" s="11">
        <f t="shared" si="20"/>
        <v>8.2680000000000007</v>
      </c>
      <c r="AJ403" t="s">
        <v>62</v>
      </c>
    </row>
    <row r="404" spans="1:36" ht="15" customHeight="1" x14ac:dyDescent="0.35">
      <c r="A404">
        <v>10428918</v>
      </c>
      <c r="B404" t="s">
        <v>36</v>
      </c>
      <c r="C404" t="s">
        <v>37</v>
      </c>
      <c r="D404" s="6" t="s">
        <v>38</v>
      </c>
      <c r="E404" t="s">
        <v>1355</v>
      </c>
      <c r="F404" t="s">
        <v>40</v>
      </c>
      <c r="G404" t="s">
        <v>41</v>
      </c>
      <c r="H404" t="s">
        <v>1356</v>
      </c>
      <c r="I404" t="s">
        <v>43</v>
      </c>
      <c r="J404">
        <v>2</v>
      </c>
      <c r="K404" t="s">
        <v>44</v>
      </c>
      <c r="L404" t="s">
        <v>45</v>
      </c>
      <c r="M404" t="s">
        <v>46</v>
      </c>
      <c r="N404" s="7">
        <v>1</v>
      </c>
      <c r="O404" s="8">
        <v>45644.806967592594</v>
      </c>
      <c r="P404" s="9">
        <v>45647</v>
      </c>
      <c r="Q404" t="s">
        <v>74</v>
      </c>
      <c r="R404" t="s">
        <v>48</v>
      </c>
      <c r="S404" t="s">
        <v>49</v>
      </c>
      <c r="T404" t="s">
        <v>80</v>
      </c>
      <c r="U404" t="s">
        <v>1357</v>
      </c>
      <c r="V404">
        <v>9700</v>
      </c>
      <c r="W404" t="s">
        <v>48</v>
      </c>
      <c r="X404" t="s">
        <v>690</v>
      </c>
      <c r="Y404" t="s">
        <v>54</v>
      </c>
      <c r="Z404" s="12">
        <f>IF(N404&lt;=1,9,9+0.8*ROUNDUP(N404-1,0))</f>
        <v>9</v>
      </c>
      <c r="AA404" s="11">
        <v>-2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8"/>
        <v>0.42</v>
      </c>
      <c r="AG404" s="11">
        <f t="shared" si="19"/>
        <v>7.42</v>
      </c>
      <c r="AH404" s="11">
        <v>0</v>
      </c>
      <c r="AI404" s="11">
        <f t="shared" si="20"/>
        <v>7.42</v>
      </c>
      <c r="AJ404" t="s">
        <v>62</v>
      </c>
    </row>
    <row r="405" spans="1:36" ht="15" customHeight="1" x14ac:dyDescent="0.35">
      <c r="A405">
        <v>10428918</v>
      </c>
      <c r="B405" t="s">
        <v>36</v>
      </c>
      <c r="C405" t="s">
        <v>37</v>
      </c>
      <c r="D405" s="6" t="s">
        <v>38</v>
      </c>
      <c r="E405" t="s">
        <v>1358</v>
      </c>
      <c r="F405" t="s">
        <v>40</v>
      </c>
      <c r="G405" t="s">
        <v>41</v>
      </c>
      <c r="H405" t="s">
        <v>1359</v>
      </c>
      <c r="I405" t="s">
        <v>43</v>
      </c>
      <c r="J405">
        <v>2</v>
      </c>
      <c r="K405" t="s">
        <v>44</v>
      </c>
      <c r="L405" t="s">
        <v>45</v>
      </c>
      <c r="M405" t="s">
        <v>46</v>
      </c>
      <c r="N405" s="7">
        <v>4</v>
      </c>
      <c r="O405" s="8">
        <v>45645.638159722221</v>
      </c>
      <c r="P405" s="9">
        <v>45647</v>
      </c>
      <c r="Q405" t="s">
        <v>74</v>
      </c>
      <c r="R405" t="s">
        <v>48</v>
      </c>
      <c r="S405" t="s">
        <v>49</v>
      </c>
      <c r="T405" t="s">
        <v>69</v>
      </c>
      <c r="U405" t="s">
        <v>1360</v>
      </c>
      <c r="V405">
        <v>81100</v>
      </c>
      <c r="W405" t="s">
        <v>48</v>
      </c>
      <c r="X405" t="s">
        <v>552</v>
      </c>
      <c r="Y405" t="s">
        <v>54</v>
      </c>
      <c r="Z405" s="12">
        <f>IF(N405&lt;=1,9,9+0.8*ROUNDUP(N405-1,0))</f>
        <v>11.4</v>
      </c>
      <c r="AA405" s="11">
        <v>-2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8"/>
        <v>0.56399999999999995</v>
      </c>
      <c r="AG405" s="11">
        <f t="shared" si="19"/>
        <v>9.9640000000000004</v>
      </c>
      <c r="AH405" s="11">
        <v>0</v>
      </c>
      <c r="AI405" s="11">
        <f t="shared" si="20"/>
        <v>9.9640000000000004</v>
      </c>
      <c r="AJ405" t="s">
        <v>62</v>
      </c>
    </row>
    <row r="406" spans="1:36" ht="15" customHeight="1" x14ac:dyDescent="0.35">
      <c r="A406">
        <v>10428918</v>
      </c>
      <c r="B406" t="s">
        <v>36</v>
      </c>
      <c r="C406" t="s">
        <v>37</v>
      </c>
      <c r="D406" s="6" t="s">
        <v>38</v>
      </c>
      <c r="E406" t="s">
        <v>1361</v>
      </c>
      <c r="F406" t="s">
        <v>40</v>
      </c>
      <c r="G406" t="s">
        <v>41</v>
      </c>
      <c r="H406" t="s">
        <v>1362</v>
      </c>
      <c r="I406" t="s">
        <v>43</v>
      </c>
      <c r="J406">
        <v>2</v>
      </c>
      <c r="K406" t="s">
        <v>44</v>
      </c>
      <c r="L406" t="s">
        <v>45</v>
      </c>
      <c r="M406" t="s">
        <v>46</v>
      </c>
      <c r="N406" s="7">
        <v>5</v>
      </c>
      <c r="O406" s="8">
        <v>45646.404317129629</v>
      </c>
      <c r="P406" s="9">
        <v>45647</v>
      </c>
      <c r="Q406" t="s">
        <v>58</v>
      </c>
      <c r="R406" t="s">
        <v>48</v>
      </c>
      <c r="S406" t="s">
        <v>49</v>
      </c>
      <c r="T406" t="s">
        <v>117</v>
      </c>
      <c r="U406" t="s">
        <v>1363</v>
      </c>
      <c r="V406">
        <v>43200</v>
      </c>
      <c r="W406" t="s">
        <v>48</v>
      </c>
      <c r="X406" t="s">
        <v>343</v>
      </c>
      <c r="Y406" t="s">
        <v>54</v>
      </c>
      <c r="Z406" s="12">
        <f>IF(N406&lt;=1,9,9+0.8*ROUNDUP(N406-1,0))</f>
        <v>12.2</v>
      </c>
      <c r="AA406" s="11">
        <v>-2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8"/>
        <v>0.61199999999999999</v>
      </c>
      <c r="AG406" s="11">
        <f t="shared" si="19"/>
        <v>10.811999999999999</v>
      </c>
      <c r="AH406" s="11">
        <v>0</v>
      </c>
      <c r="AI406" s="11">
        <f t="shared" si="20"/>
        <v>10.811999999999999</v>
      </c>
      <c r="AJ406" t="s">
        <v>62</v>
      </c>
    </row>
    <row r="407" spans="1:36" ht="15" customHeight="1" x14ac:dyDescent="0.35">
      <c r="A407">
        <v>10428918</v>
      </c>
      <c r="B407" t="s">
        <v>36</v>
      </c>
      <c r="C407" t="s">
        <v>37</v>
      </c>
      <c r="D407" s="6" t="s">
        <v>38</v>
      </c>
      <c r="E407" t="s">
        <v>1364</v>
      </c>
      <c r="F407" t="s">
        <v>40</v>
      </c>
      <c r="G407" t="s">
        <v>41</v>
      </c>
      <c r="H407" t="s">
        <v>1365</v>
      </c>
      <c r="I407" t="s">
        <v>43</v>
      </c>
      <c r="J407">
        <v>2</v>
      </c>
      <c r="K407" t="s">
        <v>44</v>
      </c>
      <c r="L407" t="s">
        <v>45</v>
      </c>
      <c r="M407" t="s">
        <v>46</v>
      </c>
      <c r="N407" s="7">
        <v>14</v>
      </c>
      <c r="O407" s="8">
        <v>45645.664004629631</v>
      </c>
      <c r="P407" s="9">
        <v>45647</v>
      </c>
      <c r="Q407" t="s">
        <v>74</v>
      </c>
      <c r="R407" t="s">
        <v>48</v>
      </c>
      <c r="S407" t="s">
        <v>49</v>
      </c>
      <c r="T407" t="s">
        <v>117</v>
      </c>
      <c r="U407" t="s">
        <v>1366</v>
      </c>
      <c r="V407">
        <v>47600</v>
      </c>
      <c r="W407" t="s">
        <v>48</v>
      </c>
      <c r="X407" t="s">
        <v>473</v>
      </c>
      <c r="Y407" t="s">
        <v>54</v>
      </c>
      <c r="Z407" s="12">
        <f>IF(N407&lt;=1,9,9+0.8*ROUNDUP(N407-1,0))</f>
        <v>19.399999999999999</v>
      </c>
      <c r="AA407" s="11">
        <v>-2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8"/>
        <v>1.0439999999999998</v>
      </c>
      <c r="AG407" s="11">
        <f t="shared" si="19"/>
        <v>18.443999999999999</v>
      </c>
      <c r="AH407" s="11">
        <v>0</v>
      </c>
      <c r="AI407" s="11">
        <f t="shared" si="20"/>
        <v>18.443999999999999</v>
      </c>
      <c r="AJ407" t="s">
        <v>62</v>
      </c>
    </row>
    <row r="408" spans="1:36" ht="15" customHeight="1" x14ac:dyDescent="0.35">
      <c r="A408">
        <v>10428918</v>
      </c>
      <c r="B408" t="s">
        <v>36</v>
      </c>
      <c r="C408" t="s">
        <v>37</v>
      </c>
      <c r="D408" s="6" t="s">
        <v>38</v>
      </c>
      <c r="E408" t="s">
        <v>1367</v>
      </c>
      <c r="F408" t="s">
        <v>40</v>
      </c>
      <c r="G408" t="s">
        <v>41</v>
      </c>
      <c r="H408" t="s">
        <v>1368</v>
      </c>
      <c r="I408" t="s">
        <v>43</v>
      </c>
      <c r="J408">
        <v>2</v>
      </c>
      <c r="K408" t="s">
        <v>44</v>
      </c>
      <c r="L408" t="s">
        <v>45</v>
      </c>
      <c r="M408" t="s">
        <v>46</v>
      </c>
      <c r="N408" s="7">
        <v>2</v>
      </c>
      <c r="O408" s="8">
        <v>45645.73201388889</v>
      </c>
      <c r="P408" s="9">
        <v>45647</v>
      </c>
      <c r="Q408" t="s">
        <v>74</v>
      </c>
      <c r="R408" t="s">
        <v>48</v>
      </c>
      <c r="S408" t="s">
        <v>49</v>
      </c>
      <c r="T408" t="s">
        <v>117</v>
      </c>
      <c r="U408" t="s">
        <v>1369</v>
      </c>
      <c r="V408">
        <v>43000</v>
      </c>
      <c r="W408" t="s">
        <v>48</v>
      </c>
      <c r="X408" t="s">
        <v>191</v>
      </c>
      <c r="Y408" t="s">
        <v>54</v>
      </c>
      <c r="Z408" s="12">
        <f>IF(N408&lt;=1,9,9+0.8*ROUNDUP(N408-1,0))</f>
        <v>9.8000000000000007</v>
      </c>
      <c r="AA408" s="11">
        <v>-2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8"/>
        <v>0.46800000000000003</v>
      </c>
      <c r="AG408" s="11">
        <f t="shared" si="19"/>
        <v>8.2680000000000007</v>
      </c>
      <c r="AH408" s="11">
        <v>0</v>
      </c>
      <c r="AI408" s="11">
        <f t="shared" si="20"/>
        <v>8.2680000000000007</v>
      </c>
      <c r="AJ408" t="s">
        <v>62</v>
      </c>
    </row>
    <row r="409" spans="1:36" ht="15" customHeight="1" x14ac:dyDescent="0.35">
      <c r="A409">
        <v>10428918</v>
      </c>
      <c r="B409" t="s">
        <v>36</v>
      </c>
      <c r="C409" t="s">
        <v>37</v>
      </c>
      <c r="D409" s="6" t="s">
        <v>38</v>
      </c>
      <c r="E409" t="s">
        <v>1370</v>
      </c>
      <c r="F409" t="s">
        <v>40</v>
      </c>
      <c r="G409" t="s">
        <v>41</v>
      </c>
      <c r="H409" t="s">
        <v>1371</v>
      </c>
      <c r="I409" t="s">
        <v>43</v>
      </c>
      <c r="J409">
        <v>2</v>
      </c>
      <c r="K409" t="s">
        <v>44</v>
      </c>
      <c r="L409" t="s">
        <v>45</v>
      </c>
      <c r="M409" t="s">
        <v>46</v>
      </c>
      <c r="N409" s="7">
        <v>2</v>
      </c>
      <c r="O409" s="8">
        <v>45644.815775462965</v>
      </c>
      <c r="P409" s="9">
        <v>45647</v>
      </c>
      <c r="Q409" t="s">
        <v>74</v>
      </c>
      <c r="R409" t="s">
        <v>48</v>
      </c>
      <c r="S409" t="s">
        <v>49</v>
      </c>
      <c r="T409" t="s">
        <v>59</v>
      </c>
      <c r="U409" t="s">
        <v>1372</v>
      </c>
      <c r="V409">
        <v>17020</v>
      </c>
      <c r="W409" t="s">
        <v>48</v>
      </c>
      <c r="X409" t="s">
        <v>61</v>
      </c>
      <c r="Y409" t="s">
        <v>54</v>
      </c>
      <c r="Z409" s="12">
        <f>IF(N409&lt;=1,9,9+0.8*ROUNDUP(N409-1,0))</f>
        <v>9.8000000000000007</v>
      </c>
      <c r="AA409" s="11">
        <v>-2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8"/>
        <v>0.46800000000000003</v>
      </c>
      <c r="AG409" s="11">
        <f t="shared" si="19"/>
        <v>8.2680000000000007</v>
      </c>
      <c r="AH409" s="11">
        <v>0</v>
      </c>
      <c r="AI409" s="11">
        <f t="shared" si="20"/>
        <v>8.2680000000000007</v>
      </c>
      <c r="AJ409" t="s">
        <v>62</v>
      </c>
    </row>
    <row r="410" spans="1:36" ht="15" customHeight="1" x14ac:dyDescent="0.35">
      <c r="A410">
        <v>10428918</v>
      </c>
      <c r="B410" t="s">
        <v>36</v>
      </c>
      <c r="C410" t="s">
        <v>37</v>
      </c>
      <c r="D410" s="6" t="s">
        <v>38</v>
      </c>
      <c r="E410" t="s">
        <v>1373</v>
      </c>
      <c r="F410" t="s">
        <v>40</v>
      </c>
      <c r="G410" t="s">
        <v>41</v>
      </c>
      <c r="H410" t="s">
        <v>1374</v>
      </c>
      <c r="I410" t="s">
        <v>43</v>
      </c>
      <c r="J410">
        <v>2</v>
      </c>
      <c r="K410" t="s">
        <v>44</v>
      </c>
      <c r="L410" t="s">
        <v>45</v>
      </c>
      <c r="M410" t="s">
        <v>46</v>
      </c>
      <c r="N410" s="7">
        <v>6</v>
      </c>
      <c r="O410" s="8">
        <v>45646.482152777775</v>
      </c>
      <c r="P410" s="9">
        <v>45647</v>
      </c>
      <c r="Q410" t="s">
        <v>58</v>
      </c>
      <c r="R410" t="s">
        <v>48</v>
      </c>
      <c r="S410" t="s">
        <v>49</v>
      </c>
      <c r="T410" t="s">
        <v>117</v>
      </c>
      <c r="U410" t="s">
        <v>1375</v>
      </c>
      <c r="V410">
        <v>40150</v>
      </c>
      <c r="W410" t="s">
        <v>48</v>
      </c>
      <c r="X410" t="s">
        <v>305</v>
      </c>
      <c r="Y410" t="s">
        <v>54</v>
      </c>
      <c r="Z410" s="12">
        <f>IF(N410&lt;=1,9,9+0.8*ROUNDUP(N410-1,0))</f>
        <v>13</v>
      </c>
      <c r="AA410" s="11">
        <v>-2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8"/>
        <v>0.65999999999999992</v>
      </c>
      <c r="AG410" s="11">
        <f t="shared" si="19"/>
        <v>11.66</v>
      </c>
      <c r="AH410" s="11">
        <v>0</v>
      </c>
      <c r="AI410" s="11">
        <f t="shared" si="20"/>
        <v>11.66</v>
      </c>
      <c r="AJ410" t="s">
        <v>62</v>
      </c>
    </row>
    <row r="411" spans="1:36" ht="15" customHeight="1" x14ac:dyDescent="0.35">
      <c r="A411">
        <v>10428918</v>
      </c>
      <c r="B411" t="s">
        <v>36</v>
      </c>
      <c r="C411" t="s">
        <v>37</v>
      </c>
      <c r="D411" s="6" t="s">
        <v>38</v>
      </c>
      <c r="E411" t="s">
        <v>1376</v>
      </c>
      <c r="F411" t="s">
        <v>40</v>
      </c>
      <c r="G411" t="s">
        <v>41</v>
      </c>
      <c r="H411" t="s">
        <v>1377</v>
      </c>
      <c r="I411" t="s">
        <v>43</v>
      </c>
      <c r="J411">
        <v>2</v>
      </c>
      <c r="K411" t="s">
        <v>44</v>
      </c>
      <c r="L411" t="s">
        <v>45</v>
      </c>
      <c r="M411" t="s">
        <v>46</v>
      </c>
      <c r="N411" s="7">
        <v>1</v>
      </c>
      <c r="O411" s="8">
        <v>45646.471689814818</v>
      </c>
      <c r="P411" s="9">
        <v>45647</v>
      </c>
      <c r="Q411" t="s">
        <v>58</v>
      </c>
      <c r="R411" t="s">
        <v>48</v>
      </c>
      <c r="S411" t="s">
        <v>49</v>
      </c>
      <c r="T411" t="s">
        <v>59</v>
      </c>
      <c r="U411" t="s">
        <v>1378</v>
      </c>
      <c r="V411">
        <v>16150</v>
      </c>
      <c r="W411" t="s">
        <v>48</v>
      </c>
      <c r="X411" t="s">
        <v>61</v>
      </c>
      <c r="Y411" t="s">
        <v>54</v>
      </c>
      <c r="Z411" s="12">
        <f>IF(N411&lt;=1,9,9+0.8*ROUNDUP(N411-1,0))</f>
        <v>9</v>
      </c>
      <c r="AA411" s="11">
        <v>-2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8"/>
        <v>0.42</v>
      </c>
      <c r="AG411" s="11">
        <f t="shared" si="19"/>
        <v>7.42</v>
      </c>
      <c r="AH411" s="11">
        <v>0</v>
      </c>
      <c r="AI411" s="11">
        <f t="shared" si="20"/>
        <v>7.42</v>
      </c>
      <c r="AJ411" t="s">
        <v>62</v>
      </c>
    </row>
    <row r="412" spans="1:36" ht="15" customHeight="1" x14ac:dyDescent="0.35">
      <c r="A412">
        <v>10428918</v>
      </c>
      <c r="B412" t="s">
        <v>36</v>
      </c>
      <c r="C412" t="s">
        <v>37</v>
      </c>
      <c r="D412" s="6" t="s">
        <v>38</v>
      </c>
      <c r="E412" t="s">
        <v>1379</v>
      </c>
      <c r="F412" t="s">
        <v>40</v>
      </c>
      <c r="G412" t="s">
        <v>41</v>
      </c>
      <c r="H412" t="s">
        <v>1380</v>
      </c>
      <c r="I412" t="s">
        <v>43</v>
      </c>
      <c r="J412">
        <v>2</v>
      </c>
      <c r="K412" t="s">
        <v>44</v>
      </c>
      <c r="L412" t="s">
        <v>45</v>
      </c>
      <c r="M412" t="s">
        <v>46</v>
      </c>
      <c r="N412" s="7">
        <v>1</v>
      </c>
      <c r="O412" s="8">
        <v>45642.832800925928</v>
      </c>
      <c r="P412" s="9">
        <v>45647</v>
      </c>
      <c r="Q412" t="s">
        <v>74</v>
      </c>
      <c r="R412" t="s">
        <v>48</v>
      </c>
      <c r="S412" t="s">
        <v>49</v>
      </c>
      <c r="T412" t="s">
        <v>101</v>
      </c>
      <c r="U412" t="s">
        <v>1381</v>
      </c>
      <c r="V412">
        <v>32040</v>
      </c>
      <c r="W412" t="s">
        <v>48</v>
      </c>
      <c r="X412" t="s">
        <v>1120</v>
      </c>
      <c r="Y412" t="s">
        <v>54</v>
      </c>
      <c r="Z412" s="12">
        <f>IF(N412&lt;=1,9,9+0.8*ROUNDUP(N412-1,0))</f>
        <v>9</v>
      </c>
      <c r="AA412" s="11">
        <v>-2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8"/>
        <v>0.42</v>
      </c>
      <c r="AG412" s="11">
        <f t="shared" si="19"/>
        <v>7.42</v>
      </c>
      <c r="AH412" s="11">
        <v>0</v>
      </c>
      <c r="AI412" s="11">
        <f t="shared" si="20"/>
        <v>7.42</v>
      </c>
      <c r="AJ412" t="s">
        <v>62</v>
      </c>
    </row>
    <row r="413" spans="1:36" ht="15" customHeight="1" x14ac:dyDescent="0.35">
      <c r="A413">
        <v>10428918</v>
      </c>
      <c r="B413" t="s">
        <v>36</v>
      </c>
      <c r="C413" t="s">
        <v>37</v>
      </c>
      <c r="D413" s="6" t="s">
        <v>38</v>
      </c>
      <c r="E413" t="s">
        <v>1382</v>
      </c>
      <c r="F413" t="s">
        <v>40</v>
      </c>
      <c r="G413" t="s">
        <v>41</v>
      </c>
      <c r="H413" t="s">
        <v>1383</v>
      </c>
      <c r="I413" t="s">
        <v>43</v>
      </c>
      <c r="J413">
        <v>2</v>
      </c>
      <c r="K413" t="s">
        <v>44</v>
      </c>
      <c r="L413" t="s">
        <v>45</v>
      </c>
      <c r="M413" t="s">
        <v>46</v>
      </c>
      <c r="N413" s="7">
        <v>1</v>
      </c>
      <c r="O413" s="8">
        <v>45645.606666666667</v>
      </c>
      <c r="P413" s="9">
        <v>45647</v>
      </c>
      <c r="Q413" t="s">
        <v>74</v>
      </c>
      <c r="R413" t="s">
        <v>48</v>
      </c>
      <c r="S413" t="s">
        <v>49</v>
      </c>
      <c r="T413" t="s">
        <v>59</v>
      </c>
      <c r="U413" t="s">
        <v>1384</v>
      </c>
      <c r="V413">
        <v>17500</v>
      </c>
      <c r="W413" t="s">
        <v>48</v>
      </c>
      <c r="X413" t="s">
        <v>61</v>
      </c>
      <c r="Y413" t="s">
        <v>54</v>
      </c>
      <c r="Z413" s="12">
        <f>IF(N413&lt;=1,9,9+0.8*ROUNDUP(N413-1,0))</f>
        <v>9</v>
      </c>
      <c r="AA413" s="11">
        <v>-2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8"/>
        <v>0.42</v>
      </c>
      <c r="AG413" s="11">
        <f t="shared" si="19"/>
        <v>7.42</v>
      </c>
      <c r="AH413" s="11">
        <v>0</v>
      </c>
      <c r="AI413" s="11">
        <f t="shared" si="20"/>
        <v>7.42</v>
      </c>
      <c r="AJ413" t="s">
        <v>62</v>
      </c>
    </row>
    <row r="414" spans="1:36" ht="15" customHeight="1" x14ac:dyDescent="0.35">
      <c r="A414">
        <v>10428918</v>
      </c>
      <c r="B414" t="s">
        <v>36</v>
      </c>
      <c r="C414" t="s">
        <v>37</v>
      </c>
      <c r="D414" s="6" t="s">
        <v>38</v>
      </c>
      <c r="E414" t="s">
        <v>1385</v>
      </c>
      <c r="F414" t="s">
        <v>40</v>
      </c>
      <c r="G414" t="s">
        <v>41</v>
      </c>
      <c r="H414" t="s">
        <v>1386</v>
      </c>
      <c r="I414" t="s">
        <v>43</v>
      </c>
      <c r="J414">
        <v>2</v>
      </c>
      <c r="K414" t="s">
        <v>44</v>
      </c>
      <c r="L414" t="s">
        <v>45</v>
      </c>
      <c r="M414" t="s">
        <v>46</v>
      </c>
      <c r="N414" s="7">
        <v>1</v>
      </c>
      <c r="O414" s="8">
        <v>45644.806967592594</v>
      </c>
      <c r="P414" s="9">
        <v>45647</v>
      </c>
      <c r="Q414" t="s">
        <v>74</v>
      </c>
      <c r="R414" t="s">
        <v>48</v>
      </c>
      <c r="S414" t="s">
        <v>49</v>
      </c>
      <c r="T414" t="s">
        <v>80</v>
      </c>
      <c r="U414" t="s">
        <v>1387</v>
      </c>
      <c r="V414">
        <v>9100</v>
      </c>
      <c r="W414" t="s">
        <v>48</v>
      </c>
      <c r="X414" t="s">
        <v>1388</v>
      </c>
      <c r="Y414" t="s">
        <v>54</v>
      </c>
      <c r="Z414" s="12">
        <f>IF(N414&lt;=1,9,9+0.8*ROUNDUP(N414-1,0))</f>
        <v>9</v>
      </c>
      <c r="AA414" s="11">
        <v>-2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8"/>
        <v>0.42</v>
      </c>
      <c r="AG414" s="11">
        <f t="shared" si="19"/>
        <v>7.42</v>
      </c>
      <c r="AH414" s="11">
        <v>0</v>
      </c>
      <c r="AI414" s="11">
        <f t="shared" si="20"/>
        <v>7.42</v>
      </c>
      <c r="AJ414" t="s">
        <v>62</v>
      </c>
    </row>
    <row r="415" spans="1:36" ht="15" customHeight="1" x14ac:dyDescent="0.35">
      <c r="A415">
        <v>10428918</v>
      </c>
      <c r="B415" t="s">
        <v>36</v>
      </c>
      <c r="C415" t="s">
        <v>37</v>
      </c>
      <c r="D415" s="6" t="s">
        <v>38</v>
      </c>
      <c r="E415" t="s">
        <v>1389</v>
      </c>
      <c r="F415" t="s">
        <v>40</v>
      </c>
      <c r="G415" t="s">
        <v>41</v>
      </c>
      <c r="H415" t="s">
        <v>1390</v>
      </c>
      <c r="I415" t="s">
        <v>43</v>
      </c>
      <c r="J415">
        <v>2</v>
      </c>
      <c r="K415" t="s">
        <v>44</v>
      </c>
      <c r="L415" t="s">
        <v>45</v>
      </c>
      <c r="M415" t="s">
        <v>46</v>
      </c>
      <c r="N415" s="7">
        <v>4</v>
      </c>
      <c r="O415" s="8">
        <v>45645.748368055552</v>
      </c>
      <c r="P415" s="9">
        <v>45647</v>
      </c>
      <c r="Q415" t="s">
        <v>74</v>
      </c>
      <c r="R415" t="s">
        <v>48</v>
      </c>
      <c r="S415" t="s">
        <v>49</v>
      </c>
      <c r="T415" t="s">
        <v>69</v>
      </c>
      <c r="U415" t="s">
        <v>1391</v>
      </c>
      <c r="V415">
        <v>85200</v>
      </c>
      <c r="W415" t="s">
        <v>48</v>
      </c>
      <c r="X415" t="s">
        <v>1345</v>
      </c>
      <c r="Y415" t="s">
        <v>54</v>
      </c>
      <c r="Z415" s="12">
        <f>IF(N415&lt;=1,9,9+0.8*ROUNDUP(N415-1,0))</f>
        <v>11.4</v>
      </c>
      <c r="AA415" s="11">
        <v>-2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8"/>
        <v>0.56399999999999995</v>
      </c>
      <c r="AG415" s="11">
        <f t="shared" si="19"/>
        <v>9.9640000000000004</v>
      </c>
      <c r="AH415" s="11">
        <v>0</v>
      </c>
      <c r="AI415" s="11">
        <f t="shared" si="20"/>
        <v>9.9640000000000004</v>
      </c>
      <c r="AJ415" t="s">
        <v>62</v>
      </c>
    </row>
    <row r="416" spans="1:36" ht="15" customHeight="1" x14ac:dyDescent="0.35">
      <c r="A416">
        <v>10428918</v>
      </c>
      <c r="B416" t="s">
        <v>36</v>
      </c>
      <c r="C416" t="s">
        <v>37</v>
      </c>
      <c r="D416" s="6" t="s">
        <v>38</v>
      </c>
      <c r="E416" t="s">
        <v>1392</v>
      </c>
      <c r="F416" t="s">
        <v>40</v>
      </c>
      <c r="G416" t="s">
        <v>41</v>
      </c>
      <c r="H416" t="s">
        <v>1393</v>
      </c>
      <c r="I416" t="s">
        <v>43</v>
      </c>
      <c r="J416">
        <v>2</v>
      </c>
      <c r="K416" t="s">
        <v>44</v>
      </c>
      <c r="L416" t="s">
        <v>45</v>
      </c>
      <c r="M416" t="s">
        <v>46</v>
      </c>
      <c r="N416" s="7">
        <v>3</v>
      </c>
      <c r="O416" s="8">
        <v>45646.439803240741</v>
      </c>
      <c r="P416" s="9">
        <v>45647</v>
      </c>
      <c r="Q416" t="s">
        <v>58</v>
      </c>
      <c r="R416" t="s">
        <v>48</v>
      </c>
      <c r="S416" t="s">
        <v>49</v>
      </c>
      <c r="T416" t="s">
        <v>170</v>
      </c>
      <c r="U416" t="s">
        <v>1394</v>
      </c>
      <c r="V416">
        <v>46100</v>
      </c>
      <c r="W416" t="s">
        <v>48</v>
      </c>
      <c r="X416" t="s">
        <v>1395</v>
      </c>
      <c r="Y416" t="s">
        <v>54</v>
      </c>
      <c r="Z416" s="12">
        <f>IF(N416&lt;=1,9,9+0.8*ROUNDUP(N416-1,0))</f>
        <v>10.6</v>
      </c>
      <c r="AA416" s="11">
        <v>-2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8"/>
        <v>0.51600000000000001</v>
      </c>
      <c r="AG416" s="11">
        <f t="shared" si="19"/>
        <v>9.1159999999999997</v>
      </c>
      <c r="AH416" s="11">
        <v>0</v>
      </c>
      <c r="AI416" s="11">
        <f t="shared" si="20"/>
        <v>9.1159999999999997</v>
      </c>
      <c r="AJ416" t="s">
        <v>62</v>
      </c>
    </row>
    <row r="417" spans="1:36" ht="15" customHeight="1" x14ac:dyDescent="0.35">
      <c r="A417">
        <v>10428918</v>
      </c>
      <c r="B417" t="s">
        <v>36</v>
      </c>
      <c r="C417" t="s">
        <v>37</v>
      </c>
      <c r="D417" s="6" t="s">
        <v>38</v>
      </c>
      <c r="E417" t="s">
        <v>1396</v>
      </c>
      <c r="F417" t="s">
        <v>40</v>
      </c>
      <c r="G417" t="s">
        <v>41</v>
      </c>
      <c r="H417" t="s">
        <v>241</v>
      </c>
      <c r="I417" t="s">
        <v>43</v>
      </c>
      <c r="J417">
        <v>2</v>
      </c>
      <c r="K417" t="s">
        <v>44</v>
      </c>
      <c r="L417" t="s">
        <v>45</v>
      </c>
      <c r="M417" t="s">
        <v>46</v>
      </c>
      <c r="N417" s="7">
        <v>2</v>
      </c>
      <c r="O417" s="8">
        <v>45646.416666666664</v>
      </c>
      <c r="P417" s="9">
        <v>45647</v>
      </c>
      <c r="Q417" t="s">
        <v>58</v>
      </c>
      <c r="R417" t="s">
        <v>48</v>
      </c>
      <c r="S417" t="s">
        <v>49</v>
      </c>
      <c r="T417" t="s">
        <v>85</v>
      </c>
      <c r="U417" t="s">
        <v>1397</v>
      </c>
      <c r="V417">
        <v>72000</v>
      </c>
      <c r="W417" t="s">
        <v>48</v>
      </c>
      <c r="X417" t="s">
        <v>243</v>
      </c>
      <c r="Y417" t="s">
        <v>54</v>
      </c>
      <c r="Z417" s="12">
        <f>IF(N417&lt;=1,9,9+0.8*ROUNDUP(N417-1,0))</f>
        <v>9.8000000000000007</v>
      </c>
      <c r="AA417" s="11">
        <v>-2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8"/>
        <v>0.46800000000000003</v>
      </c>
      <c r="AG417" s="11">
        <f t="shared" si="19"/>
        <v>8.2680000000000007</v>
      </c>
      <c r="AH417" s="11">
        <v>0</v>
      </c>
      <c r="AI417" s="11">
        <f t="shared" si="20"/>
        <v>8.2680000000000007</v>
      </c>
      <c r="AJ417" t="s">
        <v>62</v>
      </c>
    </row>
    <row r="418" spans="1:36" ht="15" customHeight="1" x14ac:dyDescent="0.35">
      <c r="A418">
        <v>10428918</v>
      </c>
      <c r="B418" t="s">
        <v>36</v>
      </c>
      <c r="C418" t="s">
        <v>37</v>
      </c>
      <c r="D418" s="6" t="s">
        <v>38</v>
      </c>
      <c r="E418" t="s">
        <v>1398</v>
      </c>
      <c r="F418" t="s">
        <v>40</v>
      </c>
      <c r="G418" t="s">
        <v>41</v>
      </c>
      <c r="H418" t="s">
        <v>1399</v>
      </c>
      <c r="I418" t="s">
        <v>43</v>
      </c>
      <c r="J418">
        <v>2</v>
      </c>
      <c r="K418" t="s">
        <v>44</v>
      </c>
      <c r="L418" t="s">
        <v>45</v>
      </c>
      <c r="M418" t="s">
        <v>46</v>
      </c>
      <c r="N418" s="7">
        <v>1</v>
      </c>
      <c r="O418" s="8">
        <v>45645.535150462965</v>
      </c>
      <c r="P418" s="9">
        <v>45647</v>
      </c>
      <c r="Q418" t="s">
        <v>74</v>
      </c>
      <c r="R418" t="s">
        <v>48</v>
      </c>
      <c r="S418" t="s">
        <v>49</v>
      </c>
      <c r="T418" t="s">
        <v>101</v>
      </c>
      <c r="U418" t="s">
        <v>1400</v>
      </c>
      <c r="V418">
        <v>31150</v>
      </c>
      <c r="W418" t="s">
        <v>48</v>
      </c>
      <c r="X418" t="s">
        <v>1401</v>
      </c>
      <c r="Y418" t="s">
        <v>54</v>
      </c>
      <c r="Z418" s="12">
        <f>IF(N418&lt;=1,9,9+0.8*ROUNDUP(N418-1,0))</f>
        <v>9</v>
      </c>
      <c r="AA418" s="11">
        <v>-2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8"/>
        <v>0.42</v>
      </c>
      <c r="AG418" s="11">
        <f t="shared" si="19"/>
        <v>7.42</v>
      </c>
      <c r="AH418" s="11">
        <v>0</v>
      </c>
      <c r="AI418" s="11">
        <f t="shared" si="20"/>
        <v>7.42</v>
      </c>
      <c r="AJ418" t="s">
        <v>62</v>
      </c>
    </row>
    <row r="419" spans="1:36" ht="15" customHeight="1" x14ac:dyDescent="0.35">
      <c r="A419">
        <v>10428918</v>
      </c>
      <c r="B419" t="s">
        <v>36</v>
      </c>
      <c r="C419" t="s">
        <v>37</v>
      </c>
      <c r="D419" s="6" t="s">
        <v>38</v>
      </c>
      <c r="E419" t="s">
        <v>1402</v>
      </c>
      <c r="F419" t="s">
        <v>40</v>
      </c>
      <c r="G419" t="s">
        <v>41</v>
      </c>
      <c r="H419" t="s">
        <v>1403</v>
      </c>
      <c r="I419" t="s">
        <v>43</v>
      </c>
      <c r="J419">
        <v>2</v>
      </c>
      <c r="K419" t="s">
        <v>44</v>
      </c>
      <c r="L419" t="s">
        <v>45</v>
      </c>
      <c r="M419" t="s">
        <v>46</v>
      </c>
      <c r="N419" s="7">
        <v>1</v>
      </c>
      <c r="O419" s="8">
        <v>45644.760983796295</v>
      </c>
      <c r="P419" s="9">
        <v>45647</v>
      </c>
      <c r="Q419" t="s">
        <v>74</v>
      </c>
      <c r="R419" t="s">
        <v>48</v>
      </c>
      <c r="S419" t="s">
        <v>49</v>
      </c>
      <c r="T419" t="s">
        <v>101</v>
      </c>
      <c r="U419" t="s">
        <v>1404</v>
      </c>
      <c r="V419">
        <v>34850</v>
      </c>
      <c r="W419" t="s">
        <v>48</v>
      </c>
      <c r="X419" t="s">
        <v>943</v>
      </c>
      <c r="Y419" t="s">
        <v>54</v>
      </c>
      <c r="Z419" s="12">
        <f>IF(N419&lt;=1,9,9+0.8*ROUNDUP(N419-1,0))</f>
        <v>9</v>
      </c>
      <c r="AA419" s="11">
        <v>-2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8"/>
        <v>0.42</v>
      </c>
      <c r="AG419" s="11">
        <f t="shared" si="19"/>
        <v>7.42</v>
      </c>
      <c r="AH419" s="11">
        <v>0</v>
      </c>
      <c r="AI419" s="11">
        <f t="shared" si="20"/>
        <v>7.42</v>
      </c>
      <c r="AJ419" t="s">
        <v>62</v>
      </c>
    </row>
    <row r="420" spans="1:36" ht="15" customHeight="1" x14ac:dyDescent="0.35">
      <c r="A420">
        <v>10428918</v>
      </c>
      <c r="B420" t="s">
        <v>36</v>
      </c>
      <c r="C420" t="s">
        <v>37</v>
      </c>
      <c r="D420" s="6" t="s">
        <v>38</v>
      </c>
      <c r="E420" t="s">
        <v>1405</v>
      </c>
      <c r="F420" t="s">
        <v>40</v>
      </c>
      <c r="G420" t="s">
        <v>41</v>
      </c>
      <c r="H420" t="s">
        <v>1406</v>
      </c>
      <c r="I420" t="s">
        <v>43</v>
      </c>
      <c r="J420">
        <v>2</v>
      </c>
      <c r="K420" t="s">
        <v>44</v>
      </c>
      <c r="L420" t="s">
        <v>45</v>
      </c>
      <c r="M420" t="s">
        <v>46</v>
      </c>
      <c r="N420" s="7">
        <v>2</v>
      </c>
      <c r="O420" s="8">
        <v>45644.806967592594</v>
      </c>
      <c r="P420" s="9">
        <v>45647</v>
      </c>
      <c r="Q420" t="s">
        <v>74</v>
      </c>
      <c r="R420" t="s">
        <v>48</v>
      </c>
      <c r="S420" t="s">
        <v>49</v>
      </c>
      <c r="T420" t="s">
        <v>80</v>
      </c>
      <c r="U420" t="s">
        <v>1407</v>
      </c>
      <c r="V420">
        <v>6010</v>
      </c>
      <c r="W420" t="s">
        <v>48</v>
      </c>
      <c r="X420" t="s">
        <v>522</v>
      </c>
      <c r="Y420" t="s">
        <v>54</v>
      </c>
      <c r="Z420" s="12">
        <f>IF(N420&lt;=1,9,9+0.8*ROUNDUP(N420-1,0))</f>
        <v>9.8000000000000007</v>
      </c>
      <c r="AA420" s="11">
        <v>-2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8"/>
        <v>0.46800000000000003</v>
      </c>
      <c r="AG420" s="11">
        <f t="shared" si="19"/>
        <v>8.2680000000000007</v>
      </c>
      <c r="AH420" s="11">
        <v>0</v>
      </c>
      <c r="AI420" s="11">
        <f t="shared" si="20"/>
        <v>8.2680000000000007</v>
      </c>
      <c r="AJ420" t="s">
        <v>62</v>
      </c>
    </row>
    <row r="421" spans="1:36" ht="15" customHeight="1" x14ac:dyDescent="0.35">
      <c r="A421">
        <v>10428918</v>
      </c>
      <c r="B421" t="s">
        <v>36</v>
      </c>
      <c r="C421" t="s">
        <v>37</v>
      </c>
      <c r="D421" s="6" t="s">
        <v>38</v>
      </c>
      <c r="E421" t="s">
        <v>1408</v>
      </c>
      <c r="F421" t="s">
        <v>40</v>
      </c>
      <c r="G421" t="s">
        <v>41</v>
      </c>
      <c r="H421" t="s">
        <v>1409</v>
      </c>
      <c r="I421" t="s">
        <v>43</v>
      </c>
      <c r="J421">
        <v>2</v>
      </c>
      <c r="K421" t="s">
        <v>44</v>
      </c>
      <c r="L421" t="s">
        <v>45</v>
      </c>
      <c r="M421" t="s">
        <v>46</v>
      </c>
      <c r="N421" s="7">
        <v>1</v>
      </c>
      <c r="O421" s="8">
        <v>45644.806967592594</v>
      </c>
      <c r="P421" s="9">
        <v>45647</v>
      </c>
      <c r="Q421" t="s">
        <v>74</v>
      </c>
      <c r="R421" t="s">
        <v>48</v>
      </c>
      <c r="S421" t="s">
        <v>49</v>
      </c>
      <c r="T421" t="s">
        <v>101</v>
      </c>
      <c r="U421" t="s">
        <v>1410</v>
      </c>
      <c r="V421">
        <v>31100</v>
      </c>
      <c r="W421" t="s">
        <v>48</v>
      </c>
      <c r="X421" t="s">
        <v>103</v>
      </c>
      <c r="Y421" t="s">
        <v>54</v>
      </c>
      <c r="Z421" s="12">
        <f>IF(N421&lt;=1,9,9+0.8*ROUNDUP(N421-1,0))</f>
        <v>9</v>
      </c>
      <c r="AA421" s="11">
        <v>-2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8"/>
        <v>0.42</v>
      </c>
      <c r="AG421" s="11">
        <f t="shared" si="19"/>
        <v>7.42</v>
      </c>
      <c r="AH421" s="11">
        <v>0</v>
      </c>
      <c r="AI421" s="11">
        <f t="shared" si="20"/>
        <v>7.42</v>
      </c>
      <c r="AJ421" t="s">
        <v>62</v>
      </c>
    </row>
    <row r="422" spans="1:36" ht="15" customHeight="1" x14ac:dyDescent="0.35">
      <c r="A422">
        <v>10428918</v>
      </c>
      <c r="B422" t="s">
        <v>36</v>
      </c>
      <c r="C422" t="s">
        <v>37</v>
      </c>
      <c r="D422" s="6" t="s">
        <v>38</v>
      </c>
      <c r="E422" t="s">
        <v>1411</v>
      </c>
      <c r="F422" t="s">
        <v>40</v>
      </c>
      <c r="G422" t="s">
        <v>41</v>
      </c>
      <c r="H422" t="s">
        <v>1412</v>
      </c>
      <c r="I422" t="s">
        <v>43</v>
      </c>
      <c r="J422">
        <v>2</v>
      </c>
      <c r="K422" t="s">
        <v>44</v>
      </c>
      <c r="L422" t="s">
        <v>45</v>
      </c>
      <c r="M422" t="s">
        <v>46</v>
      </c>
      <c r="N422" s="7">
        <v>6</v>
      </c>
      <c r="O422" s="8">
        <v>45644.732268518521</v>
      </c>
      <c r="P422" s="9">
        <v>45647</v>
      </c>
      <c r="Q422" t="s">
        <v>74</v>
      </c>
      <c r="R422" t="s">
        <v>48</v>
      </c>
      <c r="S422" t="s">
        <v>49</v>
      </c>
      <c r="T422" t="s">
        <v>80</v>
      </c>
      <c r="U422" t="s">
        <v>1413</v>
      </c>
      <c r="V422">
        <v>8000</v>
      </c>
      <c r="W422" t="s">
        <v>48</v>
      </c>
      <c r="X422" t="s">
        <v>145</v>
      </c>
      <c r="Y422" t="s">
        <v>54</v>
      </c>
      <c r="Z422" s="12">
        <f>IF(N422&lt;=1,9,9+0.8*ROUNDUP(N422-1,0))</f>
        <v>13</v>
      </c>
      <c r="AA422" s="11">
        <v>-2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8"/>
        <v>0.65999999999999992</v>
      </c>
      <c r="AG422" s="11">
        <f t="shared" si="19"/>
        <v>11.66</v>
      </c>
      <c r="AH422" s="11">
        <v>0</v>
      </c>
      <c r="AI422" s="11">
        <f t="shared" si="20"/>
        <v>11.66</v>
      </c>
      <c r="AJ422" t="s">
        <v>62</v>
      </c>
    </row>
    <row r="423" spans="1:36" ht="15" customHeight="1" x14ac:dyDescent="0.35">
      <c r="A423">
        <v>10428918</v>
      </c>
      <c r="B423" t="s">
        <v>36</v>
      </c>
      <c r="C423" t="s">
        <v>37</v>
      </c>
      <c r="D423" s="6" t="s">
        <v>38</v>
      </c>
      <c r="E423" t="s">
        <v>1414</v>
      </c>
      <c r="F423" t="s">
        <v>40</v>
      </c>
      <c r="G423" t="s">
        <v>41</v>
      </c>
      <c r="H423" t="s">
        <v>1415</v>
      </c>
      <c r="I423" t="s">
        <v>43</v>
      </c>
      <c r="J423">
        <v>2</v>
      </c>
      <c r="K423" t="s">
        <v>44</v>
      </c>
      <c r="L423" t="s">
        <v>45</v>
      </c>
      <c r="M423" t="s">
        <v>46</v>
      </c>
      <c r="N423" s="7">
        <v>2</v>
      </c>
      <c r="O423" s="8">
        <v>45645.732002314813</v>
      </c>
      <c r="P423" s="9">
        <v>45647</v>
      </c>
      <c r="Q423" t="s">
        <v>74</v>
      </c>
      <c r="R423" t="s">
        <v>48</v>
      </c>
      <c r="S423" t="s">
        <v>49</v>
      </c>
      <c r="T423" t="s">
        <v>117</v>
      </c>
      <c r="U423" t="s">
        <v>1416</v>
      </c>
      <c r="V423">
        <v>40150</v>
      </c>
      <c r="W423" t="s">
        <v>48</v>
      </c>
      <c r="X423" t="s">
        <v>429</v>
      </c>
      <c r="Y423" t="s">
        <v>54</v>
      </c>
      <c r="Z423" s="12">
        <f>IF(N423&lt;=1,9,9+0.8*ROUNDUP(N423-1,0))</f>
        <v>9.8000000000000007</v>
      </c>
      <c r="AA423" s="11">
        <v>-2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8"/>
        <v>0.46800000000000003</v>
      </c>
      <c r="AG423" s="11">
        <f t="shared" si="19"/>
        <v>8.2680000000000007</v>
      </c>
      <c r="AH423" s="11">
        <v>0</v>
      </c>
      <c r="AI423" s="11">
        <f t="shared" si="20"/>
        <v>8.2680000000000007</v>
      </c>
      <c r="AJ423" t="s">
        <v>62</v>
      </c>
    </row>
    <row r="424" spans="1:36" ht="15" customHeight="1" x14ac:dyDescent="0.35">
      <c r="A424">
        <v>10428918</v>
      </c>
      <c r="B424" t="s">
        <v>36</v>
      </c>
      <c r="C424" t="s">
        <v>37</v>
      </c>
      <c r="D424" s="6" t="s">
        <v>38</v>
      </c>
      <c r="E424" t="s">
        <v>1417</v>
      </c>
      <c r="F424" t="s">
        <v>40</v>
      </c>
      <c r="G424" t="s">
        <v>41</v>
      </c>
      <c r="H424" t="s">
        <v>1418</v>
      </c>
      <c r="I424" t="s">
        <v>43</v>
      </c>
      <c r="J424">
        <v>2</v>
      </c>
      <c r="K424" t="s">
        <v>44</v>
      </c>
      <c r="L424" t="s">
        <v>45</v>
      </c>
      <c r="M424" t="s">
        <v>46</v>
      </c>
      <c r="N424" s="7">
        <v>2</v>
      </c>
      <c r="O424" s="8">
        <v>45645.732002314813</v>
      </c>
      <c r="P424" s="9">
        <v>45647</v>
      </c>
      <c r="Q424" t="s">
        <v>74</v>
      </c>
      <c r="R424" t="s">
        <v>48</v>
      </c>
      <c r="S424" t="s">
        <v>49</v>
      </c>
      <c r="T424" t="s">
        <v>117</v>
      </c>
      <c r="U424" t="s">
        <v>1419</v>
      </c>
      <c r="V424">
        <v>48300</v>
      </c>
      <c r="W424" t="s">
        <v>48</v>
      </c>
      <c r="X424" t="s">
        <v>254</v>
      </c>
      <c r="Y424" t="s">
        <v>54</v>
      </c>
      <c r="Z424" s="12">
        <f>IF(N424&lt;=1,9,9+0.8*ROUNDUP(N424-1,0))</f>
        <v>9.8000000000000007</v>
      </c>
      <c r="AA424" s="11">
        <v>-2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8"/>
        <v>0.46800000000000003</v>
      </c>
      <c r="AG424" s="11">
        <f t="shared" si="19"/>
        <v>8.2680000000000007</v>
      </c>
      <c r="AH424" s="11">
        <v>0</v>
      </c>
      <c r="AI424" s="11">
        <f t="shared" si="20"/>
        <v>8.2680000000000007</v>
      </c>
      <c r="AJ424" t="s">
        <v>62</v>
      </c>
    </row>
    <row r="425" spans="1:36" ht="15" customHeight="1" x14ac:dyDescent="0.35">
      <c r="A425">
        <v>10428918</v>
      </c>
      <c r="B425" t="s">
        <v>36</v>
      </c>
      <c r="C425" t="s">
        <v>37</v>
      </c>
      <c r="D425" s="6" t="s">
        <v>38</v>
      </c>
      <c r="E425" t="s">
        <v>1420</v>
      </c>
      <c r="F425" t="s">
        <v>40</v>
      </c>
      <c r="G425" t="s">
        <v>41</v>
      </c>
      <c r="H425" t="s">
        <v>1421</v>
      </c>
      <c r="I425" t="s">
        <v>43</v>
      </c>
      <c r="J425">
        <v>2</v>
      </c>
      <c r="K425" t="s">
        <v>44</v>
      </c>
      <c r="L425" t="s">
        <v>45</v>
      </c>
      <c r="M425" t="s">
        <v>46</v>
      </c>
      <c r="N425" s="7">
        <v>1</v>
      </c>
      <c r="O425" s="8">
        <v>45644.8124537037</v>
      </c>
      <c r="P425" s="9">
        <v>45647</v>
      </c>
      <c r="Q425" t="s">
        <v>74</v>
      </c>
      <c r="R425" t="s">
        <v>48</v>
      </c>
      <c r="S425" t="s">
        <v>49</v>
      </c>
      <c r="T425" t="s">
        <v>101</v>
      </c>
      <c r="U425" t="s">
        <v>1422</v>
      </c>
      <c r="V425">
        <v>32100</v>
      </c>
      <c r="W425" t="s">
        <v>48</v>
      </c>
      <c r="X425" t="s">
        <v>1120</v>
      </c>
      <c r="Y425" t="s">
        <v>54</v>
      </c>
      <c r="Z425" s="12">
        <f>IF(N425&lt;=1,9,9+0.8*ROUNDUP(N425-1,0))</f>
        <v>9</v>
      </c>
      <c r="AA425" s="11">
        <v>-2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8"/>
        <v>0.42</v>
      </c>
      <c r="AG425" s="11">
        <f t="shared" si="19"/>
        <v>7.42</v>
      </c>
      <c r="AH425" s="11">
        <v>0</v>
      </c>
      <c r="AI425" s="11">
        <f t="shared" si="20"/>
        <v>7.42</v>
      </c>
      <c r="AJ425" t="s">
        <v>62</v>
      </c>
    </row>
    <row r="426" spans="1:36" ht="15" customHeight="1" x14ac:dyDescent="0.35">
      <c r="A426">
        <v>10428918</v>
      </c>
      <c r="B426" t="s">
        <v>36</v>
      </c>
      <c r="C426" t="s">
        <v>37</v>
      </c>
      <c r="D426" s="6" t="s">
        <v>38</v>
      </c>
      <c r="E426" t="s">
        <v>1423</v>
      </c>
      <c r="F426" t="s">
        <v>40</v>
      </c>
      <c r="G426" t="s">
        <v>41</v>
      </c>
      <c r="H426" t="s">
        <v>1424</v>
      </c>
      <c r="I426" t="s">
        <v>43</v>
      </c>
      <c r="J426">
        <v>2</v>
      </c>
      <c r="K426" t="s">
        <v>44</v>
      </c>
      <c r="L426" t="s">
        <v>45</v>
      </c>
      <c r="M426" t="s">
        <v>46</v>
      </c>
      <c r="N426" s="7">
        <v>1</v>
      </c>
      <c r="O426" s="8">
        <v>45644.569490740738</v>
      </c>
      <c r="P426" s="9">
        <v>45647</v>
      </c>
      <c r="Q426" t="s">
        <v>74</v>
      </c>
      <c r="R426" t="s">
        <v>48</v>
      </c>
      <c r="S426" t="s">
        <v>49</v>
      </c>
      <c r="T426" t="s">
        <v>101</v>
      </c>
      <c r="U426" t="s">
        <v>1425</v>
      </c>
      <c r="V426">
        <v>34200</v>
      </c>
      <c r="W426" t="s">
        <v>48</v>
      </c>
      <c r="X426" t="s">
        <v>827</v>
      </c>
      <c r="Y426" t="s">
        <v>54</v>
      </c>
      <c r="Z426" s="12">
        <f>IF(N426&lt;=1,9,9+0.8*ROUNDUP(N426-1,0))</f>
        <v>9</v>
      </c>
      <c r="AA426" s="11">
        <v>-2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8"/>
        <v>0.42</v>
      </c>
      <c r="AG426" s="11">
        <f t="shared" si="19"/>
        <v>7.42</v>
      </c>
      <c r="AH426" s="11">
        <v>0</v>
      </c>
      <c r="AI426" s="11">
        <f t="shared" si="20"/>
        <v>7.42</v>
      </c>
      <c r="AJ426" t="s">
        <v>62</v>
      </c>
    </row>
    <row r="427" spans="1:36" ht="15" customHeight="1" x14ac:dyDescent="0.35">
      <c r="A427">
        <v>10428918</v>
      </c>
      <c r="B427" t="s">
        <v>36</v>
      </c>
      <c r="C427" t="s">
        <v>37</v>
      </c>
      <c r="D427" s="6" t="s">
        <v>38</v>
      </c>
      <c r="E427" t="s">
        <v>1426</v>
      </c>
      <c r="F427" t="s">
        <v>40</v>
      </c>
      <c r="G427" t="s">
        <v>41</v>
      </c>
      <c r="H427" t="s">
        <v>1427</v>
      </c>
      <c r="I427" t="s">
        <v>43</v>
      </c>
      <c r="J427">
        <v>2</v>
      </c>
      <c r="K427" t="s">
        <v>44</v>
      </c>
      <c r="L427" t="s">
        <v>45</v>
      </c>
      <c r="M427" t="s">
        <v>46</v>
      </c>
      <c r="N427" s="7">
        <v>1</v>
      </c>
      <c r="O427" s="8">
        <v>45647.656724537039</v>
      </c>
      <c r="P427" s="9">
        <v>45648</v>
      </c>
      <c r="Q427" t="s">
        <v>74</v>
      </c>
      <c r="R427" t="s">
        <v>48</v>
      </c>
      <c r="S427" t="s">
        <v>49</v>
      </c>
      <c r="T427" t="s">
        <v>75</v>
      </c>
      <c r="U427" t="s">
        <v>1428</v>
      </c>
      <c r="V427">
        <v>26100</v>
      </c>
      <c r="W427" t="s">
        <v>48</v>
      </c>
      <c r="X427" t="s">
        <v>77</v>
      </c>
      <c r="Y427" t="s">
        <v>54</v>
      </c>
      <c r="Z427" s="12">
        <f>IF(N427&lt;=1,9,9+0.8*ROUNDUP(N427-1,0))</f>
        <v>9</v>
      </c>
      <c r="AA427" s="11">
        <v>-2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8"/>
        <v>0.42</v>
      </c>
      <c r="AG427" s="11">
        <f t="shared" si="19"/>
        <v>7.42</v>
      </c>
      <c r="AH427" s="11">
        <v>0</v>
      </c>
      <c r="AI427" s="11">
        <f t="shared" si="20"/>
        <v>7.42</v>
      </c>
      <c r="AJ427" t="s">
        <v>62</v>
      </c>
    </row>
    <row r="428" spans="1:36" ht="15" customHeight="1" x14ac:dyDescent="0.35">
      <c r="A428">
        <v>10428918</v>
      </c>
      <c r="B428" t="s">
        <v>36</v>
      </c>
      <c r="C428" t="s">
        <v>37</v>
      </c>
      <c r="D428" s="6" t="s">
        <v>38</v>
      </c>
      <c r="E428" t="s">
        <v>1429</v>
      </c>
      <c r="F428" t="s">
        <v>40</v>
      </c>
      <c r="G428" t="s">
        <v>41</v>
      </c>
      <c r="H428" t="s">
        <v>1430</v>
      </c>
      <c r="I428" t="s">
        <v>43</v>
      </c>
      <c r="J428">
        <v>2</v>
      </c>
      <c r="K428" t="s">
        <v>44</v>
      </c>
      <c r="L428" t="s">
        <v>45</v>
      </c>
      <c r="M428" t="s">
        <v>46</v>
      </c>
      <c r="N428" s="7">
        <v>2</v>
      </c>
      <c r="O428" s="8">
        <v>45647.641018518516</v>
      </c>
      <c r="P428" s="9">
        <v>45648</v>
      </c>
      <c r="Q428" t="s">
        <v>74</v>
      </c>
      <c r="R428" t="s">
        <v>48</v>
      </c>
      <c r="S428" t="s">
        <v>49</v>
      </c>
      <c r="T428" t="s">
        <v>59</v>
      </c>
      <c r="U428" t="s">
        <v>1431</v>
      </c>
      <c r="V428">
        <v>18300</v>
      </c>
      <c r="W428" t="s">
        <v>48</v>
      </c>
      <c r="X428" t="s">
        <v>61</v>
      </c>
      <c r="Y428" t="s">
        <v>54</v>
      </c>
      <c r="Z428" s="12">
        <f>IF(N428&lt;=1,9,9+0.8*ROUNDUP(N428-1,0))</f>
        <v>9.8000000000000007</v>
      </c>
      <c r="AA428" s="11">
        <v>-2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8"/>
        <v>0.46800000000000003</v>
      </c>
      <c r="AG428" s="11">
        <f t="shared" si="19"/>
        <v>8.2680000000000007</v>
      </c>
      <c r="AH428" s="11">
        <v>0</v>
      </c>
      <c r="AI428" s="11">
        <f t="shared" si="20"/>
        <v>8.2680000000000007</v>
      </c>
      <c r="AJ428" t="s">
        <v>62</v>
      </c>
    </row>
    <row r="429" spans="1:36" ht="15" customHeight="1" x14ac:dyDescent="0.35">
      <c r="A429">
        <v>10428918</v>
      </c>
      <c r="B429" t="s">
        <v>36</v>
      </c>
      <c r="C429" t="s">
        <v>37</v>
      </c>
      <c r="D429" s="6" t="s">
        <v>38</v>
      </c>
      <c r="E429" t="s">
        <v>1432</v>
      </c>
      <c r="F429" t="s">
        <v>40</v>
      </c>
      <c r="G429" t="s">
        <v>41</v>
      </c>
      <c r="H429" t="s">
        <v>1433</v>
      </c>
      <c r="I429" t="s">
        <v>43</v>
      </c>
      <c r="J429">
        <v>2</v>
      </c>
      <c r="K429" t="s">
        <v>44</v>
      </c>
      <c r="L429" t="s">
        <v>45</v>
      </c>
      <c r="M429" t="s">
        <v>46</v>
      </c>
      <c r="N429" s="7">
        <v>1</v>
      </c>
      <c r="O429" s="8">
        <v>45646.416666666664</v>
      </c>
      <c r="P429" s="9">
        <v>45648</v>
      </c>
      <c r="Q429" t="s">
        <v>58</v>
      </c>
      <c r="R429" t="s">
        <v>48</v>
      </c>
      <c r="S429" t="s">
        <v>49</v>
      </c>
      <c r="T429" t="s">
        <v>65</v>
      </c>
      <c r="U429" t="s">
        <v>1434</v>
      </c>
      <c r="V429">
        <v>76100</v>
      </c>
      <c r="W429" t="s">
        <v>48</v>
      </c>
      <c r="X429" t="s">
        <v>448</v>
      </c>
      <c r="Y429" t="s">
        <v>54</v>
      </c>
      <c r="Z429" s="12">
        <f>IF(N429&lt;=1,9,9+0.8*ROUNDUP(N429-1,0))</f>
        <v>9</v>
      </c>
      <c r="AA429" s="11">
        <v>-2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8"/>
        <v>0.42</v>
      </c>
      <c r="AG429" s="11">
        <f t="shared" si="19"/>
        <v>7.42</v>
      </c>
      <c r="AH429" s="11">
        <v>0</v>
      </c>
      <c r="AI429" s="11">
        <f t="shared" si="20"/>
        <v>7.42</v>
      </c>
      <c r="AJ429" t="s">
        <v>62</v>
      </c>
    </row>
    <row r="430" spans="1:36" ht="15" customHeight="1" x14ac:dyDescent="0.35">
      <c r="A430">
        <v>10428918</v>
      </c>
      <c r="B430" t="s">
        <v>36</v>
      </c>
      <c r="C430" t="s">
        <v>37</v>
      </c>
      <c r="D430" s="6" t="s">
        <v>38</v>
      </c>
      <c r="E430" t="s">
        <v>1435</v>
      </c>
      <c r="F430" t="s">
        <v>40</v>
      </c>
      <c r="G430" t="s">
        <v>41</v>
      </c>
      <c r="H430" t="s">
        <v>1436</v>
      </c>
      <c r="I430" t="s">
        <v>43</v>
      </c>
      <c r="J430">
        <v>2</v>
      </c>
      <c r="K430" t="s">
        <v>44</v>
      </c>
      <c r="L430" t="s">
        <v>45</v>
      </c>
      <c r="M430" t="s">
        <v>46</v>
      </c>
      <c r="N430" s="7">
        <v>1</v>
      </c>
      <c r="O430" s="8">
        <v>45645.485810185186</v>
      </c>
      <c r="P430" s="9">
        <v>45648</v>
      </c>
      <c r="Q430" t="s">
        <v>74</v>
      </c>
      <c r="R430" t="s">
        <v>48</v>
      </c>
      <c r="S430" t="s">
        <v>49</v>
      </c>
      <c r="T430" t="s">
        <v>65</v>
      </c>
      <c r="U430" t="s">
        <v>1437</v>
      </c>
      <c r="V430">
        <v>78000</v>
      </c>
      <c r="W430" t="s">
        <v>48</v>
      </c>
      <c r="X430" t="s">
        <v>448</v>
      </c>
      <c r="Y430" t="s">
        <v>54</v>
      </c>
      <c r="Z430" s="12">
        <f>IF(N430&lt;=1,9,9+0.8*ROUNDUP(N430-1,0))</f>
        <v>9</v>
      </c>
      <c r="AA430" s="11">
        <v>-2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8"/>
        <v>0.42</v>
      </c>
      <c r="AG430" s="11">
        <f t="shared" si="19"/>
        <v>7.42</v>
      </c>
      <c r="AH430" s="11">
        <v>0</v>
      </c>
      <c r="AI430" s="11">
        <f t="shared" si="20"/>
        <v>7.42</v>
      </c>
      <c r="AJ430" t="s">
        <v>62</v>
      </c>
    </row>
    <row r="431" spans="1:36" ht="15" customHeight="1" x14ac:dyDescent="0.35">
      <c r="A431">
        <v>10428918</v>
      </c>
      <c r="B431" t="s">
        <v>36</v>
      </c>
      <c r="C431" t="s">
        <v>37</v>
      </c>
      <c r="D431" s="6" t="s">
        <v>38</v>
      </c>
      <c r="E431" t="s">
        <v>1438</v>
      </c>
      <c r="F431" t="s">
        <v>40</v>
      </c>
      <c r="G431" t="s">
        <v>41</v>
      </c>
      <c r="H431" t="s">
        <v>1439</v>
      </c>
      <c r="I431" t="s">
        <v>43</v>
      </c>
      <c r="J431">
        <v>2</v>
      </c>
      <c r="K431" t="s">
        <v>44</v>
      </c>
      <c r="L431" t="s">
        <v>45</v>
      </c>
      <c r="M431" t="s">
        <v>46</v>
      </c>
      <c r="N431" s="7">
        <v>2</v>
      </c>
      <c r="O431" s="8">
        <v>45646.771597222221</v>
      </c>
      <c r="P431" s="9">
        <v>45648</v>
      </c>
      <c r="Q431" t="s">
        <v>74</v>
      </c>
      <c r="R431" t="s">
        <v>48</v>
      </c>
      <c r="S431" t="s">
        <v>49</v>
      </c>
      <c r="T431" t="s">
        <v>90</v>
      </c>
      <c r="U431" t="s">
        <v>1440</v>
      </c>
      <c r="V431">
        <v>21300</v>
      </c>
      <c r="W431" t="s">
        <v>48</v>
      </c>
      <c r="X431" t="s">
        <v>469</v>
      </c>
      <c r="Y431" t="s">
        <v>54</v>
      </c>
      <c r="Z431" s="12">
        <f>IF(N431&lt;=1,9,9+0.8*ROUNDUP(N431-1,0))</f>
        <v>9.8000000000000007</v>
      </c>
      <c r="AA431" s="11">
        <v>-2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8"/>
        <v>0.46800000000000003</v>
      </c>
      <c r="AG431" s="11">
        <f t="shared" si="19"/>
        <v>8.2680000000000007</v>
      </c>
      <c r="AH431" s="11">
        <v>0</v>
      </c>
      <c r="AI431" s="11">
        <f t="shared" si="20"/>
        <v>8.2680000000000007</v>
      </c>
      <c r="AJ431" t="s">
        <v>62</v>
      </c>
    </row>
    <row r="432" spans="1:36" ht="15" customHeight="1" x14ac:dyDescent="0.35">
      <c r="A432">
        <v>10428918</v>
      </c>
      <c r="B432" t="s">
        <v>36</v>
      </c>
      <c r="C432" t="s">
        <v>37</v>
      </c>
      <c r="D432" s="6" t="s">
        <v>38</v>
      </c>
      <c r="E432" t="s">
        <v>1441</v>
      </c>
      <c r="F432" t="s">
        <v>40</v>
      </c>
      <c r="G432" t="s">
        <v>41</v>
      </c>
      <c r="H432" t="s">
        <v>1442</v>
      </c>
      <c r="I432" t="s">
        <v>43</v>
      </c>
      <c r="J432">
        <v>2</v>
      </c>
      <c r="K432" t="s">
        <v>44</v>
      </c>
      <c r="L432" t="s">
        <v>45</v>
      </c>
      <c r="M432" t="s">
        <v>46</v>
      </c>
      <c r="N432" s="7">
        <v>1</v>
      </c>
      <c r="O432" s="8">
        <v>45647.716921296298</v>
      </c>
      <c r="P432" s="9">
        <v>45648</v>
      </c>
      <c r="Q432" t="s">
        <v>74</v>
      </c>
      <c r="R432" t="s">
        <v>48</v>
      </c>
      <c r="S432" t="s">
        <v>49</v>
      </c>
      <c r="T432" t="s">
        <v>117</v>
      </c>
      <c r="U432" t="s">
        <v>1443</v>
      </c>
      <c r="V432">
        <v>47500</v>
      </c>
      <c r="W432" t="s">
        <v>48</v>
      </c>
      <c r="X432" t="s">
        <v>473</v>
      </c>
      <c r="Y432" t="s">
        <v>54</v>
      </c>
      <c r="Z432" s="12">
        <f>IF(N432&lt;=1,9,9+0.8*ROUNDUP(N432-1,0))</f>
        <v>9</v>
      </c>
      <c r="AA432" s="11">
        <v>-2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8"/>
        <v>0.42</v>
      </c>
      <c r="AG432" s="11">
        <f t="shared" si="19"/>
        <v>7.42</v>
      </c>
      <c r="AH432" s="11">
        <v>0</v>
      </c>
      <c r="AI432" s="11">
        <f t="shared" si="20"/>
        <v>7.42</v>
      </c>
      <c r="AJ432" t="s">
        <v>62</v>
      </c>
    </row>
    <row r="433" spans="1:36" ht="15" customHeight="1" x14ac:dyDescent="0.35">
      <c r="A433">
        <v>10428918</v>
      </c>
      <c r="B433" t="s">
        <v>36</v>
      </c>
      <c r="C433" t="s">
        <v>37</v>
      </c>
      <c r="D433" s="6" t="s">
        <v>38</v>
      </c>
      <c r="E433" t="s">
        <v>1444</v>
      </c>
      <c r="F433" t="s">
        <v>40</v>
      </c>
      <c r="G433" t="s">
        <v>41</v>
      </c>
      <c r="H433" t="s">
        <v>193</v>
      </c>
      <c r="I433" t="s">
        <v>43</v>
      </c>
      <c r="J433">
        <v>2</v>
      </c>
      <c r="K433" t="s">
        <v>44</v>
      </c>
      <c r="L433" t="s">
        <v>45</v>
      </c>
      <c r="M433" t="s">
        <v>46</v>
      </c>
      <c r="N433" s="7">
        <v>1</v>
      </c>
      <c r="O433" s="8">
        <v>45647.652488425927</v>
      </c>
      <c r="P433" s="9">
        <v>45648</v>
      </c>
      <c r="Q433" t="s">
        <v>74</v>
      </c>
      <c r="R433" t="s">
        <v>48</v>
      </c>
      <c r="S433" t="s">
        <v>49</v>
      </c>
      <c r="T433" t="s">
        <v>59</v>
      </c>
      <c r="U433" t="s">
        <v>194</v>
      </c>
      <c r="V433">
        <v>18300</v>
      </c>
      <c r="W433" t="s">
        <v>48</v>
      </c>
      <c r="X433" t="s">
        <v>61</v>
      </c>
      <c r="Y433" t="s">
        <v>54</v>
      </c>
      <c r="Z433" s="12">
        <f>IF(N433&lt;=1,9,9+0.8*ROUNDUP(N433-1,0))</f>
        <v>9</v>
      </c>
      <c r="AA433" s="11">
        <v>-2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8"/>
        <v>0.42</v>
      </c>
      <c r="AG433" s="11">
        <f t="shared" si="19"/>
        <v>7.42</v>
      </c>
      <c r="AH433" s="11">
        <v>0</v>
      </c>
      <c r="AI433" s="11">
        <f t="shared" si="20"/>
        <v>7.42</v>
      </c>
      <c r="AJ433" t="s">
        <v>62</v>
      </c>
    </row>
    <row r="434" spans="1:36" ht="15" customHeight="1" x14ac:dyDescent="0.35">
      <c r="A434">
        <v>10428918</v>
      </c>
      <c r="B434" t="s">
        <v>36</v>
      </c>
      <c r="C434" t="s">
        <v>37</v>
      </c>
      <c r="D434" s="6" t="s">
        <v>38</v>
      </c>
      <c r="E434" t="s">
        <v>1445</v>
      </c>
      <c r="F434" t="s">
        <v>40</v>
      </c>
      <c r="G434" t="s">
        <v>41</v>
      </c>
      <c r="H434" t="s">
        <v>189</v>
      </c>
      <c r="I434" t="s">
        <v>43</v>
      </c>
      <c r="J434">
        <v>2</v>
      </c>
      <c r="K434" t="s">
        <v>44</v>
      </c>
      <c r="L434" t="s">
        <v>45</v>
      </c>
      <c r="M434" t="s">
        <v>46</v>
      </c>
      <c r="N434" s="7">
        <v>2</v>
      </c>
      <c r="O434" s="8">
        <v>45647.641018518516</v>
      </c>
      <c r="P434" s="9">
        <v>45648</v>
      </c>
      <c r="Q434" t="s">
        <v>74</v>
      </c>
      <c r="R434" t="s">
        <v>48</v>
      </c>
      <c r="S434" t="s">
        <v>49</v>
      </c>
      <c r="T434" t="s">
        <v>117</v>
      </c>
      <c r="U434" t="s">
        <v>190</v>
      </c>
      <c r="V434">
        <v>43650</v>
      </c>
      <c r="W434" t="s">
        <v>48</v>
      </c>
      <c r="X434" t="s">
        <v>191</v>
      </c>
      <c r="Y434" t="s">
        <v>54</v>
      </c>
      <c r="Z434" s="12">
        <f>IF(N434&lt;=1,9,9+0.8*ROUNDUP(N434-1,0))</f>
        <v>9.8000000000000007</v>
      </c>
      <c r="AA434" s="11">
        <v>-2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8"/>
        <v>0.46800000000000003</v>
      </c>
      <c r="AG434" s="11">
        <f t="shared" si="19"/>
        <v>8.2680000000000007</v>
      </c>
      <c r="AH434" s="11">
        <v>0</v>
      </c>
      <c r="AI434" s="11">
        <f t="shared" si="20"/>
        <v>8.2680000000000007</v>
      </c>
      <c r="AJ434" t="s">
        <v>62</v>
      </c>
    </row>
    <row r="435" spans="1:36" ht="15" customHeight="1" x14ac:dyDescent="0.35">
      <c r="A435">
        <v>10428918</v>
      </c>
      <c r="B435" t="s">
        <v>36</v>
      </c>
      <c r="C435" t="s">
        <v>37</v>
      </c>
      <c r="D435" s="6" t="s">
        <v>38</v>
      </c>
      <c r="E435" t="s">
        <v>1446</v>
      </c>
      <c r="F435" t="s">
        <v>40</v>
      </c>
      <c r="G435" t="s">
        <v>41</v>
      </c>
      <c r="H435" t="s">
        <v>1447</v>
      </c>
      <c r="I435" t="s">
        <v>43</v>
      </c>
      <c r="J435">
        <v>2</v>
      </c>
      <c r="K435" t="s">
        <v>44</v>
      </c>
      <c r="L435" t="s">
        <v>45</v>
      </c>
      <c r="M435" t="s">
        <v>46</v>
      </c>
      <c r="N435" s="7">
        <v>2</v>
      </c>
      <c r="O435" s="8">
        <v>45647.444305555553</v>
      </c>
      <c r="P435" s="9">
        <v>45648</v>
      </c>
      <c r="Q435" t="s">
        <v>74</v>
      </c>
      <c r="R435" t="s">
        <v>48</v>
      </c>
      <c r="S435" t="s">
        <v>49</v>
      </c>
      <c r="T435" t="s">
        <v>90</v>
      </c>
      <c r="U435" t="s">
        <v>1448</v>
      </c>
      <c r="V435">
        <v>20050</v>
      </c>
      <c r="W435" t="s">
        <v>48</v>
      </c>
      <c r="X435" t="s">
        <v>92</v>
      </c>
      <c r="Y435" t="s">
        <v>54</v>
      </c>
      <c r="Z435" s="12">
        <f>IF(N435&lt;=1,9,9+0.8*ROUNDUP(N435-1,0))</f>
        <v>9.8000000000000007</v>
      </c>
      <c r="AA435" s="11">
        <v>-2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8"/>
        <v>0.46800000000000003</v>
      </c>
      <c r="AG435" s="11">
        <f t="shared" si="19"/>
        <v>8.2680000000000007</v>
      </c>
      <c r="AH435" s="11">
        <v>0</v>
      </c>
      <c r="AI435" s="11">
        <f t="shared" si="20"/>
        <v>8.2680000000000007</v>
      </c>
      <c r="AJ435" t="s">
        <v>62</v>
      </c>
    </row>
    <row r="436" spans="1:36" ht="15" customHeight="1" x14ac:dyDescent="0.35">
      <c r="A436">
        <v>10428918</v>
      </c>
      <c r="B436" t="s">
        <v>36</v>
      </c>
      <c r="C436" t="s">
        <v>37</v>
      </c>
      <c r="D436" s="6" t="s">
        <v>38</v>
      </c>
      <c r="E436" t="s">
        <v>1449</v>
      </c>
      <c r="F436" t="s">
        <v>40</v>
      </c>
      <c r="G436" t="s">
        <v>41</v>
      </c>
      <c r="H436" t="s">
        <v>1450</v>
      </c>
      <c r="I436" t="s">
        <v>43</v>
      </c>
      <c r="J436">
        <v>2</v>
      </c>
      <c r="K436" t="s">
        <v>44</v>
      </c>
      <c r="L436" t="s">
        <v>45</v>
      </c>
      <c r="M436" t="s">
        <v>46</v>
      </c>
      <c r="N436" s="7">
        <v>1</v>
      </c>
      <c r="O436" s="8">
        <v>45643.738449074073</v>
      </c>
      <c r="P436" s="9">
        <v>45648</v>
      </c>
      <c r="Q436" t="s">
        <v>74</v>
      </c>
      <c r="R436" t="s">
        <v>48</v>
      </c>
      <c r="S436" t="s">
        <v>49</v>
      </c>
      <c r="T436" t="s">
        <v>50</v>
      </c>
      <c r="U436" t="s">
        <v>1451</v>
      </c>
      <c r="V436">
        <v>91308</v>
      </c>
      <c r="W436" t="s">
        <v>52</v>
      </c>
      <c r="X436" t="s">
        <v>53</v>
      </c>
      <c r="Y436" t="s">
        <v>54</v>
      </c>
      <c r="Z436" s="10">
        <f>IF(N436&lt;=1,13,IF(N436&lt;=2,23,IF(N436&lt;=3,35,IF(N436&lt;=4,43,IF(N436&lt;=5,53,IF(N436&lt;=6,63,IF(N436&lt;=7,71,IF(N436&lt;=8,79,IF(N436&lt;=9,87,IF(N436&lt;=10,95,IF(N436&lt;=11,105,IF(N436&lt;=12,114,IF(N436&lt;=13,119,IF(N436&lt;=14,127,IF(N436&lt;=15,135,IF(N436&lt;=16,143,IF(N436&lt;=17,153,IF(N436&lt;=18,163,IF(N436&lt;=19,171,IF(N436&lt;=20,185,IF(N436&lt;=21,193,IF(N436&lt;=22,201,IF(N436&lt;=23,210,IF(N436&lt;=24,220,IF(N436&lt;=25,230,IF(N436&lt;=26,240,IF(N436&lt;=27,250,IF(N436&lt;=28,260,IF(N436&lt;=29,270,IF(N436&lt;=30,280,280+10*ROUNDUP(N436-30,0)))))))))))))))))))))))))))))))</f>
        <v>13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8"/>
        <v>0.78</v>
      </c>
      <c r="AG436" s="11">
        <f t="shared" si="19"/>
        <v>13.78</v>
      </c>
      <c r="AH436" s="11">
        <v>0</v>
      </c>
      <c r="AI436" s="11">
        <f t="shared" si="20"/>
        <v>13.78</v>
      </c>
      <c r="AJ436" t="s">
        <v>55</v>
      </c>
    </row>
    <row r="437" spans="1:36" ht="15" customHeight="1" x14ac:dyDescent="0.35">
      <c r="A437">
        <v>10428918</v>
      </c>
      <c r="B437" t="s">
        <v>36</v>
      </c>
      <c r="C437" t="s">
        <v>37</v>
      </c>
      <c r="D437" s="6" t="s">
        <v>38</v>
      </c>
      <c r="E437" t="s">
        <v>1452</v>
      </c>
      <c r="F437" t="s">
        <v>40</v>
      </c>
      <c r="G437" t="s">
        <v>41</v>
      </c>
      <c r="H437" t="s">
        <v>1453</v>
      </c>
      <c r="I437" t="s">
        <v>43</v>
      </c>
      <c r="J437">
        <v>2</v>
      </c>
      <c r="K437" t="s">
        <v>44</v>
      </c>
      <c r="L437" t="s">
        <v>45</v>
      </c>
      <c r="M437" t="s">
        <v>46</v>
      </c>
      <c r="N437" s="7">
        <v>1</v>
      </c>
      <c r="O437" s="8">
        <v>45647.640405092592</v>
      </c>
      <c r="P437" s="9">
        <v>45648</v>
      </c>
      <c r="Q437" t="s">
        <v>74</v>
      </c>
      <c r="R437" t="s">
        <v>48</v>
      </c>
      <c r="S437" t="s">
        <v>49</v>
      </c>
      <c r="T437" t="s">
        <v>90</v>
      </c>
      <c r="U437" t="s">
        <v>1454</v>
      </c>
      <c r="V437">
        <v>24000</v>
      </c>
      <c r="W437" t="s">
        <v>48</v>
      </c>
      <c r="X437" t="s">
        <v>77</v>
      </c>
      <c r="Y437" t="s">
        <v>54</v>
      </c>
      <c r="Z437" s="12">
        <f>IF(N437&lt;=1,9,9+0.8*ROUNDUP(N437-1,0))</f>
        <v>9</v>
      </c>
      <c r="AA437" s="11">
        <v>-2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8"/>
        <v>0.42</v>
      </c>
      <c r="AG437" s="11">
        <f t="shared" si="19"/>
        <v>7.42</v>
      </c>
      <c r="AH437" s="11">
        <v>0</v>
      </c>
      <c r="AI437" s="11">
        <f t="shared" si="20"/>
        <v>7.42</v>
      </c>
      <c r="AJ437" t="s">
        <v>62</v>
      </c>
    </row>
    <row r="438" spans="1:36" ht="15" customHeight="1" x14ac:dyDescent="0.35">
      <c r="A438">
        <v>10428918</v>
      </c>
      <c r="B438" t="s">
        <v>36</v>
      </c>
      <c r="C438" t="s">
        <v>37</v>
      </c>
      <c r="D438" s="6" t="s">
        <v>38</v>
      </c>
      <c r="E438" t="s">
        <v>1455</v>
      </c>
      <c r="F438" t="s">
        <v>40</v>
      </c>
      <c r="G438" t="s">
        <v>41</v>
      </c>
      <c r="H438" t="s">
        <v>1456</v>
      </c>
      <c r="I438" t="s">
        <v>43</v>
      </c>
      <c r="J438">
        <v>2</v>
      </c>
      <c r="K438" t="s">
        <v>44</v>
      </c>
      <c r="L438" t="s">
        <v>45</v>
      </c>
      <c r="M438" t="s">
        <v>46</v>
      </c>
      <c r="N438" s="7">
        <v>2</v>
      </c>
      <c r="O438" s="8">
        <v>45647.645856481482</v>
      </c>
      <c r="P438" s="9">
        <v>45648</v>
      </c>
      <c r="Q438" t="s">
        <v>74</v>
      </c>
      <c r="R438" t="s">
        <v>48</v>
      </c>
      <c r="S438" t="s">
        <v>49</v>
      </c>
      <c r="T438" t="s">
        <v>117</v>
      </c>
      <c r="U438" t="s">
        <v>1457</v>
      </c>
      <c r="V438">
        <v>42450</v>
      </c>
      <c r="W438" t="s">
        <v>48</v>
      </c>
      <c r="X438" t="s">
        <v>1458</v>
      </c>
      <c r="Y438" t="s">
        <v>54</v>
      </c>
      <c r="Z438" s="12">
        <f>IF(N438&lt;=1,9,9+0.8*ROUNDUP(N438-1,0))</f>
        <v>9.8000000000000007</v>
      </c>
      <c r="AA438" s="11">
        <v>-2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8"/>
        <v>0.46800000000000003</v>
      </c>
      <c r="AG438" s="11">
        <f t="shared" si="19"/>
        <v>8.2680000000000007</v>
      </c>
      <c r="AH438" s="11">
        <v>0</v>
      </c>
      <c r="AI438" s="11">
        <f t="shared" si="20"/>
        <v>8.2680000000000007</v>
      </c>
      <c r="AJ438" t="s">
        <v>62</v>
      </c>
    </row>
    <row r="439" spans="1:36" ht="15" customHeight="1" x14ac:dyDescent="0.35">
      <c r="A439">
        <v>10428918</v>
      </c>
      <c r="B439" t="s">
        <v>36</v>
      </c>
      <c r="C439" t="s">
        <v>37</v>
      </c>
      <c r="D439" s="6" t="s">
        <v>38</v>
      </c>
      <c r="E439" t="s">
        <v>1459</v>
      </c>
      <c r="F439" t="s">
        <v>40</v>
      </c>
      <c r="G439" t="s">
        <v>41</v>
      </c>
      <c r="H439" t="s">
        <v>1460</v>
      </c>
      <c r="I439" t="s">
        <v>43</v>
      </c>
      <c r="J439">
        <v>2</v>
      </c>
      <c r="K439" t="s">
        <v>44</v>
      </c>
      <c r="L439" t="s">
        <v>45</v>
      </c>
      <c r="M439" t="s">
        <v>46</v>
      </c>
      <c r="N439" s="7">
        <v>1</v>
      </c>
      <c r="O439" s="8">
        <v>45646.550173611111</v>
      </c>
      <c r="P439" s="9">
        <v>45648</v>
      </c>
      <c r="Q439" t="s">
        <v>58</v>
      </c>
      <c r="R439" t="s">
        <v>48</v>
      </c>
      <c r="S439" t="s">
        <v>49</v>
      </c>
      <c r="T439" t="s">
        <v>69</v>
      </c>
      <c r="U439" t="s">
        <v>1461</v>
      </c>
      <c r="V439">
        <v>81440</v>
      </c>
      <c r="W439" t="s">
        <v>48</v>
      </c>
      <c r="X439" t="s">
        <v>53</v>
      </c>
      <c r="Y439" t="s">
        <v>54</v>
      </c>
      <c r="Z439" s="12">
        <f>IF(N439&lt;=1,9,9+0.8*ROUNDUP(N439-1,0))</f>
        <v>9</v>
      </c>
      <c r="AA439" s="11">
        <v>-2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8"/>
        <v>0.42</v>
      </c>
      <c r="AG439" s="11">
        <f t="shared" si="19"/>
        <v>7.42</v>
      </c>
      <c r="AH439" s="11">
        <v>0</v>
      </c>
      <c r="AI439" s="11">
        <f t="shared" si="20"/>
        <v>7.42</v>
      </c>
      <c r="AJ439" t="s">
        <v>62</v>
      </c>
    </row>
    <row r="440" spans="1:36" ht="15" customHeight="1" x14ac:dyDescent="0.35">
      <c r="A440">
        <v>10428918</v>
      </c>
      <c r="B440" t="s">
        <v>36</v>
      </c>
      <c r="C440" t="s">
        <v>37</v>
      </c>
      <c r="D440" s="6" t="s">
        <v>38</v>
      </c>
      <c r="E440" t="s">
        <v>1462</v>
      </c>
      <c r="F440" t="s">
        <v>40</v>
      </c>
      <c r="G440" t="s">
        <v>41</v>
      </c>
      <c r="H440" t="s">
        <v>1463</v>
      </c>
      <c r="I440" t="s">
        <v>43</v>
      </c>
      <c r="J440">
        <v>2</v>
      </c>
      <c r="K440" t="s">
        <v>44</v>
      </c>
      <c r="L440" t="s">
        <v>45</v>
      </c>
      <c r="M440" t="s">
        <v>46</v>
      </c>
      <c r="N440" s="7">
        <v>1</v>
      </c>
      <c r="O440" s="8">
        <v>45647.652488425927</v>
      </c>
      <c r="P440" s="9">
        <v>45648</v>
      </c>
      <c r="Q440" t="s">
        <v>74</v>
      </c>
      <c r="R440" t="s">
        <v>48</v>
      </c>
      <c r="S440" t="s">
        <v>49</v>
      </c>
      <c r="T440" t="s">
        <v>90</v>
      </c>
      <c r="U440" t="s">
        <v>1464</v>
      </c>
      <c r="V440">
        <v>21200</v>
      </c>
      <c r="W440" t="s">
        <v>48</v>
      </c>
      <c r="X440" t="s">
        <v>92</v>
      </c>
      <c r="Y440" t="s">
        <v>54</v>
      </c>
      <c r="Z440" s="12">
        <f>IF(N440&lt;=1,9,9+0.8*ROUNDUP(N440-1,0))</f>
        <v>9</v>
      </c>
      <c r="AA440" s="11">
        <v>-2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8"/>
        <v>0.42</v>
      </c>
      <c r="AG440" s="11">
        <f t="shared" si="19"/>
        <v>7.42</v>
      </c>
      <c r="AH440" s="11">
        <v>0</v>
      </c>
      <c r="AI440" s="11">
        <f t="shared" si="20"/>
        <v>7.42</v>
      </c>
      <c r="AJ440" t="s">
        <v>62</v>
      </c>
    </row>
    <row r="441" spans="1:36" ht="15" customHeight="1" x14ac:dyDescent="0.35">
      <c r="A441">
        <v>10428918</v>
      </c>
      <c r="B441" t="s">
        <v>36</v>
      </c>
      <c r="C441" t="s">
        <v>37</v>
      </c>
      <c r="D441" s="6" t="s">
        <v>38</v>
      </c>
      <c r="E441" t="s">
        <v>1465</v>
      </c>
      <c r="F441" t="s">
        <v>40</v>
      </c>
      <c r="G441" t="s">
        <v>41</v>
      </c>
      <c r="H441" t="s">
        <v>1466</v>
      </c>
      <c r="I441" t="s">
        <v>43</v>
      </c>
      <c r="J441">
        <v>2</v>
      </c>
      <c r="K441" t="s">
        <v>44</v>
      </c>
      <c r="L441" t="s">
        <v>45</v>
      </c>
      <c r="M441" t="s">
        <v>46</v>
      </c>
      <c r="N441" s="7">
        <v>1</v>
      </c>
      <c r="O441" s="8">
        <v>45647.652488425927</v>
      </c>
      <c r="P441" s="9">
        <v>45648</v>
      </c>
      <c r="Q441" t="s">
        <v>74</v>
      </c>
      <c r="R441" t="s">
        <v>48</v>
      </c>
      <c r="S441" t="s">
        <v>49</v>
      </c>
      <c r="T441" t="s">
        <v>75</v>
      </c>
      <c r="U441" t="s">
        <v>1467</v>
      </c>
      <c r="V441">
        <v>25150</v>
      </c>
      <c r="W441" t="s">
        <v>48</v>
      </c>
      <c r="X441" t="s">
        <v>77</v>
      </c>
      <c r="Y441" t="s">
        <v>54</v>
      </c>
      <c r="Z441" s="12">
        <f>IF(N441&lt;=1,9,9+0.8*ROUNDUP(N441-1,0))</f>
        <v>9</v>
      </c>
      <c r="AA441" s="11">
        <v>-2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8"/>
        <v>0.42</v>
      </c>
      <c r="AG441" s="11">
        <f t="shared" si="19"/>
        <v>7.42</v>
      </c>
      <c r="AH441" s="11">
        <v>0</v>
      </c>
      <c r="AI441" s="11">
        <f t="shared" si="20"/>
        <v>7.42</v>
      </c>
      <c r="AJ441" t="s">
        <v>62</v>
      </c>
    </row>
    <row r="442" spans="1:36" ht="15" customHeight="1" x14ac:dyDescent="0.35">
      <c r="A442">
        <v>10428918</v>
      </c>
      <c r="B442" t="s">
        <v>36</v>
      </c>
      <c r="C442" t="s">
        <v>37</v>
      </c>
      <c r="D442" s="6" t="s">
        <v>38</v>
      </c>
      <c r="E442" t="s">
        <v>1468</v>
      </c>
      <c r="F442" t="s">
        <v>40</v>
      </c>
      <c r="G442" t="s">
        <v>41</v>
      </c>
      <c r="H442" t="s">
        <v>1469</v>
      </c>
      <c r="I442" t="s">
        <v>43</v>
      </c>
      <c r="J442">
        <v>2</v>
      </c>
      <c r="K442" t="s">
        <v>44</v>
      </c>
      <c r="L442" t="s">
        <v>45</v>
      </c>
      <c r="M442" t="s">
        <v>46</v>
      </c>
      <c r="N442" s="7">
        <v>2</v>
      </c>
      <c r="O442" s="8">
        <v>45646.482152777775</v>
      </c>
      <c r="P442" s="9">
        <v>45648</v>
      </c>
      <c r="Q442" t="s">
        <v>58</v>
      </c>
      <c r="R442" t="s">
        <v>48</v>
      </c>
      <c r="S442" t="s">
        <v>49</v>
      </c>
      <c r="T442" t="s">
        <v>69</v>
      </c>
      <c r="U442" t="s">
        <v>1470</v>
      </c>
      <c r="V442">
        <v>81900</v>
      </c>
      <c r="W442" t="s">
        <v>48</v>
      </c>
      <c r="X442" t="s">
        <v>1310</v>
      </c>
      <c r="Y442" t="s">
        <v>54</v>
      </c>
      <c r="Z442" s="12">
        <f>IF(N442&lt;=1,9,9+0.8*ROUNDUP(N442-1,0))</f>
        <v>9.8000000000000007</v>
      </c>
      <c r="AA442" s="11">
        <v>-2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8"/>
        <v>0.46800000000000003</v>
      </c>
      <c r="AG442" s="11">
        <f t="shared" si="19"/>
        <v>8.2680000000000007</v>
      </c>
      <c r="AH442" s="11">
        <v>0</v>
      </c>
      <c r="AI442" s="11">
        <f t="shared" si="20"/>
        <v>8.2680000000000007</v>
      </c>
      <c r="AJ442" t="s">
        <v>62</v>
      </c>
    </row>
    <row r="443" spans="1:36" ht="15" customHeight="1" x14ac:dyDescent="0.35">
      <c r="A443">
        <v>10428918</v>
      </c>
      <c r="B443" t="s">
        <v>36</v>
      </c>
      <c r="C443" t="s">
        <v>37</v>
      </c>
      <c r="D443" s="6" t="s">
        <v>38</v>
      </c>
      <c r="E443" t="s">
        <v>1471</v>
      </c>
      <c r="F443" t="s">
        <v>40</v>
      </c>
      <c r="G443" t="s">
        <v>41</v>
      </c>
      <c r="H443" t="s">
        <v>1472</v>
      </c>
      <c r="I443" t="s">
        <v>43</v>
      </c>
      <c r="J443">
        <v>2</v>
      </c>
      <c r="K443" t="s">
        <v>44</v>
      </c>
      <c r="L443" t="s">
        <v>45</v>
      </c>
      <c r="M443" t="s">
        <v>46</v>
      </c>
      <c r="N443" s="7">
        <v>1</v>
      </c>
      <c r="O443" s="8">
        <v>45644.812442129631</v>
      </c>
      <c r="P443" s="9">
        <v>45648</v>
      </c>
      <c r="Q443" t="s">
        <v>74</v>
      </c>
      <c r="R443" t="s">
        <v>48</v>
      </c>
      <c r="S443" t="s">
        <v>49</v>
      </c>
      <c r="T443" t="s">
        <v>101</v>
      </c>
      <c r="U443" t="s">
        <v>1473</v>
      </c>
      <c r="V443">
        <v>31200</v>
      </c>
      <c r="W443" t="s">
        <v>48</v>
      </c>
      <c r="X443" t="s">
        <v>1401</v>
      </c>
      <c r="Y443" t="s">
        <v>54</v>
      </c>
      <c r="Z443" s="12">
        <f>IF(N443&lt;=1,9,9+0.8*ROUNDUP(N443-1,0))</f>
        <v>9</v>
      </c>
      <c r="AA443" s="11">
        <v>-2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8"/>
        <v>0.42</v>
      </c>
      <c r="AG443" s="11">
        <f t="shared" si="19"/>
        <v>7.42</v>
      </c>
      <c r="AH443" s="11">
        <v>0</v>
      </c>
      <c r="AI443" s="11">
        <f t="shared" si="20"/>
        <v>7.42</v>
      </c>
      <c r="AJ443" t="s">
        <v>62</v>
      </c>
    </row>
    <row r="444" spans="1:36" ht="15" customHeight="1" x14ac:dyDescent="0.35">
      <c r="A444">
        <v>10428918</v>
      </c>
      <c r="B444" t="s">
        <v>36</v>
      </c>
      <c r="C444" t="s">
        <v>37</v>
      </c>
      <c r="D444" s="6" t="s">
        <v>38</v>
      </c>
      <c r="E444" t="s">
        <v>1474</v>
      </c>
      <c r="F444" t="s">
        <v>40</v>
      </c>
      <c r="G444" t="s">
        <v>41</v>
      </c>
      <c r="H444" t="s">
        <v>1475</v>
      </c>
      <c r="I444" t="s">
        <v>43</v>
      </c>
      <c r="J444">
        <v>2</v>
      </c>
      <c r="K444" t="s">
        <v>44</v>
      </c>
      <c r="L444" t="s">
        <v>45</v>
      </c>
      <c r="M444" t="s">
        <v>46</v>
      </c>
      <c r="N444" s="7">
        <v>1</v>
      </c>
      <c r="O444" s="8">
        <v>45647.641018518516</v>
      </c>
      <c r="P444" s="9">
        <v>45648</v>
      </c>
      <c r="Q444" t="s">
        <v>74</v>
      </c>
      <c r="R444" t="s">
        <v>48</v>
      </c>
      <c r="S444" t="s">
        <v>49</v>
      </c>
      <c r="T444" t="s">
        <v>117</v>
      </c>
      <c r="U444" t="s">
        <v>1476</v>
      </c>
      <c r="V444">
        <v>40300</v>
      </c>
      <c r="W444" t="s">
        <v>48</v>
      </c>
      <c r="X444" t="s">
        <v>921</v>
      </c>
      <c r="Y444" t="s">
        <v>54</v>
      </c>
      <c r="Z444" s="12">
        <f>IF(N444&lt;=1,9,9+0.8*ROUNDUP(N444-1,0))</f>
        <v>9</v>
      </c>
      <c r="AA444" s="11">
        <v>-2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8"/>
        <v>0.42</v>
      </c>
      <c r="AG444" s="11">
        <f t="shared" si="19"/>
        <v>7.42</v>
      </c>
      <c r="AH444" s="11">
        <v>0</v>
      </c>
      <c r="AI444" s="11">
        <f t="shared" si="20"/>
        <v>7.42</v>
      </c>
      <c r="AJ444" t="s">
        <v>62</v>
      </c>
    </row>
    <row r="445" spans="1:36" ht="15" customHeight="1" x14ac:dyDescent="0.35">
      <c r="A445">
        <v>10428918</v>
      </c>
      <c r="B445" t="s">
        <v>36</v>
      </c>
      <c r="C445" t="s">
        <v>37</v>
      </c>
      <c r="D445" s="6" t="s">
        <v>38</v>
      </c>
      <c r="E445" t="s">
        <v>1477</v>
      </c>
      <c r="F445" t="s">
        <v>40</v>
      </c>
      <c r="G445" t="s">
        <v>41</v>
      </c>
      <c r="H445" t="s">
        <v>271</v>
      </c>
      <c r="I445" t="s">
        <v>43</v>
      </c>
      <c r="J445">
        <v>2</v>
      </c>
      <c r="K445" t="s">
        <v>44</v>
      </c>
      <c r="L445" t="s">
        <v>45</v>
      </c>
      <c r="M445" t="s">
        <v>46</v>
      </c>
      <c r="N445" s="7">
        <v>1</v>
      </c>
      <c r="O445" s="8">
        <v>45647.645868055559</v>
      </c>
      <c r="P445" s="9">
        <v>45648</v>
      </c>
      <c r="Q445" t="s">
        <v>74</v>
      </c>
      <c r="R445" t="s">
        <v>48</v>
      </c>
      <c r="S445" t="s">
        <v>49</v>
      </c>
      <c r="T445" t="s">
        <v>117</v>
      </c>
      <c r="U445" t="s">
        <v>272</v>
      </c>
      <c r="V445">
        <v>48200</v>
      </c>
      <c r="W445" t="s">
        <v>48</v>
      </c>
      <c r="X445" t="s">
        <v>254</v>
      </c>
      <c r="Y445" t="s">
        <v>54</v>
      </c>
      <c r="Z445" s="12">
        <f>IF(N445&lt;=1,9,9+0.8*ROUNDUP(N445-1,0))</f>
        <v>9</v>
      </c>
      <c r="AA445" s="11">
        <v>-2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8"/>
        <v>0.42</v>
      </c>
      <c r="AG445" s="11">
        <f t="shared" si="19"/>
        <v>7.42</v>
      </c>
      <c r="AH445" s="11">
        <v>0</v>
      </c>
      <c r="AI445" s="11">
        <f t="shared" si="20"/>
        <v>7.42</v>
      </c>
      <c r="AJ445" t="s">
        <v>62</v>
      </c>
    </row>
    <row r="446" spans="1:36" ht="15" customHeight="1" x14ac:dyDescent="0.35">
      <c r="A446">
        <v>10428918</v>
      </c>
      <c r="B446" t="s">
        <v>36</v>
      </c>
      <c r="C446" t="s">
        <v>37</v>
      </c>
      <c r="D446" s="6" t="s">
        <v>38</v>
      </c>
      <c r="E446" t="s">
        <v>1478</v>
      </c>
      <c r="F446" t="s">
        <v>40</v>
      </c>
      <c r="G446" t="s">
        <v>41</v>
      </c>
      <c r="H446" t="s">
        <v>1479</v>
      </c>
      <c r="I446" t="s">
        <v>43</v>
      </c>
      <c r="J446">
        <v>2</v>
      </c>
      <c r="K446" t="s">
        <v>44</v>
      </c>
      <c r="L446" t="s">
        <v>45</v>
      </c>
      <c r="M446" t="s">
        <v>46</v>
      </c>
      <c r="N446" s="7">
        <v>1</v>
      </c>
      <c r="O446" s="8">
        <v>45647.656724537039</v>
      </c>
      <c r="P446" s="9">
        <v>45648</v>
      </c>
      <c r="Q446" t="s">
        <v>74</v>
      </c>
      <c r="R446" t="s">
        <v>48</v>
      </c>
      <c r="S446" t="s">
        <v>49</v>
      </c>
      <c r="T446" t="s">
        <v>59</v>
      </c>
      <c r="U446" t="s">
        <v>1480</v>
      </c>
      <c r="V446">
        <v>18300</v>
      </c>
      <c r="W446" t="s">
        <v>48</v>
      </c>
      <c r="X446" t="s">
        <v>831</v>
      </c>
      <c r="Y446" t="s">
        <v>54</v>
      </c>
      <c r="Z446" s="12">
        <f>IF(N446&lt;=1,9,9+0.8*ROUNDUP(N446-1,0))</f>
        <v>9</v>
      </c>
      <c r="AA446" s="11">
        <v>-2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8"/>
        <v>0.42</v>
      </c>
      <c r="AG446" s="11">
        <f t="shared" si="19"/>
        <v>7.42</v>
      </c>
      <c r="AH446" s="11">
        <v>0</v>
      </c>
      <c r="AI446" s="11">
        <f t="shared" si="20"/>
        <v>7.42</v>
      </c>
      <c r="AJ446" t="s">
        <v>62</v>
      </c>
    </row>
    <row r="447" spans="1:36" ht="15" customHeight="1" x14ac:dyDescent="0.35">
      <c r="A447">
        <v>10428918</v>
      </c>
      <c r="B447" t="s">
        <v>36</v>
      </c>
      <c r="C447" t="s">
        <v>37</v>
      </c>
      <c r="D447" s="6" t="s">
        <v>38</v>
      </c>
      <c r="E447" t="s">
        <v>1481</v>
      </c>
      <c r="F447" t="s">
        <v>40</v>
      </c>
      <c r="G447" t="s">
        <v>41</v>
      </c>
      <c r="H447" t="s">
        <v>570</v>
      </c>
      <c r="I447" t="s">
        <v>43</v>
      </c>
      <c r="J447">
        <v>2</v>
      </c>
      <c r="K447" t="s">
        <v>44</v>
      </c>
      <c r="L447" t="s">
        <v>45</v>
      </c>
      <c r="M447" t="s">
        <v>46</v>
      </c>
      <c r="N447" s="7">
        <v>10</v>
      </c>
      <c r="O447" s="8">
        <v>45645.761400462965</v>
      </c>
      <c r="P447" s="9">
        <v>45648</v>
      </c>
      <c r="Q447" t="s">
        <v>74</v>
      </c>
      <c r="R447" t="s">
        <v>48</v>
      </c>
      <c r="S447" t="s">
        <v>49</v>
      </c>
      <c r="T447" t="s">
        <v>117</v>
      </c>
      <c r="U447" t="s">
        <v>571</v>
      </c>
      <c r="V447">
        <v>40000</v>
      </c>
      <c r="W447" t="s">
        <v>48</v>
      </c>
      <c r="X447" t="s">
        <v>53</v>
      </c>
      <c r="Y447" t="s">
        <v>54</v>
      </c>
      <c r="Z447" s="12">
        <f>IF(N447&lt;=1,9,9+0.8*ROUNDUP(N447-1,0))</f>
        <v>16.2</v>
      </c>
      <c r="AA447" s="11">
        <v>-2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8"/>
        <v>0.85199999999999998</v>
      </c>
      <c r="AG447" s="11">
        <f t="shared" si="19"/>
        <v>15.052</v>
      </c>
      <c r="AH447" s="11">
        <v>0</v>
      </c>
      <c r="AI447" s="11">
        <f t="shared" si="20"/>
        <v>15.052</v>
      </c>
      <c r="AJ447" t="s">
        <v>62</v>
      </c>
    </row>
    <row r="448" spans="1:36" ht="15" customHeight="1" x14ac:dyDescent="0.35">
      <c r="A448">
        <v>10428918</v>
      </c>
      <c r="B448" t="s">
        <v>36</v>
      </c>
      <c r="C448" t="s">
        <v>37</v>
      </c>
      <c r="D448" s="6" t="s">
        <v>38</v>
      </c>
      <c r="E448" t="s">
        <v>1482</v>
      </c>
      <c r="F448" t="s">
        <v>40</v>
      </c>
      <c r="G448" t="s">
        <v>41</v>
      </c>
      <c r="H448" t="s">
        <v>1483</v>
      </c>
      <c r="I448" t="s">
        <v>43</v>
      </c>
      <c r="J448">
        <v>2</v>
      </c>
      <c r="K448" t="s">
        <v>44</v>
      </c>
      <c r="L448" t="s">
        <v>45</v>
      </c>
      <c r="M448" t="s">
        <v>46</v>
      </c>
      <c r="N448" s="7">
        <v>3</v>
      </c>
      <c r="O448" s="8">
        <v>45646.423842592594</v>
      </c>
      <c r="P448" s="9">
        <v>45648</v>
      </c>
      <c r="Q448" t="s">
        <v>58</v>
      </c>
      <c r="R448" t="s">
        <v>48</v>
      </c>
      <c r="S448" t="s">
        <v>49</v>
      </c>
      <c r="T448" t="s">
        <v>101</v>
      </c>
      <c r="U448" t="s">
        <v>1484</v>
      </c>
      <c r="V448">
        <v>35600</v>
      </c>
      <c r="W448" t="s">
        <v>48</v>
      </c>
      <c r="X448" t="s">
        <v>1485</v>
      </c>
      <c r="Y448" t="s">
        <v>54</v>
      </c>
      <c r="Z448" s="12">
        <f>IF(N448&lt;=1,9,9+0.8*ROUNDUP(N448-1,0))</f>
        <v>10.6</v>
      </c>
      <c r="AA448" s="11">
        <v>-2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8"/>
        <v>0.51600000000000001</v>
      </c>
      <c r="AG448" s="11">
        <f t="shared" si="19"/>
        <v>9.1159999999999997</v>
      </c>
      <c r="AH448" s="11">
        <v>0</v>
      </c>
      <c r="AI448" s="11">
        <f t="shared" si="20"/>
        <v>9.1159999999999997</v>
      </c>
      <c r="AJ448" t="s">
        <v>62</v>
      </c>
    </row>
    <row r="449" spans="1:36" ht="15" customHeight="1" x14ac:dyDescent="0.35">
      <c r="A449">
        <v>10428918</v>
      </c>
      <c r="B449" t="s">
        <v>36</v>
      </c>
      <c r="C449" t="s">
        <v>37</v>
      </c>
      <c r="D449" s="6" t="s">
        <v>38</v>
      </c>
      <c r="E449" t="s">
        <v>1486</v>
      </c>
      <c r="F449" t="s">
        <v>40</v>
      </c>
      <c r="G449" t="s">
        <v>41</v>
      </c>
      <c r="H449" t="s">
        <v>1487</v>
      </c>
      <c r="I449" t="s">
        <v>43</v>
      </c>
      <c r="J449">
        <v>2</v>
      </c>
      <c r="K449" t="s">
        <v>44</v>
      </c>
      <c r="L449" t="s">
        <v>45</v>
      </c>
      <c r="M449" t="s">
        <v>46</v>
      </c>
      <c r="N449" s="7">
        <v>1</v>
      </c>
      <c r="O449" s="8">
        <v>45647.441145833334</v>
      </c>
      <c r="P449" s="9">
        <v>45648</v>
      </c>
      <c r="Q449" t="s">
        <v>74</v>
      </c>
      <c r="R449" t="s">
        <v>48</v>
      </c>
      <c r="S449" t="s">
        <v>49</v>
      </c>
      <c r="T449" t="s">
        <v>90</v>
      </c>
      <c r="U449" t="s">
        <v>1488</v>
      </c>
      <c r="V449">
        <v>23000</v>
      </c>
      <c r="W449" t="s">
        <v>48</v>
      </c>
      <c r="X449" t="s">
        <v>92</v>
      </c>
      <c r="Y449" t="s">
        <v>54</v>
      </c>
      <c r="Z449" s="12">
        <f>IF(N449&lt;=1,9,9+0.8*ROUNDUP(N449-1,0))</f>
        <v>9</v>
      </c>
      <c r="AA449" s="11">
        <v>-2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8"/>
        <v>0.42</v>
      </c>
      <c r="AG449" s="11">
        <f t="shared" si="19"/>
        <v>7.42</v>
      </c>
      <c r="AH449" s="11">
        <v>0</v>
      </c>
      <c r="AI449" s="11">
        <f t="shared" si="20"/>
        <v>7.42</v>
      </c>
      <c r="AJ449" t="s">
        <v>62</v>
      </c>
    </row>
    <row r="450" spans="1:36" ht="15" customHeight="1" x14ac:dyDescent="0.35">
      <c r="A450">
        <v>10428918</v>
      </c>
      <c r="B450" t="s">
        <v>36</v>
      </c>
      <c r="C450" t="s">
        <v>37</v>
      </c>
      <c r="D450" s="6" t="s">
        <v>38</v>
      </c>
      <c r="E450" t="s">
        <v>1489</v>
      </c>
      <c r="F450" t="s">
        <v>40</v>
      </c>
      <c r="G450" t="s">
        <v>41</v>
      </c>
      <c r="H450" t="s">
        <v>1490</v>
      </c>
      <c r="I450" t="s">
        <v>43</v>
      </c>
      <c r="J450">
        <v>2</v>
      </c>
      <c r="K450" t="s">
        <v>44</v>
      </c>
      <c r="L450" t="s">
        <v>45</v>
      </c>
      <c r="M450" t="s">
        <v>46</v>
      </c>
      <c r="N450" s="7">
        <v>2</v>
      </c>
      <c r="O450" s="8">
        <v>45645.732002314813</v>
      </c>
      <c r="P450" s="9">
        <v>45648</v>
      </c>
      <c r="Q450" t="s">
        <v>74</v>
      </c>
      <c r="R450" t="s">
        <v>48</v>
      </c>
      <c r="S450" t="s">
        <v>49</v>
      </c>
      <c r="T450" t="s">
        <v>117</v>
      </c>
      <c r="U450" t="s">
        <v>1491</v>
      </c>
      <c r="V450">
        <v>42450</v>
      </c>
      <c r="W450" t="s">
        <v>48</v>
      </c>
      <c r="X450" t="s">
        <v>1458</v>
      </c>
      <c r="Y450" t="s">
        <v>54</v>
      </c>
      <c r="Z450" s="12">
        <f>IF(N450&lt;=1,9,9+0.8*ROUNDUP(N450-1,0))</f>
        <v>9.8000000000000007</v>
      </c>
      <c r="AA450" s="11">
        <v>-2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21">(Z450+AA450+AC450+AE450)*6%</f>
        <v>0.46800000000000003</v>
      </c>
      <c r="AG450" s="11">
        <f t="shared" ref="AG450:AG513" si="22">Z450+AA450+AC450+AE450+AF450</f>
        <v>8.2680000000000007</v>
      </c>
      <c r="AH450" s="11">
        <v>0</v>
      </c>
      <c r="AI450" s="11">
        <f t="shared" ref="AI450:AI513" si="23">AG450+AH450</f>
        <v>8.2680000000000007</v>
      </c>
      <c r="AJ450" t="s">
        <v>62</v>
      </c>
    </row>
    <row r="451" spans="1:36" ht="15" customHeight="1" x14ac:dyDescent="0.35">
      <c r="A451">
        <v>10428918</v>
      </c>
      <c r="B451" t="s">
        <v>36</v>
      </c>
      <c r="C451" t="s">
        <v>37</v>
      </c>
      <c r="D451" s="6" t="s">
        <v>38</v>
      </c>
      <c r="E451" t="s">
        <v>1492</v>
      </c>
      <c r="F451" t="s">
        <v>40</v>
      </c>
      <c r="G451" t="s">
        <v>41</v>
      </c>
      <c r="H451" t="s">
        <v>1493</v>
      </c>
      <c r="I451" t="s">
        <v>43</v>
      </c>
      <c r="J451">
        <v>2</v>
      </c>
      <c r="K451" t="s">
        <v>44</v>
      </c>
      <c r="L451" t="s">
        <v>45</v>
      </c>
      <c r="M451" t="s">
        <v>46</v>
      </c>
      <c r="N451" s="7">
        <v>1</v>
      </c>
      <c r="O451" s="8">
        <v>45647.444305555553</v>
      </c>
      <c r="P451" s="9">
        <v>45648</v>
      </c>
      <c r="Q451" t="s">
        <v>74</v>
      </c>
      <c r="R451" t="s">
        <v>48</v>
      </c>
      <c r="S451" t="s">
        <v>49</v>
      </c>
      <c r="T451" t="s">
        <v>59</v>
      </c>
      <c r="U451" t="s">
        <v>1494</v>
      </c>
      <c r="V451">
        <v>16100</v>
      </c>
      <c r="W451" t="s">
        <v>48</v>
      </c>
      <c r="X451" t="s">
        <v>61</v>
      </c>
      <c r="Y451" t="s">
        <v>54</v>
      </c>
      <c r="Z451" s="12">
        <f>IF(N451&lt;=1,9,9+0.8*ROUNDUP(N451-1,0))</f>
        <v>9</v>
      </c>
      <c r="AA451" s="11">
        <v>-2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21"/>
        <v>0.42</v>
      </c>
      <c r="AG451" s="11">
        <f t="shared" si="22"/>
        <v>7.42</v>
      </c>
      <c r="AH451" s="11">
        <v>0</v>
      </c>
      <c r="AI451" s="11">
        <f t="shared" si="23"/>
        <v>7.42</v>
      </c>
      <c r="AJ451" t="s">
        <v>62</v>
      </c>
    </row>
    <row r="452" spans="1:36" ht="15" customHeight="1" x14ac:dyDescent="0.35">
      <c r="A452">
        <v>10428918</v>
      </c>
      <c r="B452" t="s">
        <v>36</v>
      </c>
      <c r="C452" t="s">
        <v>37</v>
      </c>
      <c r="D452" s="6" t="s">
        <v>38</v>
      </c>
      <c r="E452" t="s">
        <v>1495</v>
      </c>
      <c r="F452" t="s">
        <v>40</v>
      </c>
      <c r="G452" t="s">
        <v>41</v>
      </c>
      <c r="H452" t="s">
        <v>1496</v>
      </c>
      <c r="I452" t="s">
        <v>43</v>
      </c>
      <c r="J452">
        <v>2</v>
      </c>
      <c r="K452" t="s">
        <v>44</v>
      </c>
      <c r="L452" t="s">
        <v>45</v>
      </c>
      <c r="M452" t="s">
        <v>46</v>
      </c>
      <c r="N452" s="7">
        <v>1</v>
      </c>
      <c r="O452" s="8">
        <v>45647.420416666668</v>
      </c>
      <c r="P452" s="9">
        <v>45648</v>
      </c>
      <c r="Q452" t="s">
        <v>74</v>
      </c>
      <c r="R452" t="s">
        <v>48</v>
      </c>
      <c r="S452" t="s">
        <v>49</v>
      </c>
      <c r="T452" t="s">
        <v>59</v>
      </c>
      <c r="U452" t="s">
        <v>1497</v>
      </c>
      <c r="V452">
        <v>16800</v>
      </c>
      <c r="W452" t="s">
        <v>48</v>
      </c>
      <c r="X452" t="s">
        <v>61</v>
      </c>
      <c r="Y452" t="s">
        <v>54</v>
      </c>
      <c r="Z452" s="12">
        <f>IF(N452&lt;=1,9,9+0.8*ROUNDUP(N452-1,0))</f>
        <v>9</v>
      </c>
      <c r="AA452" s="11">
        <v>-2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21"/>
        <v>0.42</v>
      </c>
      <c r="AG452" s="11">
        <f t="shared" si="22"/>
        <v>7.42</v>
      </c>
      <c r="AH452" s="11">
        <v>0</v>
      </c>
      <c r="AI452" s="11">
        <f t="shared" si="23"/>
        <v>7.42</v>
      </c>
      <c r="AJ452" t="s">
        <v>62</v>
      </c>
    </row>
    <row r="453" spans="1:36" ht="15" customHeight="1" x14ac:dyDescent="0.35">
      <c r="A453">
        <v>10428918</v>
      </c>
      <c r="B453" t="s">
        <v>36</v>
      </c>
      <c r="C453" t="s">
        <v>37</v>
      </c>
      <c r="D453" s="6" t="s">
        <v>38</v>
      </c>
      <c r="E453" t="s">
        <v>1498</v>
      </c>
      <c r="F453" t="s">
        <v>40</v>
      </c>
      <c r="G453" t="s">
        <v>41</v>
      </c>
      <c r="H453" t="s">
        <v>1499</v>
      </c>
      <c r="I453" t="s">
        <v>43</v>
      </c>
      <c r="J453">
        <v>2</v>
      </c>
      <c r="K453" t="s">
        <v>44</v>
      </c>
      <c r="L453" t="s">
        <v>45</v>
      </c>
      <c r="M453" t="s">
        <v>46</v>
      </c>
      <c r="N453" s="7">
        <v>2</v>
      </c>
      <c r="O453" s="8">
        <v>45645.435266203705</v>
      </c>
      <c r="P453" s="9">
        <v>45648</v>
      </c>
      <c r="Q453" t="s">
        <v>74</v>
      </c>
      <c r="R453" t="s">
        <v>48</v>
      </c>
      <c r="S453" t="s">
        <v>49</v>
      </c>
      <c r="T453" t="s">
        <v>101</v>
      </c>
      <c r="U453" t="s">
        <v>1500</v>
      </c>
      <c r="V453">
        <v>34800</v>
      </c>
      <c r="W453" t="s">
        <v>48</v>
      </c>
      <c r="X453" t="s">
        <v>827</v>
      </c>
      <c r="Y453" t="s">
        <v>54</v>
      </c>
      <c r="Z453" s="12">
        <f>IF(N453&lt;=1,9,9+0.8*ROUNDUP(N453-1,0))</f>
        <v>9.8000000000000007</v>
      </c>
      <c r="AA453" s="11">
        <v>-2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21"/>
        <v>0.46800000000000003</v>
      </c>
      <c r="AG453" s="11">
        <f t="shared" si="22"/>
        <v>8.2680000000000007</v>
      </c>
      <c r="AH453" s="11">
        <v>0</v>
      </c>
      <c r="AI453" s="11">
        <f t="shared" si="23"/>
        <v>8.2680000000000007</v>
      </c>
      <c r="AJ453" t="s">
        <v>62</v>
      </c>
    </row>
    <row r="454" spans="1:36" ht="15" customHeight="1" x14ac:dyDescent="0.35">
      <c r="A454">
        <v>10428918</v>
      </c>
      <c r="B454" t="s">
        <v>36</v>
      </c>
      <c r="C454" t="s">
        <v>37</v>
      </c>
      <c r="D454" s="6" t="s">
        <v>38</v>
      </c>
      <c r="E454" t="s">
        <v>1501</v>
      </c>
      <c r="F454" t="s">
        <v>40</v>
      </c>
      <c r="G454" t="s">
        <v>41</v>
      </c>
      <c r="H454" t="s">
        <v>1502</v>
      </c>
      <c r="I454" t="s">
        <v>43</v>
      </c>
      <c r="J454">
        <v>2</v>
      </c>
      <c r="K454" t="s">
        <v>44</v>
      </c>
      <c r="L454" t="s">
        <v>45</v>
      </c>
      <c r="M454" t="s">
        <v>46</v>
      </c>
      <c r="N454" s="7">
        <v>2</v>
      </c>
      <c r="O454" s="8">
        <v>45647.641018518516</v>
      </c>
      <c r="P454" s="9">
        <v>45648</v>
      </c>
      <c r="Q454" t="s">
        <v>74</v>
      </c>
      <c r="R454" t="s">
        <v>48</v>
      </c>
      <c r="S454" t="s">
        <v>49</v>
      </c>
      <c r="T454" t="s">
        <v>90</v>
      </c>
      <c r="U454" t="s">
        <v>1503</v>
      </c>
      <c r="V454">
        <v>21080</v>
      </c>
      <c r="W454" t="s">
        <v>48</v>
      </c>
      <c r="X454" t="s">
        <v>92</v>
      </c>
      <c r="Y454" t="s">
        <v>54</v>
      </c>
      <c r="Z454" s="12">
        <f>IF(N454&lt;=1,9,9+0.8*ROUNDUP(N454-1,0))</f>
        <v>9.8000000000000007</v>
      </c>
      <c r="AA454" s="11">
        <v>-2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21"/>
        <v>0.46800000000000003</v>
      </c>
      <c r="AG454" s="11">
        <f t="shared" si="22"/>
        <v>8.2680000000000007</v>
      </c>
      <c r="AH454" s="11">
        <v>0</v>
      </c>
      <c r="AI454" s="11">
        <f t="shared" si="23"/>
        <v>8.2680000000000007</v>
      </c>
      <c r="AJ454" t="s">
        <v>62</v>
      </c>
    </row>
    <row r="455" spans="1:36" ht="15" customHeight="1" x14ac:dyDescent="0.35">
      <c r="A455">
        <v>10428918</v>
      </c>
      <c r="B455" t="s">
        <v>36</v>
      </c>
      <c r="C455" t="s">
        <v>37</v>
      </c>
      <c r="D455" s="6" t="s">
        <v>38</v>
      </c>
      <c r="E455" t="s">
        <v>1504</v>
      </c>
      <c r="F455" t="s">
        <v>40</v>
      </c>
      <c r="G455" t="s">
        <v>41</v>
      </c>
      <c r="H455" t="s">
        <v>341</v>
      </c>
      <c r="I455" t="s">
        <v>43</v>
      </c>
      <c r="J455">
        <v>2</v>
      </c>
      <c r="K455" t="s">
        <v>44</v>
      </c>
      <c r="L455" t="s">
        <v>45</v>
      </c>
      <c r="M455" t="s">
        <v>46</v>
      </c>
      <c r="N455" s="7">
        <v>1</v>
      </c>
      <c r="O455" s="8">
        <v>45647.656736111108</v>
      </c>
      <c r="P455" s="9">
        <v>45648</v>
      </c>
      <c r="Q455" t="s">
        <v>74</v>
      </c>
      <c r="R455" t="s">
        <v>48</v>
      </c>
      <c r="S455" t="s">
        <v>49</v>
      </c>
      <c r="T455" t="s">
        <v>170</v>
      </c>
      <c r="U455" t="s">
        <v>342</v>
      </c>
      <c r="V455">
        <v>56100</v>
      </c>
      <c r="W455" t="s">
        <v>48</v>
      </c>
      <c r="X455" t="s">
        <v>343</v>
      </c>
      <c r="Y455" t="s">
        <v>54</v>
      </c>
      <c r="Z455" s="12">
        <f>IF(N455&lt;=1,9,9+0.8*ROUNDUP(N455-1,0))</f>
        <v>9</v>
      </c>
      <c r="AA455" s="11">
        <v>-2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21"/>
        <v>0.42</v>
      </c>
      <c r="AG455" s="11">
        <f t="shared" si="22"/>
        <v>7.42</v>
      </c>
      <c r="AH455" s="11">
        <v>0</v>
      </c>
      <c r="AI455" s="11">
        <f t="shared" si="23"/>
        <v>7.42</v>
      </c>
      <c r="AJ455" t="s">
        <v>62</v>
      </c>
    </row>
    <row r="456" spans="1:36" ht="15" customHeight="1" x14ac:dyDescent="0.35">
      <c r="A456">
        <v>10428918</v>
      </c>
      <c r="B456" t="s">
        <v>36</v>
      </c>
      <c r="C456" t="s">
        <v>37</v>
      </c>
      <c r="D456" s="6" t="s">
        <v>38</v>
      </c>
      <c r="E456" t="s">
        <v>1505</v>
      </c>
      <c r="F456" t="s">
        <v>40</v>
      </c>
      <c r="G456" t="s">
        <v>41</v>
      </c>
      <c r="H456" t="s">
        <v>1506</v>
      </c>
      <c r="I456" t="s">
        <v>43</v>
      </c>
      <c r="J456">
        <v>2</v>
      </c>
      <c r="K456" t="s">
        <v>44</v>
      </c>
      <c r="L456" t="s">
        <v>45</v>
      </c>
      <c r="M456" t="s">
        <v>46</v>
      </c>
      <c r="N456" s="7">
        <v>1</v>
      </c>
      <c r="O456" s="8">
        <v>45647.491724537038</v>
      </c>
      <c r="P456" s="9">
        <v>45648</v>
      </c>
      <c r="Q456" t="s">
        <v>74</v>
      </c>
      <c r="R456" t="s">
        <v>48</v>
      </c>
      <c r="S456" t="s">
        <v>49</v>
      </c>
      <c r="T456" t="s">
        <v>90</v>
      </c>
      <c r="U456" t="s">
        <v>1507</v>
      </c>
      <c r="V456">
        <v>24300</v>
      </c>
      <c r="W456" t="s">
        <v>48</v>
      </c>
      <c r="X456" t="s">
        <v>92</v>
      </c>
      <c r="Y456" t="s">
        <v>54</v>
      </c>
      <c r="Z456" s="12">
        <f>IF(N456&lt;=1,9,9+0.8*ROUNDUP(N456-1,0))</f>
        <v>9</v>
      </c>
      <c r="AA456" s="11">
        <v>-2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21"/>
        <v>0.42</v>
      </c>
      <c r="AG456" s="11">
        <f t="shared" si="22"/>
        <v>7.42</v>
      </c>
      <c r="AH456" s="11">
        <v>0</v>
      </c>
      <c r="AI456" s="11">
        <f t="shared" si="23"/>
        <v>7.42</v>
      </c>
      <c r="AJ456" t="s">
        <v>62</v>
      </c>
    </row>
    <row r="457" spans="1:36" ht="15" customHeight="1" x14ac:dyDescent="0.35">
      <c r="A457">
        <v>10428918</v>
      </c>
      <c r="B457" t="s">
        <v>36</v>
      </c>
      <c r="C457" t="s">
        <v>37</v>
      </c>
      <c r="D457" s="6" t="s">
        <v>38</v>
      </c>
      <c r="E457" t="s">
        <v>1508</v>
      </c>
      <c r="F457" t="s">
        <v>40</v>
      </c>
      <c r="G457" t="s">
        <v>41</v>
      </c>
      <c r="H457" t="s">
        <v>1483</v>
      </c>
      <c r="I457" t="s">
        <v>43</v>
      </c>
      <c r="J457">
        <v>2</v>
      </c>
      <c r="K457" t="s">
        <v>44</v>
      </c>
      <c r="L457" t="s">
        <v>45</v>
      </c>
      <c r="M457" t="s">
        <v>46</v>
      </c>
      <c r="N457" s="7">
        <v>2</v>
      </c>
      <c r="O457" s="8">
        <v>45646.423842592594</v>
      </c>
      <c r="P457" s="9">
        <v>45648</v>
      </c>
      <c r="Q457" t="s">
        <v>58</v>
      </c>
      <c r="R457" t="s">
        <v>48</v>
      </c>
      <c r="S457" t="s">
        <v>49</v>
      </c>
      <c r="T457" t="s">
        <v>101</v>
      </c>
      <c r="U457" t="s">
        <v>1484</v>
      </c>
      <c r="V457">
        <v>35600</v>
      </c>
      <c r="W457" t="s">
        <v>48</v>
      </c>
      <c r="X457" t="s">
        <v>1485</v>
      </c>
      <c r="Y457" t="s">
        <v>54</v>
      </c>
      <c r="Z457" s="12">
        <f>IF(N457&lt;=1,9,9+0.8*ROUNDUP(N457-1,0))</f>
        <v>9.8000000000000007</v>
      </c>
      <c r="AA457" s="11">
        <v>-2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21"/>
        <v>0.46800000000000003</v>
      </c>
      <c r="AG457" s="11">
        <f t="shared" si="22"/>
        <v>8.2680000000000007</v>
      </c>
      <c r="AH457" s="11">
        <v>0</v>
      </c>
      <c r="AI457" s="11">
        <f t="shared" si="23"/>
        <v>8.2680000000000007</v>
      </c>
      <c r="AJ457" t="s">
        <v>62</v>
      </c>
    </row>
    <row r="458" spans="1:36" ht="15" customHeight="1" x14ac:dyDescent="0.35">
      <c r="A458">
        <v>10428918</v>
      </c>
      <c r="B458" t="s">
        <v>36</v>
      </c>
      <c r="C458" t="s">
        <v>37</v>
      </c>
      <c r="D458" s="6" t="s">
        <v>38</v>
      </c>
      <c r="E458" t="s">
        <v>1509</v>
      </c>
      <c r="F458" t="s">
        <v>40</v>
      </c>
      <c r="G458" t="s">
        <v>41</v>
      </c>
      <c r="H458" t="s">
        <v>1510</v>
      </c>
      <c r="I458" t="s">
        <v>43</v>
      </c>
      <c r="J458">
        <v>2</v>
      </c>
      <c r="K458" t="s">
        <v>44</v>
      </c>
      <c r="L458" t="s">
        <v>45</v>
      </c>
      <c r="M458" t="s">
        <v>46</v>
      </c>
      <c r="N458" s="7">
        <v>1</v>
      </c>
      <c r="O458" s="8">
        <v>45647.656724537039</v>
      </c>
      <c r="P458" s="9">
        <v>45648</v>
      </c>
      <c r="Q458" t="s">
        <v>74</v>
      </c>
      <c r="R458" t="s">
        <v>48</v>
      </c>
      <c r="S458" t="s">
        <v>49</v>
      </c>
      <c r="T458" t="s">
        <v>117</v>
      </c>
      <c r="U458" t="s">
        <v>1511</v>
      </c>
      <c r="V458">
        <v>47100</v>
      </c>
      <c r="W458" t="s">
        <v>48</v>
      </c>
      <c r="X458" t="s">
        <v>232</v>
      </c>
      <c r="Y458" t="s">
        <v>54</v>
      </c>
      <c r="Z458" s="12">
        <f>IF(N458&lt;=1,9,9+0.8*ROUNDUP(N458-1,0))</f>
        <v>9</v>
      </c>
      <c r="AA458" s="11">
        <v>-2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21"/>
        <v>0.42</v>
      </c>
      <c r="AG458" s="11">
        <f t="shared" si="22"/>
        <v>7.42</v>
      </c>
      <c r="AH458" s="11">
        <v>0</v>
      </c>
      <c r="AI458" s="11">
        <f t="shared" si="23"/>
        <v>7.42</v>
      </c>
      <c r="AJ458" t="s">
        <v>62</v>
      </c>
    </row>
    <row r="459" spans="1:36" ht="15" customHeight="1" x14ac:dyDescent="0.35">
      <c r="A459">
        <v>10428918</v>
      </c>
      <c r="B459" t="s">
        <v>36</v>
      </c>
      <c r="C459" t="s">
        <v>37</v>
      </c>
      <c r="D459" s="6" t="s">
        <v>38</v>
      </c>
      <c r="E459" t="s">
        <v>1512</v>
      </c>
      <c r="F459" t="s">
        <v>40</v>
      </c>
      <c r="G459" t="s">
        <v>41</v>
      </c>
      <c r="H459" t="s">
        <v>450</v>
      </c>
      <c r="I459" t="s">
        <v>43</v>
      </c>
      <c r="J459">
        <v>2</v>
      </c>
      <c r="K459" t="s">
        <v>44</v>
      </c>
      <c r="L459" t="s">
        <v>45</v>
      </c>
      <c r="M459" t="s">
        <v>46</v>
      </c>
      <c r="N459" s="7">
        <v>2</v>
      </c>
      <c r="O459" s="8">
        <v>45647.641006944446</v>
      </c>
      <c r="P459" s="9">
        <v>45648</v>
      </c>
      <c r="Q459" t="s">
        <v>74</v>
      </c>
      <c r="R459" t="s">
        <v>48</v>
      </c>
      <c r="S459" t="s">
        <v>49</v>
      </c>
      <c r="T459" t="s">
        <v>90</v>
      </c>
      <c r="U459" t="s">
        <v>451</v>
      </c>
      <c r="V459">
        <v>23000</v>
      </c>
      <c r="W459" t="s">
        <v>48</v>
      </c>
      <c r="X459" t="s">
        <v>92</v>
      </c>
      <c r="Y459" t="s">
        <v>54</v>
      </c>
      <c r="Z459" s="12">
        <f>IF(N459&lt;=1,9,9+0.8*ROUNDUP(N459-1,0))</f>
        <v>9.8000000000000007</v>
      </c>
      <c r="AA459" s="11">
        <v>-2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21"/>
        <v>0.46800000000000003</v>
      </c>
      <c r="AG459" s="11">
        <f t="shared" si="22"/>
        <v>8.2680000000000007</v>
      </c>
      <c r="AH459" s="11">
        <v>0</v>
      </c>
      <c r="AI459" s="11">
        <f t="shared" si="23"/>
        <v>8.2680000000000007</v>
      </c>
      <c r="AJ459" t="s">
        <v>62</v>
      </c>
    </row>
    <row r="460" spans="1:36" ht="15" customHeight="1" x14ac:dyDescent="0.35">
      <c r="A460">
        <v>10428918</v>
      </c>
      <c r="B460" t="s">
        <v>36</v>
      </c>
      <c r="C460" t="s">
        <v>37</v>
      </c>
      <c r="D460" s="6" t="s">
        <v>38</v>
      </c>
      <c r="E460" t="s">
        <v>1513</v>
      </c>
      <c r="F460" t="s">
        <v>40</v>
      </c>
      <c r="G460" t="s">
        <v>41</v>
      </c>
      <c r="H460" t="s">
        <v>1514</v>
      </c>
      <c r="I460" t="s">
        <v>43</v>
      </c>
      <c r="J460">
        <v>2</v>
      </c>
      <c r="K460" t="s">
        <v>44</v>
      </c>
      <c r="L460" t="s">
        <v>45</v>
      </c>
      <c r="M460" t="s">
        <v>46</v>
      </c>
      <c r="N460" s="7">
        <v>2</v>
      </c>
      <c r="O460" s="8">
        <v>45647.656724537039</v>
      </c>
      <c r="P460" s="9">
        <v>45648</v>
      </c>
      <c r="Q460" t="s">
        <v>74</v>
      </c>
      <c r="R460" t="s">
        <v>48</v>
      </c>
      <c r="S460" t="s">
        <v>49</v>
      </c>
      <c r="T460" t="s">
        <v>90</v>
      </c>
      <c r="U460" t="s">
        <v>1515</v>
      </c>
      <c r="V460">
        <v>22000</v>
      </c>
      <c r="W460" t="s">
        <v>48</v>
      </c>
      <c r="X460" t="s">
        <v>61</v>
      </c>
      <c r="Y460" t="s">
        <v>54</v>
      </c>
      <c r="Z460" s="12">
        <f>IF(N460&lt;=1,9,9+0.8*ROUNDUP(N460-1,0))</f>
        <v>9.8000000000000007</v>
      </c>
      <c r="AA460" s="11">
        <v>-2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21"/>
        <v>0.46800000000000003</v>
      </c>
      <c r="AG460" s="11">
        <f t="shared" si="22"/>
        <v>8.2680000000000007</v>
      </c>
      <c r="AH460" s="11">
        <v>0</v>
      </c>
      <c r="AI460" s="11">
        <f t="shared" si="23"/>
        <v>8.2680000000000007</v>
      </c>
      <c r="AJ460" t="s">
        <v>62</v>
      </c>
    </row>
    <row r="461" spans="1:36" ht="15" customHeight="1" x14ac:dyDescent="0.35">
      <c r="A461">
        <v>10428918</v>
      </c>
      <c r="B461" t="s">
        <v>36</v>
      </c>
      <c r="C461" t="s">
        <v>37</v>
      </c>
      <c r="D461" s="6" t="s">
        <v>38</v>
      </c>
      <c r="E461" t="s">
        <v>1516</v>
      </c>
      <c r="F461" t="s">
        <v>40</v>
      </c>
      <c r="G461" t="s">
        <v>41</v>
      </c>
      <c r="H461" t="s">
        <v>1517</v>
      </c>
      <c r="I461" t="s">
        <v>43</v>
      </c>
      <c r="J461">
        <v>2</v>
      </c>
      <c r="K461" t="s">
        <v>44</v>
      </c>
      <c r="L461" t="s">
        <v>45</v>
      </c>
      <c r="M461" t="s">
        <v>46</v>
      </c>
      <c r="N461" s="7">
        <v>1</v>
      </c>
      <c r="O461" s="8">
        <v>45647.42696759259</v>
      </c>
      <c r="P461" s="9">
        <v>45648</v>
      </c>
      <c r="Q461" t="s">
        <v>74</v>
      </c>
      <c r="R461" t="s">
        <v>48</v>
      </c>
      <c r="S461" t="s">
        <v>49</v>
      </c>
      <c r="T461" t="s">
        <v>59</v>
      </c>
      <c r="U461" t="s">
        <v>1518</v>
      </c>
      <c r="V461">
        <v>18000</v>
      </c>
      <c r="W461" t="s">
        <v>48</v>
      </c>
      <c r="X461" t="s">
        <v>61</v>
      </c>
      <c r="Y461" t="s">
        <v>54</v>
      </c>
      <c r="Z461" s="12">
        <f>IF(N461&lt;=1,9,9+0.8*ROUNDUP(N461-1,0))</f>
        <v>9</v>
      </c>
      <c r="AA461" s="11">
        <v>-2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21"/>
        <v>0.42</v>
      </c>
      <c r="AG461" s="11">
        <f t="shared" si="22"/>
        <v>7.42</v>
      </c>
      <c r="AH461" s="11">
        <v>0</v>
      </c>
      <c r="AI461" s="11">
        <f t="shared" si="23"/>
        <v>7.42</v>
      </c>
      <c r="AJ461" t="s">
        <v>62</v>
      </c>
    </row>
    <row r="462" spans="1:36" ht="15" customHeight="1" x14ac:dyDescent="0.35">
      <c r="A462">
        <v>10428918</v>
      </c>
      <c r="B462" t="s">
        <v>36</v>
      </c>
      <c r="C462" t="s">
        <v>37</v>
      </c>
      <c r="D462" s="6" t="s">
        <v>38</v>
      </c>
      <c r="E462" t="s">
        <v>1519</v>
      </c>
      <c r="F462" t="s">
        <v>40</v>
      </c>
      <c r="G462" t="s">
        <v>41</v>
      </c>
      <c r="H462" t="s">
        <v>1520</v>
      </c>
      <c r="I462" t="s">
        <v>43</v>
      </c>
      <c r="J462">
        <v>2</v>
      </c>
      <c r="K462" t="s">
        <v>44</v>
      </c>
      <c r="L462" t="s">
        <v>45</v>
      </c>
      <c r="M462" t="s">
        <v>46</v>
      </c>
      <c r="N462" s="7">
        <v>1</v>
      </c>
      <c r="O462" s="8">
        <v>45647.652488425927</v>
      </c>
      <c r="P462" s="9">
        <v>45648</v>
      </c>
      <c r="Q462" t="s">
        <v>74</v>
      </c>
      <c r="R462" t="s">
        <v>48</v>
      </c>
      <c r="S462" t="s">
        <v>49</v>
      </c>
      <c r="T462" t="s">
        <v>59</v>
      </c>
      <c r="U462" t="s">
        <v>1521</v>
      </c>
      <c r="V462">
        <v>16250</v>
      </c>
      <c r="W462" t="s">
        <v>48</v>
      </c>
      <c r="X462" t="s">
        <v>61</v>
      </c>
      <c r="Y462" t="s">
        <v>54</v>
      </c>
      <c r="Z462" s="12">
        <f>IF(N462&lt;=1,9,9+0.8*ROUNDUP(N462-1,0))</f>
        <v>9</v>
      </c>
      <c r="AA462" s="11">
        <v>-2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21"/>
        <v>0.42</v>
      </c>
      <c r="AG462" s="11">
        <f t="shared" si="22"/>
        <v>7.42</v>
      </c>
      <c r="AH462" s="11">
        <v>0</v>
      </c>
      <c r="AI462" s="11">
        <f t="shared" si="23"/>
        <v>7.42</v>
      </c>
      <c r="AJ462" t="s">
        <v>62</v>
      </c>
    </row>
    <row r="463" spans="1:36" ht="15" customHeight="1" x14ac:dyDescent="0.35">
      <c r="A463">
        <v>10428918</v>
      </c>
      <c r="B463" t="s">
        <v>36</v>
      </c>
      <c r="C463" t="s">
        <v>37</v>
      </c>
      <c r="D463" s="6" t="s">
        <v>38</v>
      </c>
      <c r="E463" t="s">
        <v>1522</v>
      </c>
      <c r="F463" t="s">
        <v>40</v>
      </c>
      <c r="G463" t="s">
        <v>41</v>
      </c>
      <c r="H463" t="s">
        <v>1523</v>
      </c>
      <c r="I463" t="s">
        <v>43</v>
      </c>
      <c r="J463">
        <v>2</v>
      </c>
      <c r="K463" t="s">
        <v>44</v>
      </c>
      <c r="L463" t="s">
        <v>45</v>
      </c>
      <c r="M463" t="s">
        <v>46</v>
      </c>
      <c r="N463" s="7">
        <v>1</v>
      </c>
      <c r="O463" s="8">
        <v>45644.809016203704</v>
      </c>
      <c r="P463" s="9">
        <v>45648</v>
      </c>
      <c r="Q463" t="s">
        <v>74</v>
      </c>
      <c r="R463" t="s">
        <v>48</v>
      </c>
      <c r="S463" t="s">
        <v>49</v>
      </c>
      <c r="T463" t="s">
        <v>278</v>
      </c>
      <c r="U463" t="s">
        <v>1524</v>
      </c>
      <c r="V463">
        <v>96300</v>
      </c>
      <c r="W463" t="s">
        <v>52</v>
      </c>
      <c r="X463" t="s">
        <v>53</v>
      </c>
      <c r="Y463" t="s">
        <v>54</v>
      </c>
      <c r="Z463" s="10">
        <f>IF(N463&lt;=1,13,IF(N463&lt;=2,23,IF(N463&lt;=3,35,IF(N463&lt;=4,43,IF(N463&lt;=5,53,IF(N463&lt;=6,63,IF(N463&lt;=7,71,IF(N463&lt;=8,79,IF(N463&lt;=9,87,IF(N463&lt;=10,95,IF(N463&lt;=11,105,IF(N463&lt;=12,114,IF(N463&lt;=13,119,IF(N463&lt;=14,127,IF(N463&lt;=15,135,IF(N463&lt;=16,143,IF(N463&lt;=17,153,IF(N463&lt;=18,163,IF(N463&lt;=19,171,IF(N463&lt;=20,185,IF(N463&lt;=21,193,IF(N463&lt;=22,201,IF(N463&lt;=23,210,IF(N463&lt;=24,220,IF(N463&lt;=25,230,IF(N463&lt;=26,240,IF(N463&lt;=27,250,IF(N463&lt;=28,260,IF(N463&lt;=29,270,IF(N463&lt;=30,280,280+10*ROUNDUP(N463-30,0)))))))))))))))))))))))))))))))</f>
        <v>13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21"/>
        <v>0.78</v>
      </c>
      <c r="AG463" s="11">
        <f t="shared" si="22"/>
        <v>13.78</v>
      </c>
      <c r="AH463" s="11">
        <v>0</v>
      </c>
      <c r="AI463" s="11">
        <f t="shared" si="23"/>
        <v>13.78</v>
      </c>
      <c r="AJ463" t="s">
        <v>55</v>
      </c>
    </row>
    <row r="464" spans="1:36" ht="15" customHeight="1" x14ac:dyDescent="0.35">
      <c r="A464">
        <v>10428918</v>
      </c>
      <c r="B464" t="s">
        <v>36</v>
      </c>
      <c r="C464" t="s">
        <v>37</v>
      </c>
      <c r="D464" s="6" t="s">
        <v>38</v>
      </c>
      <c r="E464" t="s">
        <v>1525</v>
      </c>
      <c r="F464" t="s">
        <v>40</v>
      </c>
      <c r="G464" t="s">
        <v>41</v>
      </c>
      <c r="H464" t="s">
        <v>1526</v>
      </c>
      <c r="I464" t="s">
        <v>43</v>
      </c>
      <c r="J464">
        <v>2</v>
      </c>
      <c r="K464" t="s">
        <v>44</v>
      </c>
      <c r="L464" t="s">
        <v>45</v>
      </c>
      <c r="M464" t="s">
        <v>46</v>
      </c>
      <c r="N464" s="7">
        <v>2</v>
      </c>
      <c r="O464" s="8">
        <v>45647.645856481482</v>
      </c>
      <c r="P464" s="9">
        <v>45648</v>
      </c>
      <c r="Q464" t="s">
        <v>74</v>
      </c>
      <c r="R464" t="s">
        <v>48</v>
      </c>
      <c r="S464" t="s">
        <v>49</v>
      </c>
      <c r="T464" t="s">
        <v>90</v>
      </c>
      <c r="U464" t="s">
        <v>1527</v>
      </c>
      <c r="V464">
        <v>21400</v>
      </c>
      <c r="W464" t="s">
        <v>48</v>
      </c>
      <c r="X464" t="s">
        <v>92</v>
      </c>
      <c r="Y464" t="s">
        <v>54</v>
      </c>
      <c r="Z464" s="12">
        <f>IF(N464&lt;=1,9,9+0.8*ROUNDUP(N464-1,0))</f>
        <v>9.8000000000000007</v>
      </c>
      <c r="AA464" s="11">
        <v>-2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21"/>
        <v>0.46800000000000003</v>
      </c>
      <c r="AG464" s="11">
        <f t="shared" si="22"/>
        <v>8.2680000000000007</v>
      </c>
      <c r="AH464" s="11">
        <v>0</v>
      </c>
      <c r="AI464" s="11">
        <f t="shared" si="23"/>
        <v>8.2680000000000007</v>
      </c>
      <c r="AJ464" t="s">
        <v>62</v>
      </c>
    </row>
    <row r="465" spans="1:36" ht="15" customHeight="1" x14ac:dyDescent="0.35">
      <c r="A465">
        <v>10428918</v>
      </c>
      <c r="B465" t="s">
        <v>36</v>
      </c>
      <c r="C465" t="s">
        <v>37</v>
      </c>
      <c r="D465" s="6" t="s">
        <v>38</v>
      </c>
      <c r="E465" t="s">
        <v>1528</v>
      </c>
      <c r="F465" t="s">
        <v>40</v>
      </c>
      <c r="G465" t="s">
        <v>41</v>
      </c>
      <c r="H465" t="s">
        <v>1529</v>
      </c>
      <c r="I465" t="s">
        <v>43</v>
      </c>
      <c r="J465">
        <v>2</v>
      </c>
      <c r="K465" t="s">
        <v>44</v>
      </c>
      <c r="L465" t="s">
        <v>45</v>
      </c>
      <c r="M465" t="s">
        <v>46</v>
      </c>
      <c r="N465" s="7">
        <v>1</v>
      </c>
      <c r="O465" s="8">
        <v>45647.418657407405</v>
      </c>
      <c r="P465" s="9">
        <v>45648</v>
      </c>
      <c r="Q465" t="s">
        <v>74</v>
      </c>
      <c r="R465" t="s">
        <v>48</v>
      </c>
      <c r="S465" t="s">
        <v>49</v>
      </c>
      <c r="T465" t="s">
        <v>59</v>
      </c>
      <c r="U465" t="s">
        <v>1530</v>
      </c>
      <c r="V465">
        <v>16040</v>
      </c>
      <c r="W465" t="s">
        <v>48</v>
      </c>
      <c r="X465" t="s">
        <v>61</v>
      </c>
      <c r="Y465" t="s">
        <v>54</v>
      </c>
      <c r="Z465" s="12">
        <f>IF(N465&lt;=1,9,9+0.8*ROUNDUP(N465-1,0))</f>
        <v>9</v>
      </c>
      <c r="AA465" s="11">
        <v>-2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21"/>
        <v>0.42</v>
      </c>
      <c r="AG465" s="11">
        <f t="shared" si="22"/>
        <v>7.42</v>
      </c>
      <c r="AH465" s="11">
        <v>0</v>
      </c>
      <c r="AI465" s="11">
        <f t="shared" si="23"/>
        <v>7.42</v>
      </c>
      <c r="AJ465" t="s">
        <v>62</v>
      </c>
    </row>
    <row r="466" spans="1:36" ht="15" customHeight="1" x14ac:dyDescent="0.35">
      <c r="A466">
        <v>10428918</v>
      </c>
      <c r="B466" t="s">
        <v>36</v>
      </c>
      <c r="C466" t="s">
        <v>37</v>
      </c>
      <c r="D466" s="6" t="s">
        <v>38</v>
      </c>
      <c r="E466" t="s">
        <v>1531</v>
      </c>
      <c r="F466" t="s">
        <v>40</v>
      </c>
      <c r="G466" t="s">
        <v>41</v>
      </c>
      <c r="H466" t="s">
        <v>1532</v>
      </c>
      <c r="I466" t="s">
        <v>43</v>
      </c>
      <c r="J466">
        <v>2</v>
      </c>
      <c r="K466" t="s">
        <v>44</v>
      </c>
      <c r="L466" t="s">
        <v>45</v>
      </c>
      <c r="M466" t="s">
        <v>46</v>
      </c>
      <c r="N466" s="7">
        <v>1</v>
      </c>
      <c r="O466" s="8">
        <v>45647.42696759259</v>
      </c>
      <c r="P466" s="9">
        <v>45648</v>
      </c>
      <c r="Q466" t="s">
        <v>74</v>
      </c>
      <c r="R466" t="s">
        <v>48</v>
      </c>
      <c r="S466" t="s">
        <v>49</v>
      </c>
      <c r="T466" t="s">
        <v>75</v>
      </c>
      <c r="U466" t="s">
        <v>1533</v>
      </c>
      <c r="V466">
        <v>28200</v>
      </c>
      <c r="W466" t="s">
        <v>48</v>
      </c>
      <c r="X466" t="s">
        <v>77</v>
      </c>
      <c r="Y466" t="s">
        <v>54</v>
      </c>
      <c r="Z466" s="12">
        <f>IF(N466&lt;=1,9,9+0.8*ROUNDUP(N466-1,0))</f>
        <v>9</v>
      </c>
      <c r="AA466" s="11">
        <v>-2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21"/>
        <v>0.42</v>
      </c>
      <c r="AG466" s="11">
        <f t="shared" si="22"/>
        <v>7.42</v>
      </c>
      <c r="AH466" s="11">
        <v>0</v>
      </c>
      <c r="AI466" s="11">
        <f t="shared" si="23"/>
        <v>7.42</v>
      </c>
      <c r="AJ466" t="s">
        <v>62</v>
      </c>
    </row>
    <row r="467" spans="1:36" ht="15" customHeight="1" x14ac:dyDescent="0.35">
      <c r="A467">
        <v>10428918</v>
      </c>
      <c r="B467" t="s">
        <v>36</v>
      </c>
      <c r="C467" t="s">
        <v>37</v>
      </c>
      <c r="D467" s="6" t="s">
        <v>38</v>
      </c>
      <c r="E467" t="s">
        <v>1534</v>
      </c>
      <c r="F467" t="s">
        <v>40</v>
      </c>
      <c r="G467" t="s">
        <v>41</v>
      </c>
      <c r="H467" t="s">
        <v>1535</v>
      </c>
      <c r="I467" t="s">
        <v>43</v>
      </c>
      <c r="J467">
        <v>2</v>
      </c>
      <c r="K467" t="s">
        <v>44</v>
      </c>
      <c r="L467" t="s">
        <v>45</v>
      </c>
      <c r="M467" t="s">
        <v>46</v>
      </c>
      <c r="N467" s="7">
        <v>1</v>
      </c>
      <c r="O467" s="8">
        <v>45647.415173611109</v>
      </c>
      <c r="P467" s="9">
        <v>45648</v>
      </c>
      <c r="Q467" t="s">
        <v>74</v>
      </c>
      <c r="R467" t="s">
        <v>48</v>
      </c>
      <c r="S467" t="s">
        <v>49</v>
      </c>
      <c r="T467" t="s">
        <v>59</v>
      </c>
      <c r="U467" t="s">
        <v>1536</v>
      </c>
      <c r="V467">
        <v>15150</v>
      </c>
      <c r="W467" t="s">
        <v>48</v>
      </c>
      <c r="X467" t="s">
        <v>61</v>
      </c>
      <c r="Y467" t="s">
        <v>54</v>
      </c>
      <c r="Z467" s="12">
        <f>IF(N467&lt;=1,9,9+0.8*ROUNDUP(N467-1,0))</f>
        <v>9</v>
      </c>
      <c r="AA467" s="11">
        <v>-2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21"/>
        <v>0.42</v>
      </c>
      <c r="AG467" s="11">
        <f t="shared" si="22"/>
        <v>7.42</v>
      </c>
      <c r="AH467" s="11">
        <v>0</v>
      </c>
      <c r="AI467" s="11">
        <f t="shared" si="23"/>
        <v>7.42</v>
      </c>
      <c r="AJ467" t="s">
        <v>62</v>
      </c>
    </row>
    <row r="468" spans="1:36" ht="15" customHeight="1" x14ac:dyDescent="0.35">
      <c r="A468">
        <v>10428918</v>
      </c>
      <c r="B468" t="s">
        <v>36</v>
      </c>
      <c r="C468" t="s">
        <v>37</v>
      </c>
      <c r="D468" s="6" t="s">
        <v>38</v>
      </c>
      <c r="E468" t="s">
        <v>1537</v>
      </c>
      <c r="F468" t="s">
        <v>40</v>
      </c>
      <c r="G468" t="s">
        <v>41</v>
      </c>
      <c r="H468" t="s">
        <v>1538</v>
      </c>
      <c r="I468" t="s">
        <v>43</v>
      </c>
      <c r="J468">
        <v>2</v>
      </c>
      <c r="K468" t="s">
        <v>44</v>
      </c>
      <c r="L468" t="s">
        <v>45</v>
      </c>
      <c r="M468" t="s">
        <v>46</v>
      </c>
      <c r="N468" s="7">
        <v>2</v>
      </c>
      <c r="O468" s="8">
        <v>45647.678391203706</v>
      </c>
      <c r="P468" s="9">
        <v>45648</v>
      </c>
      <c r="Q468" t="s">
        <v>74</v>
      </c>
      <c r="R468" t="s">
        <v>48</v>
      </c>
      <c r="S468" t="s">
        <v>49</v>
      </c>
      <c r="T468" t="s">
        <v>59</v>
      </c>
      <c r="U468" t="s">
        <v>1539</v>
      </c>
      <c r="V468">
        <v>18200</v>
      </c>
      <c r="W468" t="s">
        <v>48</v>
      </c>
      <c r="X468" t="s">
        <v>61</v>
      </c>
      <c r="Y468" t="s">
        <v>54</v>
      </c>
      <c r="Z468" s="12">
        <f>IF(N468&lt;=1,9,9+0.8*ROUNDUP(N468-1,0))</f>
        <v>9.8000000000000007</v>
      </c>
      <c r="AA468" s="11">
        <v>-2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21"/>
        <v>0.46800000000000003</v>
      </c>
      <c r="AG468" s="11">
        <f t="shared" si="22"/>
        <v>8.2680000000000007</v>
      </c>
      <c r="AH468" s="11">
        <v>0</v>
      </c>
      <c r="AI468" s="11">
        <f t="shared" si="23"/>
        <v>8.2680000000000007</v>
      </c>
      <c r="AJ468" t="s">
        <v>62</v>
      </c>
    </row>
    <row r="469" spans="1:36" ht="15" customHeight="1" x14ac:dyDescent="0.35">
      <c r="A469">
        <v>10428918</v>
      </c>
      <c r="B469" t="s">
        <v>36</v>
      </c>
      <c r="C469" t="s">
        <v>37</v>
      </c>
      <c r="D469" s="6" t="s">
        <v>38</v>
      </c>
      <c r="E469" t="s">
        <v>1540</v>
      </c>
      <c r="F469" t="s">
        <v>40</v>
      </c>
      <c r="G469" t="s">
        <v>41</v>
      </c>
      <c r="H469" t="s">
        <v>1541</v>
      </c>
      <c r="I469" t="s">
        <v>43</v>
      </c>
      <c r="J469">
        <v>2</v>
      </c>
      <c r="K469" t="s">
        <v>44</v>
      </c>
      <c r="L469" t="s">
        <v>45</v>
      </c>
      <c r="M469" t="s">
        <v>46</v>
      </c>
      <c r="N469" s="7">
        <v>1</v>
      </c>
      <c r="O469" s="8">
        <v>45647.444305555553</v>
      </c>
      <c r="P469" s="9">
        <v>45648</v>
      </c>
      <c r="Q469" t="s">
        <v>74</v>
      </c>
      <c r="R469" t="s">
        <v>48</v>
      </c>
      <c r="S469" t="s">
        <v>49</v>
      </c>
      <c r="T469" t="s">
        <v>170</v>
      </c>
      <c r="U469" t="s">
        <v>1542</v>
      </c>
      <c r="V469">
        <v>54200</v>
      </c>
      <c r="W469" t="s">
        <v>48</v>
      </c>
      <c r="X469" t="s">
        <v>564</v>
      </c>
      <c r="Y469" t="s">
        <v>54</v>
      </c>
      <c r="Z469" s="12">
        <f>IF(N469&lt;=1,9,9+0.8*ROUNDUP(N469-1,0))</f>
        <v>9</v>
      </c>
      <c r="AA469" s="11">
        <v>-2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21"/>
        <v>0.42</v>
      </c>
      <c r="AG469" s="11">
        <f t="shared" si="22"/>
        <v>7.42</v>
      </c>
      <c r="AH469" s="11">
        <v>0</v>
      </c>
      <c r="AI469" s="11">
        <f t="shared" si="23"/>
        <v>7.42</v>
      </c>
      <c r="AJ469" t="s">
        <v>62</v>
      </c>
    </row>
    <row r="470" spans="1:36" ht="15" customHeight="1" x14ac:dyDescent="0.35">
      <c r="A470">
        <v>10428918</v>
      </c>
      <c r="B470" t="s">
        <v>36</v>
      </c>
      <c r="C470" t="s">
        <v>37</v>
      </c>
      <c r="D470" s="6" t="s">
        <v>38</v>
      </c>
      <c r="E470" t="s">
        <v>1543</v>
      </c>
      <c r="F470" t="s">
        <v>40</v>
      </c>
      <c r="G470" t="s">
        <v>41</v>
      </c>
      <c r="H470" t="s">
        <v>1544</v>
      </c>
      <c r="I470" t="s">
        <v>43</v>
      </c>
      <c r="J470">
        <v>2</v>
      </c>
      <c r="K470" t="s">
        <v>44</v>
      </c>
      <c r="L470" t="s">
        <v>45</v>
      </c>
      <c r="M470" t="s">
        <v>46</v>
      </c>
      <c r="N470" s="7">
        <v>1</v>
      </c>
      <c r="O470" s="8">
        <v>45647.612164351849</v>
      </c>
      <c r="P470" s="9">
        <v>45648</v>
      </c>
      <c r="Q470" t="s">
        <v>74</v>
      </c>
      <c r="R470" t="s">
        <v>48</v>
      </c>
      <c r="S470" t="s">
        <v>49</v>
      </c>
      <c r="T470" t="s">
        <v>75</v>
      </c>
      <c r="U470" t="s">
        <v>1545</v>
      </c>
      <c r="V470">
        <v>27000</v>
      </c>
      <c r="W470" t="s">
        <v>48</v>
      </c>
      <c r="X470" t="s">
        <v>77</v>
      </c>
      <c r="Y470" t="s">
        <v>54</v>
      </c>
      <c r="Z470" s="12">
        <f>IF(N470&lt;=1,9,9+0.8*ROUNDUP(N470-1,0))</f>
        <v>9</v>
      </c>
      <c r="AA470" s="11">
        <v>-2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21"/>
        <v>0.42</v>
      </c>
      <c r="AG470" s="11">
        <f t="shared" si="22"/>
        <v>7.42</v>
      </c>
      <c r="AH470" s="11">
        <v>0</v>
      </c>
      <c r="AI470" s="11">
        <f t="shared" si="23"/>
        <v>7.42</v>
      </c>
      <c r="AJ470" t="s">
        <v>62</v>
      </c>
    </row>
    <row r="471" spans="1:36" ht="15" customHeight="1" x14ac:dyDescent="0.35">
      <c r="A471">
        <v>10428918</v>
      </c>
      <c r="B471" t="s">
        <v>36</v>
      </c>
      <c r="C471" t="s">
        <v>37</v>
      </c>
      <c r="D471" s="6" t="s">
        <v>38</v>
      </c>
      <c r="E471" t="s">
        <v>1546</v>
      </c>
      <c r="F471" t="s">
        <v>40</v>
      </c>
      <c r="G471" t="s">
        <v>41</v>
      </c>
      <c r="H471" t="s">
        <v>1547</v>
      </c>
      <c r="I471" t="s">
        <v>43</v>
      </c>
      <c r="J471">
        <v>2</v>
      </c>
      <c r="K471" t="s">
        <v>44</v>
      </c>
      <c r="L471" t="s">
        <v>45</v>
      </c>
      <c r="M471" t="s">
        <v>46</v>
      </c>
      <c r="N471" s="7">
        <v>2</v>
      </c>
      <c r="O471" s="8">
        <v>45647.678391203706</v>
      </c>
      <c r="P471" s="9">
        <v>45648</v>
      </c>
      <c r="Q471" t="s">
        <v>74</v>
      </c>
      <c r="R471" t="s">
        <v>48</v>
      </c>
      <c r="S471" t="s">
        <v>49</v>
      </c>
      <c r="T471" t="s">
        <v>75</v>
      </c>
      <c r="U471" t="s">
        <v>1548</v>
      </c>
      <c r="V471">
        <v>26300</v>
      </c>
      <c r="W471" t="s">
        <v>48</v>
      </c>
      <c r="X471" t="s">
        <v>77</v>
      </c>
      <c r="Y471" t="s">
        <v>54</v>
      </c>
      <c r="Z471" s="12">
        <f>IF(N471&lt;=1,9,9+0.8*ROUNDUP(N471-1,0))</f>
        <v>9.8000000000000007</v>
      </c>
      <c r="AA471" s="11">
        <v>-2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21"/>
        <v>0.46800000000000003</v>
      </c>
      <c r="AG471" s="11">
        <f t="shared" si="22"/>
        <v>8.2680000000000007</v>
      </c>
      <c r="AH471" s="11">
        <v>0</v>
      </c>
      <c r="AI471" s="11">
        <f t="shared" si="23"/>
        <v>8.2680000000000007</v>
      </c>
      <c r="AJ471" t="s">
        <v>62</v>
      </c>
    </row>
    <row r="472" spans="1:36" ht="15" customHeight="1" x14ac:dyDescent="0.35">
      <c r="A472">
        <v>10428918</v>
      </c>
      <c r="B472" t="s">
        <v>36</v>
      </c>
      <c r="C472" t="s">
        <v>37</v>
      </c>
      <c r="D472" s="6" t="s">
        <v>38</v>
      </c>
      <c r="E472" t="s">
        <v>1549</v>
      </c>
      <c r="F472" t="s">
        <v>40</v>
      </c>
      <c r="G472" t="s">
        <v>41</v>
      </c>
      <c r="H472" t="s">
        <v>1550</v>
      </c>
      <c r="I472" t="s">
        <v>43</v>
      </c>
      <c r="J472">
        <v>2</v>
      </c>
      <c r="K472" t="s">
        <v>44</v>
      </c>
      <c r="L472" t="s">
        <v>45</v>
      </c>
      <c r="M472" t="s">
        <v>46</v>
      </c>
      <c r="N472" s="7">
        <v>1</v>
      </c>
      <c r="O472" s="8">
        <v>45647.652488425927</v>
      </c>
      <c r="P472" s="9">
        <v>45648</v>
      </c>
      <c r="Q472" t="s">
        <v>74</v>
      </c>
      <c r="R472" t="s">
        <v>48</v>
      </c>
      <c r="S472" t="s">
        <v>49</v>
      </c>
      <c r="T472" t="s">
        <v>59</v>
      </c>
      <c r="U472" t="s">
        <v>1551</v>
      </c>
      <c r="V472">
        <v>16250</v>
      </c>
      <c r="W472" t="s">
        <v>48</v>
      </c>
      <c r="X472" t="s">
        <v>61</v>
      </c>
      <c r="Y472" t="s">
        <v>54</v>
      </c>
      <c r="Z472" s="12">
        <f>IF(N472&lt;=1,9,9+0.8*ROUNDUP(N472-1,0))</f>
        <v>9</v>
      </c>
      <c r="AA472" s="11">
        <v>-2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21"/>
        <v>0.42</v>
      </c>
      <c r="AG472" s="11">
        <f t="shared" si="22"/>
        <v>7.42</v>
      </c>
      <c r="AH472" s="11">
        <v>0</v>
      </c>
      <c r="AI472" s="11">
        <f t="shared" si="23"/>
        <v>7.42</v>
      </c>
      <c r="AJ472" t="s">
        <v>62</v>
      </c>
    </row>
    <row r="473" spans="1:36" ht="15" customHeight="1" x14ac:dyDescent="0.35">
      <c r="A473">
        <v>10428918</v>
      </c>
      <c r="B473" t="s">
        <v>36</v>
      </c>
      <c r="C473" t="s">
        <v>37</v>
      </c>
      <c r="D473" s="6" t="s">
        <v>38</v>
      </c>
      <c r="E473" t="s">
        <v>1552</v>
      </c>
      <c r="F473" t="s">
        <v>40</v>
      </c>
      <c r="G473" t="s">
        <v>41</v>
      </c>
      <c r="H473" t="s">
        <v>1553</v>
      </c>
      <c r="I473" t="s">
        <v>43</v>
      </c>
      <c r="J473">
        <v>2</v>
      </c>
      <c r="K473" t="s">
        <v>44</v>
      </c>
      <c r="L473" t="s">
        <v>45</v>
      </c>
      <c r="M473" t="s">
        <v>46</v>
      </c>
      <c r="N473" s="7">
        <v>1</v>
      </c>
      <c r="O473" s="8">
        <v>45648.607604166667</v>
      </c>
      <c r="P473" s="9">
        <v>45649</v>
      </c>
      <c r="Q473" t="s">
        <v>74</v>
      </c>
      <c r="R473" t="s">
        <v>48</v>
      </c>
      <c r="S473" t="s">
        <v>49</v>
      </c>
      <c r="T473" t="s">
        <v>170</v>
      </c>
      <c r="U473" t="s">
        <v>1554</v>
      </c>
      <c r="V473">
        <v>43300</v>
      </c>
      <c r="W473" t="s">
        <v>48</v>
      </c>
      <c r="X473" t="s">
        <v>917</v>
      </c>
      <c r="Y473" t="s">
        <v>54</v>
      </c>
      <c r="Z473" s="12">
        <f>IF(N473&lt;=1,9,9+0.8*ROUNDUP(N473-1,0))</f>
        <v>9</v>
      </c>
      <c r="AA473" s="11">
        <v>-2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21"/>
        <v>0.42</v>
      </c>
      <c r="AG473" s="11">
        <f t="shared" si="22"/>
        <v>7.42</v>
      </c>
      <c r="AH473" s="11">
        <v>0</v>
      </c>
      <c r="AI473" s="11">
        <f t="shared" si="23"/>
        <v>7.42</v>
      </c>
      <c r="AJ473" t="s">
        <v>62</v>
      </c>
    </row>
    <row r="474" spans="1:36" ht="15" customHeight="1" x14ac:dyDescent="0.35">
      <c r="A474">
        <v>10428918</v>
      </c>
      <c r="B474" t="s">
        <v>36</v>
      </c>
      <c r="C474" t="s">
        <v>37</v>
      </c>
      <c r="D474" s="6" t="s">
        <v>38</v>
      </c>
      <c r="E474" t="s">
        <v>1555</v>
      </c>
      <c r="F474" t="s">
        <v>40</v>
      </c>
      <c r="G474" t="s">
        <v>41</v>
      </c>
      <c r="H474" t="s">
        <v>1556</v>
      </c>
      <c r="I474" t="s">
        <v>43</v>
      </c>
      <c r="J474">
        <v>2</v>
      </c>
      <c r="K474" t="s">
        <v>44</v>
      </c>
      <c r="L474" t="s">
        <v>45</v>
      </c>
      <c r="M474" t="s">
        <v>46</v>
      </c>
      <c r="N474" s="7">
        <v>5</v>
      </c>
      <c r="O474" s="8">
        <v>45647.645856481482</v>
      </c>
      <c r="P474" s="9">
        <v>45648</v>
      </c>
      <c r="Q474" t="s">
        <v>74</v>
      </c>
      <c r="R474" t="s">
        <v>48</v>
      </c>
      <c r="S474" t="s">
        <v>49</v>
      </c>
      <c r="T474" t="s">
        <v>59</v>
      </c>
      <c r="U474" t="s">
        <v>1557</v>
      </c>
      <c r="V474">
        <v>16800</v>
      </c>
      <c r="W474" t="s">
        <v>48</v>
      </c>
      <c r="X474" t="s">
        <v>61</v>
      </c>
      <c r="Y474" t="s">
        <v>54</v>
      </c>
      <c r="Z474" s="12">
        <f>IF(N474&lt;=1,9,9+0.8*ROUNDUP(N474-1,0))</f>
        <v>12.2</v>
      </c>
      <c r="AA474" s="11">
        <v>-2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21"/>
        <v>0.61199999999999999</v>
      </c>
      <c r="AG474" s="11">
        <f t="shared" si="22"/>
        <v>10.811999999999999</v>
      </c>
      <c r="AH474" s="11">
        <v>0</v>
      </c>
      <c r="AI474" s="11">
        <f t="shared" si="23"/>
        <v>10.811999999999999</v>
      </c>
      <c r="AJ474" t="s">
        <v>62</v>
      </c>
    </row>
    <row r="475" spans="1:36" ht="15" customHeight="1" x14ac:dyDescent="0.35">
      <c r="A475">
        <v>10428918</v>
      </c>
      <c r="B475" t="s">
        <v>36</v>
      </c>
      <c r="C475" t="s">
        <v>37</v>
      </c>
      <c r="D475" s="6" t="s">
        <v>38</v>
      </c>
      <c r="E475" t="s">
        <v>1558</v>
      </c>
      <c r="F475" t="s">
        <v>40</v>
      </c>
      <c r="G475" t="s">
        <v>41</v>
      </c>
      <c r="H475" t="s">
        <v>352</v>
      </c>
      <c r="I475" t="s">
        <v>43</v>
      </c>
      <c r="J475">
        <v>2</v>
      </c>
      <c r="K475" t="s">
        <v>44</v>
      </c>
      <c r="L475" t="s">
        <v>45</v>
      </c>
      <c r="M475" t="s">
        <v>46</v>
      </c>
      <c r="N475" s="7">
        <v>2</v>
      </c>
      <c r="O475" s="8">
        <v>45647.641006944446</v>
      </c>
      <c r="P475" s="9">
        <v>45648</v>
      </c>
      <c r="Q475" t="s">
        <v>74</v>
      </c>
      <c r="R475" t="s">
        <v>48</v>
      </c>
      <c r="S475" t="s">
        <v>49</v>
      </c>
      <c r="T475" t="s">
        <v>90</v>
      </c>
      <c r="U475" t="s">
        <v>353</v>
      </c>
      <c r="V475">
        <v>21200</v>
      </c>
      <c r="W475" t="s">
        <v>48</v>
      </c>
      <c r="X475" t="s">
        <v>92</v>
      </c>
      <c r="Y475" t="s">
        <v>54</v>
      </c>
      <c r="Z475" s="12">
        <f>IF(N475&lt;=1,9,9+0.8*ROUNDUP(N475-1,0))</f>
        <v>9.8000000000000007</v>
      </c>
      <c r="AA475" s="11">
        <v>-2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21"/>
        <v>0.46800000000000003</v>
      </c>
      <c r="AG475" s="11">
        <f t="shared" si="22"/>
        <v>8.2680000000000007</v>
      </c>
      <c r="AH475" s="11">
        <v>0</v>
      </c>
      <c r="AI475" s="11">
        <f t="shared" si="23"/>
        <v>8.2680000000000007</v>
      </c>
      <c r="AJ475" t="s">
        <v>62</v>
      </c>
    </row>
    <row r="476" spans="1:36" ht="15" customHeight="1" x14ac:dyDescent="0.35">
      <c r="A476">
        <v>10428918</v>
      </c>
      <c r="B476" t="s">
        <v>36</v>
      </c>
      <c r="C476" t="s">
        <v>37</v>
      </c>
      <c r="D476" s="6" t="s">
        <v>38</v>
      </c>
      <c r="E476" t="s">
        <v>1559</v>
      </c>
      <c r="F476" t="s">
        <v>40</v>
      </c>
      <c r="G476" t="s">
        <v>41</v>
      </c>
      <c r="H476" t="s">
        <v>1560</v>
      </c>
      <c r="I476" t="s">
        <v>43</v>
      </c>
      <c r="J476">
        <v>2</v>
      </c>
      <c r="K476" t="s">
        <v>44</v>
      </c>
      <c r="L476" t="s">
        <v>45</v>
      </c>
      <c r="M476" t="s">
        <v>46</v>
      </c>
      <c r="N476" s="7">
        <v>1</v>
      </c>
      <c r="O476" s="8">
        <v>45647.608958333331</v>
      </c>
      <c r="P476" s="9">
        <v>45648</v>
      </c>
      <c r="Q476" t="s">
        <v>74</v>
      </c>
      <c r="R476" t="s">
        <v>48</v>
      </c>
      <c r="S476" t="s">
        <v>49</v>
      </c>
      <c r="T476" t="s">
        <v>75</v>
      </c>
      <c r="U476" t="s">
        <v>1561</v>
      </c>
      <c r="V476">
        <v>26600</v>
      </c>
      <c r="W476" t="s">
        <v>48</v>
      </c>
      <c r="X476" t="s">
        <v>77</v>
      </c>
      <c r="Y476" t="s">
        <v>54</v>
      </c>
      <c r="Z476" s="12">
        <f>IF(N476&lt;=1,9,9+0.8*ROUNDUP(N476-1,0))</f>
        <v>9</v>
      </c>
      <c r="AA476" s="11">
        <v>-2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21"/>
        <v>0.42</v>
      </c>
      <c r="AG476" s="11">
        <f t="shared" si="22"/>
        <v>7.42</v>
      </c>
      <c r="AH476" s="11">
        <v>0</v>
      </c>
      <c r="AI476" s="11">
        <f t="shared" si="23"/>
        <v>7.42</v>
      </c>
      <c r="AJ476" t="s">
        <v>62</v>
      </c>
    </row>
    <row r="477" spans="1:36" ht="15" customHeight="1" x14ac:dyDescent="0.35">
      <c r="A477">
        <v>10428918</v>
      </c>
      <c r="B477" t="s">
        <v>36</v>
      </c>
      <c r="C477" t="s">
        <v>37</v>
      </c>
      <c r="D477" s="6" t="s">
        <v>38</v>
      </c>
      <c r="E477" t="s">
        <v>1562</v>
      </c>
      <c r="F477" t="s">
        <v>40</v>
      </c>
      <c r="G477" t="s">
        <v>41</v>
      </c>
      <c r="H477" t="s">
        <v>1563</v>
      </c>
      <c r="I477" t="s">
        <v>43</v>
      </c>
      <c r="J477">
        <v>2</v>
      </c>
      <c r="K477" t="s">
        <v>44</v>
      </c>
      <c r="L477" t="s">
        <v>45</v>
      </c>
      <c r="M477" t="s">
        <v>46</v>
      </c>
      <c r="N477" s="7">
        <v>1</v>
      </c>
      <c r="O477" s="8">
        <v>45647.630613425928</v>
      </c>
      <c r="P477" s="9">
        <v>45648</v>
      </c>
      <c r="Q477" t="s">
        <v>74</v>
      </c>
      <c r="R477" t="s">
        <v>48</v>
      </c>
      <c r="S477" t="s">
        <v>49</v>
      </c>
      <c r="T477" t="s">
        <v>90</v>
      </c>
      <c r="U477" t="s">
        <v>1564</v>
      </c>
      <c r="V477">
        <v>23000</v>
      </c>
      <c r="W477" t="s">
        <v>48</v>
      </c>
      <c r="X477" t="s">
        <v>92</v>
      </c>
      <c r="Y477" t="s">
        <v>54</v>
      </c>
      <c r="Z477" s="12">
        <f>IF(N477&lt;=1,9,9+0.8*ROUNDUP(N477-1,0))</f>
        <v>9</v>
      </c>
      <c r="AA477" s="11">
        <v>-2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21"/>
        <v>0.42</v>
      </c>
      <c r="AG477" s="11">
        <f t="shared" si="22"/>
        <v>7.42</v>
      </c>
      <c r="AH477" s="11">
        <v>0</v>
      </c>
      <c r="AI477" s="11">
        <f t="shared" si="23"/>
        <v>7.42</v>
      </c>
      <c r="AJ477" t="s">
        <v>62</v>
      </c>
    </row>
    <row r="478" spans="1:36" ht="15" customHeight="1" x14ac:dyDescent="0.35">
      <c r="A478">
        <v>10428918</v>
      </c>
      <c r="B478" t="s">
        <v>36</v>
      </c>
      <c r="C478" t="s">
        <v>37</v>
      </c>
      <c r="D478" s="6" t="s">
        <v>38</v>
      </c>
      <c r="E478" t="s">
        <v>1565</v>
      </c>
      <c r="F478" t="s">
        <v>40</v>
      </c>
      <c r="G478" t="s">
        <v>41</v>
      </c>
      <c r="H478" t="s">
        <v>1566</v>
      </c>
      <c r="I478" t="s">
        <v>43</v>
      </c>
      <c r="J478">
        <v>2</v>
      </c>
      <c r="K478" t="s">
        <v>44</v>
      </c>
      <c r="L478" t="s">
        <v>45</v>
      </c>
      <c r="M478" t="s">
        <v>46</v>
      </c>
      <c r="N478" s="7">
        <v>2</v>
      </c>
      <c r="O478" s="8">
        <v>45647.645868055559</v>
      </c>
      <c r="P478" s="9">
        <v>45649</v>
      </c>
      <c r="Q478" t="s">
        <v>74</v>
      </c>
      <c r="R478" t="s">
        <v>48</v>
      </c>
      <c r="S478" t="s">
        <v>49</v>
      </c>
      <c r="T478" t="s">
        <v>90</v>
      </c>
      <c r="U478" t="s">
        <v>1567</v>
      </c>
      <c r="V478">
        <v>21020</v>
      </c>
      <c r="W478" t="s">
        <v>48</v>
      </c>
      <c r="X478" t="s">
        <v>92</v>
      </c>
      <c r="Y478" t="s">
        <v>54</v>
      </c>
      <c r="Z478" s="12">
        <f>IF(N478&lt;=1,9,9+0.8*ROUNDUP(N478-1,0))</f>
        <v>9.8000000000000007</v>
      </c>
      <c r="AA478" s="11">
        <v>-2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21"/>
        <v>0.46800000000000003</v>
      </c>
      <c r="AG478" s="11">
        <f t="shared" si="22"/>
        <v>8.2680000000000007</v>
      </c>
      <c r="AH478" s="11">
        <v>0</v>
      </c>
      <c r="AI478" s="11">
        <f t="shared" si="23"/>
        <v>8.2680000000000007</v>
      </c>
      <c r="AJ478" t="s">
        <v>62</v>
      </c>
    </row>
    <row r="479" spans="1:36" ht="15" customHeight="1" x14ac:dyDescent="0.35">
      <c r="A479">
        <v>10428918</v>
      </c>
      <c r="B479" t="s">
        <v>36</v>
      </c>
      <c r="C479" t="s">
        <v>37</v>
      </c>
      <c r="D479" s="6" t="s">
        <v>38</v>
      </c>
      <c r="E479" t="s">
        <v>1568</v>
      </c>
      <c r="F479" t="s">
        <v>40</v>
      </c>
      <c r="G479" t="s">
        <v>41</v>
      </c>
      <c r="H479" t="s">
        <v>1569</v>
      </c>
      <c r="I479" t="s">
        <v>43</v>
      </c>
      <c r="J479">
        <v>2</v>
      </c>
      <c r="K479" t="s">
        <v>44</v>
      </c>
      <c r="L479" t="s">
        <v>45</v>
      </c>
      <c r="M479" t="s">
        <v>46</v>
      </c>
      <c r="N479" s="7">
        <v>2</v>
      </c>
      <c r="O479" s="8">
        <v>45647.490115740744</v>
      </c>
      <c r="P479" s="9">
        <v>45649</v>
      </c>
      <c r="Q479" t="s">
        <v>74</v>
      </c>
      <c r="R479" t="s">
        <v>48</v>
      </c>
      <c r="S479" t="s">
        <v>49</v>
      </c>
      <c r="T479" t="s">
        <v>80</v>
      </c>
      <c r="U479" t="s">
        <v>1570</v>
      </c>
      <c r="V479">
        <v>8000</v>
      </c>
      <c r="W479" t="s">
        <v>48</v>
      </c>
      <c r="X479" t="s">
        <v>53</v>
      </c>
      <c r="Y479" t="s">
        <v>54</v>
      </c>
      <c r="Z479" s="12">
        <f>IF(N479&lt;=1,9,9+0.8*ROUNDUP(N479-1,0))</f>
        <v>9.8000000000000007</v>
      </c>
      <c r="AA479" s="11">
        <v>-2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21"/>
        <v>0.46800000000000003</v>
      </c>
      <c r="AG479" s="11">
        <f t="shared" si="22"/>
        <v>8.2680000000000007</v>
      </c>
      <c r="AH479" s="11">
        <v>0</v>
      </c>
      <c r="AI479" s="11">
        <f t="shared" si="23"/>
        <v>8.2680000000000007</v>
      </c>
      <c r="AJ479" t="s">
        <v>62</v>
      </c>
    </row>
    <row r="480" spans="1:36" ht="15" customHeight="1" x14ac:dyDescent="0.35">
      <c r="A480">
        <v>10428918</v>
      </c>
      <c r="B480" t="s">
        <v>36</v>
      </c>
      <c r="C480" t="s">
        <v>37</v>
      </c>
      <c r="D480" s="6" t="s">
        <v>38</v>
      </c>
      <c r="E480" t="s">
        <v>1571</v>
      </c>
      <c r="F480" t="s">
        <v>40</v>
      </c>
      <c r="G480" t="s">
        <v>41</v>
      </c>
      <c r="H480" t="s">
        <v>1572</v>
      </c>
      <c r="I480" t="s">
        <v>43</v>
      </c>
      <c r="J480">
        <v>2</v>
      </c>
      <c r="K480" t="s">
        <v>44</v>
      </c>
      <c r="L480" t="s">
        <v>45</v>
      </c>
      <c r="M480" t="s">
        <v>46</v>
      </c>
      <c r="N480" s="7">
        <v>1</v>
      </c>
      <c r="O480" s="8">
        <v>45647.441134259258</v>
      </c>
      <c r="P480" s="9">
        <v>45649</v>
      </c>
      <c r="Q480" t="s">
        <v>74</v>
      </c>
      <c r="R480" t="s">
        <v>48</v>
      </c>
      <c r="S480" t="s">
        <v>49</v>
      </c>
      <c r="T480" t="s">
        <v>65</v>
      </c>
      <c r="U480" t="s">
        <v>1573</v>
      </c>
      <c r="V480">
        <v>75450</v>
      </c>
      <c r="W480" t="s">
        <v>48</v>
      </c>
      <c r="X480" t="s">
        <v>1574</v>
      </c>
      <c r="Y480" t="s">
        <v>54</v>
      </c>
      <c r="Z480" s="12">
        <f>IF(N480&lt;=1,9,9+0.8*ROUNDUP(N480-1,0))</f>
        <v>9</v>
      </c>
      <c r="AA480" s="11">
        <v>-2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21"/>
        <v>0.42</v>
      </c>
      <c r="AG480" s="11">
        <f t="shared" si="22"/>
        <v>7.42</v>
      </c>
      <c r="AH480" s="11">
        <v>0</v>
      </c>
      <c r="AI480" s="11">
        <f t="shared" si="23"/>
        <v>7.42</v>
      </c>
      <c r="AJ480" t="s">
        <v>62</v>
      </c>
    </row>
    <row r="481" spans="1:36" ht="15" customHeight="1" x14ac:dyDescent="0.35">
      <c r="A481">
        <v>10428918</v>
      </c>
      <c r="B481" t="s">
        <v>36</v>
      </c>
      <c r="C481" t="s">
        <v>37</v>
      </c>
      <c r="D481" s="6" t="s">
        <v>38</v>
      </c>
      <c r="E481" t="s">
        <v>1575</v>
      </c>
      <c r="F481" t="s">
        <v>40</v>
      </c>
      <c r="G481" t="s">
        <v>41</v>
      </c>
      <c r="H481" t="s">
        <v>1576</v>
      </c>
      <c r="I481" t="s">
        <v>43</v>
      </c>
      <c r="J481">
        <v>2</v>
      </c>
      <c r="K481" t="s">
        <v>44</v>
      </c>
      <c r="L481" t="s">
        <v>45</v>
      </c>
      <c r="M481" t="s">
        <v>46</v>
      </c>
      <c r="N481" s="7">
        <v>1</v>
      </c>
      <c r="O481" s="8">
        <v>45648.760798611111</v>
      </c>
      <c r="P481" s="9">
        <v>45649</v>
      </c>
      <c r="Q481" t="s">
        <v>74</v>
      </c>
      <c r="R481" t="s">
        <v>48</v>
      </c>
      <c r="S481" t="s">
        <v>49</v>
      </c>
      <c r="T481" t="s">
        <v>90</v>
      </c>
      <c r="U481" t="s">
        <v>1577</v>
      </c>
      <c r="V481">
        <v>23100</v>
      </c>
      <c r="W481" t="s">
        <v>48</v>
      </c>
      <c r="X481" t="s">
        <v>92</v>
      </c>
      <c r="Y481" t="s">
        <v>54</v>
      </c>
      <c r="Z481" s="12">
        <f>IF(N481&lt;=1,9,9+0.8*ROUNDUP(N481-1,0))</f>
        <v>9</v>
      </c>
      <c r="AA481" s="11">
        <v>-2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21"/>
        <v>0.42</v>
      </c>
      <c r="AG481" s="11">
        <f t="shared" si="22"/>
        <v>7.42</v>
      </c>
      <c r="AH481" s="11">
        <v>0</v>
      </c>
      <c r="AI481" s="11">
        <f t="shared" si="23"/>
        <v>7.42</v>
      </c>
      <c r="AJ481" t="s">
        <v>62</v>
      </c>
    </row>
    <row r="482" spans="1:36" ht="15" customHeight="1" x14ac:dyDescent="0.35">
      <c r="A482">
        <v>10428918</v>
      </c>
      <c r="B482" t="s">
        <v>36</v>
      </c>
      <c r="C482" t="s">
        <v>37</v>
      </c>
      <c r="D482" s="6" t="s">
        <v>38</v>
      </c>
      <c r="E482" t="s">
        <v>1578</v>
      </c>
      <c r="F482" t="s">
        <v>40</v>
      </c>
      <c r="G482" t="s">
        <v>41</v>
      </c>
      <c r="H482" t="s">
        <v>1579</v>
      </c>
      <c r="I482" t="s">
        <v>43</v>
      </c>
      <c r="J482">
        <v>2</v>
      </c>
      <c r="K482" t="s">
        <v>44</v>
      </c>
      <c r="L482" t="s">
        <v>45</v>
      </c>
      <c r="M482" t="s">
        <v>46</v>
      </c>
      <c r="N482" s="7">
        <v>2</v>
      </c>
      <c r="O482" s="8">
        <v>45647.80872685185</v>
      </c>
      <c r="P482" s="9">
        <v>45649</v>
      </c>
      <c r="Q482" t="s">
        <v>74</v>
      </c>
      <c r="R482" t="s">
        <v>48</v>
      </c>
      <c r="S482" t="s">
        <v>49</v>
      </c>
      <c r="T482" t="s">
        <v>90</v>
      </c>
      <c r="U482" t="s">
        <v>1580</v>
      </c>
      <c r="V482">
        <v>21400</v>
      </c>
      <c r="W482" t="s">
        <v>48</v>
      </c>
      <c r="X482" t="s">
        <v>92</v>
      </c>
      <c r="Y482" t="s">
        <v>54</v>
      </c>
      <c r="Z482" s="12">
        <f>IF(N482&lt;=1,9,9+0.8*ROUNDUP(N482-1,0))</f>
        <v>9.8000000000000007</v>
      </c>
      <c r="AA482" s="11">
        <v>-2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21"/>
        <v>0.46800000000000003</v>
      </c>
      <c r="AG482" s="11">
        <f t="shared" si="22"/>
        <v>8.2680000000000007</v>
      </c>
      <c r="AH482" s="11">
        <v>0</v>
      </c>
      <c r="AI482" s="11">
        <f t="shared" si="23"/>
        <v>8.2680000000000007</v>
      </c>
      <c r="AJ482" t="s">
        <v>62</v>
      </c>
    </row>
    <row r="483" spans="1:36" ht="15" customHeight="1" x14ac:dyDescent="0.35">
      <c r="A483">
        <v>10428918</v>
      </c>
      <c r="B483" t="s">
        <v>36</v>
      </c>
      <c r="C483" t="s">
        <v>37</v>
      </c>
      <c r="D483" s="6" t="s">
        <v>38</v>
      </c>
      <c r="E483" t="s">
        <v>1581</v>
      </c>
      <c r="F483" t="s">
        <v>40</v>
      </c>
      <c r="G483" t="s">
        <v>41</v>
      </c>
      <c r="H483" t="s">
        <v>1582</v>
      </c>
      <c r="I483" t="s">
        <v>43</v>
      </c>
      <c r="J483">
        <v>2</v>
      </c>
      <c r="K483" t="s">
        <v>44</v>
      </c>
      <c r="L483" t="s">
        <v>45</v>
      </c>
      <c r="M483" t="s">
        <v>46</v>
      </c>
      <c r="N483" s="7">
        <v>1</v>
      </c>
      <c r="O483" s="8">
        <v>45647.426979166667</v>
      </c>
      <c r="P483" s="9">
        <v>45649</v>
      </c>
      <c r="Q483" t="s">
        <v>74</v>
      </c>
      <c r="R483" t="s">
        <v>48</v>
      </c>
      <c r="S483" t="s">
        <v>49</v>
      </c>
      <c r="T483" t="s">
        <v>80</v>
      </c>
      <c r="U483" t="s">
        <v>1583</v>
      </c>
      <c r="V483">
        <v>8000</v>
      </c>
      <c r="W483" t="s">
        <v>48</v>
      </c>
      <c r="X483" t="s">
        <v>141</v>
      </c>
      <c r="Y483" t="s">
        <v>54</v>
      </c>
      <c r="Z483" s="12">
        <f>IF(N483&lt;=1,9,9+0.8*ROUNDUP(N483-1,0))</f>
        <v>9</v>
      </c>
      <c r="AA483" s="11">
        <v>-2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21"/>
        <v>0.42</v>
      </c>
      <c r="AG483" s="11">
        <f t="shared" si="22"/>
        <v>7.42</v>
      </c>
      <c r="AH483" s="11">
        <v>0</v>
      </c>
      <c r="AI483" s="11">
        <f t="shared" si="23"/>
        <v>7.42</v>
      </c>
      <c r="AJ483" t="s">
        <v>62</v>
      </c>
    </row>
    <row r="484" spans="1:36" ht="15" customHeight="1" x14ac:dyDescent="0.35">
      <c r="A484">
        <v>10428918</v>
      </c>
      <c r="B484" t="s">
        <v>36</v>
      </c>
      <c r="C484" t="s">
        <v>37</v>
      </c>
      <c r="D484" s="6" t="s">
        <v>38</v>
      </c>
      <c r="E484" t="s">
        <v>1584</v>
      </c>
      <c r="F484" t="s">
        <v>40</v>
      </c>
      <c r="G484" t="s">
        <v>41</v>
      </c>
      <c r="H484" t="s">
        <v>1585</v>
      </c>
      <c r="I484" t="s">
        <v>43</v>
      </c>
      <c r="J484">
        <v>2</v>
      </c>
      <c r="K484" t="s">
        <v>44</v>
      </c>
      <c r="L484" t="s">
        <v>45</v>
      </c>
      <c r="M484" t="s">
        <v>46</v>
      </c>
      <c r="N484" s="7">
        <v>1</v>
      </c>
      <c r="O484" s="8">
        <v>45647.491724537038</v>
      </c>
      <c r="P484" s="9">
        <v>45649</v>
      </c>
      <c r="Q484" t="s">
        <v>74</v>
      </c>
      <c r="R484" t="s">
        <v>48</v>
      </c>
      <c r="S484" t="s">
        <v>49</v>
      </c>
      <c r="T484" t="s">
        <v>101</v>
      </c>
      <c r="U484" t="s">
        <v>1586</v>
      </c>
      <c r="V484">
        <v>34350</v>
      </c>
      <c r="W484" t="s">
        <v>48</v>
      </c>
      <c r="X484" t="s">
        <v>53</v>
      </c>
      <c r="Y484" t="s">
        <v>54</v>
      </c>
      <c r="Z484" s="12">
        <f>IF(N484&lt;=1,9,9+0.8*ROUNDUP(N484-1,0))</f>
        <v>9</v>
      </c>
      <c r="AA484" s="11">
        <v>-2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21"/>
        <v>0.42</v>
      </c>
      <c r="AG484" s="11">
        <f t="shared" si="22"/>
        <v>7.42</v>
      </c>
      <c r="AH484" s="11">
        <v>0</v>
      </c>
      <c r="AI484" s="11">
        <f t="shared" si="23"/>
        <v>7.42</v>
      </c>
      <c r="AJ484" t="s">
        <v>62</v>
      </c>
    </row>
    <row r="485" spans="1:36" ht="15" customHeight="1" x14ac:dyDescent="0.35">
      <c r="A485">
        <v>10428918</v>
      </c>
      <c r="B485" t="s">
        <v>36</v>
      </c>
      <c r="C485" t="s">
        <v>37</v>
      </c>
      <c r="D485" s="6" t="s">
        <v>38</v>
      </c>
      <c r="E485" t="s">
        <v>1587</v>
      </c>
      <c r="F485" t="s">
        <v>40</v>
      </c>
      <c r="G485" t="s">
        <v>41</v>
      </c>
      <c r="H485" t="s">
        <v>1588</v>
      </c>
      <c r="I485" t="s">
        <v>43</v>
      </c>
      <c r="J485">
        <v>2</v>
      </c>
      <c r="K485" t="s">
        <v>44</v>
      </c>
      <c r="L485" t="s">
        <v>45</v>
      </c>
      <c r="M485" t="s">
        <v>46</v>
      </c>
      <c r="N485" s="7">
        <v>2</v>
      </c>
      <c r="O485" s="8">
        <v>45647.646354166667</v>
      </c>
      <c r="P485" s="9">
        <v>45649</v>
      </c>
      <c r="Q485" t="s">
        <v>74</v>
      </c>
      <c r="R485" t="s">
        <v>48</v>
      </c>
      <c r="S485" t="s">
        <v>49</v>
      </c>
      <c r="T485" t="s">
        <v>170</v>
      </c>
      <c r="U485" t="s">
        <v>1589</v>
      </c>
      <c r="V485">
        <v>53200</v>
      </c>
      <c r="W485" t="s">
        <v>48</v>
      </c>
      <c r="X485" t="s">
        <v>53</v>
      </c>
      <c r="Y485" t="s">
        <v>54</v>
      </c>
      <c r="Z485" s="12">
        <f>IF(N485&lt;=1,9,9+0.8*ROUNDUP(N485-1,0))</f>
        <v>9.8000000000000007</v>
      </c>
      <c r="AA485" s="11">
        <v>-2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21"/>
        <v>0.46800000000000003</v>
      </c>
      <c r="AG485" s="11">
        <f t="shared" si="22"/>
        <v>8.2680000000000007</v>
      </c>
      <c r="AH485" s="11">
        <v>0</v>
      </c>
      <c r="AI485" s="11">
        <f t="shared" si="23"/>
        <v>8.2680000000000007</v>
      </c>
      <c r="AJ485" t="s">
        <v>62</v>
      </c>
    </row>
    <row r="486" spans="1:36" ht="15" customHeight="1" x14ac:dyDescent="0.35">
      <c r="A486">
        <v>10428918</v>
      </c>
      <c r="B486" t="s">
        <v>36</v>
      </c>
      <c r="C486" t="s">
        <v>37</v>
      </c>
      <c r="D486" s="6" t="s">
        <v>38</v>
      </c>
      <c r="E486" t="s">
        <v>1590</v>
      </c>
      <c r="F486" t="s">
        <v>40</v>
      </c>
      <c r="G486" t="s">
        <v>41</v>
      </c>
      <c r="H486" t="s">
        <v>1591</v>
      </c>
      <c r="I486" t="s">
        <v>43</v>
      </c>
      <c r="J486">
        <v>2</v>
      </c>
      <c r="K486" t="s">
        <v>44</v>
      </c>
      <c r="L486" t="s">
        <v>45</v>
      </c>
      <c r="M486" t="s">
        <v>46</v>
      </c>
      <c r="N486" s="7">
        <v>2</v>
      </c>
      <c r="O486" s="8">
        <v>45647.415173611109</v>
      </c>
      <c r="P486" s="9">
        <v>45649</v>
      </c>
      <c r="Q486" t="s">
        <v>74</v>
      </c>
      <c r="R486" t="s">
        <v>48</v>
      </c>
      <c r="S486" t="s">
        <v>49</v>
      </c>
      <c r="T486" t="s">
        <v>65</v>
      </c>
      <c r="U486" t="s">
        <v>1592</v>
      </c>
      <c r="V486">
        <v>78000</v>
      </c>
      <c r="W486" t="s">
        <v>48</v>
      </c>
      <c r="X486" t="s">
        <v>448</v>
      </c>
      <c r="Y486" t="s">
        <v>54</v>
      </c>
      <c r="Z486" s="12">
        <f>IF(N486&lt;=1,9,9+0.8*ROUNDUP(N486-1,0))</f>
        <v>9.8000000000000007</v>
      </c>
      <c r="AA486" s="11">
        <v>-2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21"/>
        <v>0.46800000000000003</v>
      </c>
      <c r="AG486" s="11">
        <f t="shared" si="22"/>
        <v>8.2680000000000007</v>
      </c>
      <c r="AH486" s="11">
        <v>0</v>
      </c>
      <c r="AI486" s="11">
        <f t="shared" si="23"/>
        <v>8.2680000000000007</v>
      </c>
      <c r="AJ486" t="s">
        <v>62</v>
      </c>
    </row>
    <row r="487" spans="1:36" ht="15" customHeight="1" x14ac:dyDescent="0.35">
      <c r="A487">
        <v>10428918</v>
      </c>
      <c r="B487" t="s">
        <v>36</v>
      </c>
      <c r="C487" t="s">
        <v>37</v>
      </c>
      <c r="D487" s="6" t="s">
        <v>38</v>
      </c>
      <c r="E487" t="s">
        <v>1593</v>
      </c>
      <c r="F487" t="s">
        <v>40</v>
      </c>
      <c r="G487" t="s">
        <v>41</v>
      </c>
      <c r="H487" t="s">
        <v>1594</v>
      </c>
      <c r="I487" t="s">
        <v>43</v>
      </c>
      <c r="J487">
        <v>2</v>
      </c>
      <c r="K487" t="s">
        <v>44</v>
      </c>
      <c r="L487" t="s">
        <v>45</v>
      </c>
      <c r="M487" t="s">
        <v>46</v>
      </c>
      <c r="N487" s="7">
        <v>1</v>
      </c>
      <c r="O487" s="8">
        <v>45648.760798611111</v>
      </c>
      <c r="P487" s="9">
        <v>45649</v>
      </c>
      <c r="Q487" t="s">
        <v>74</v>
      </c>
      <c r="R487" t="s">
        <v>48</v>
      </c>
      <c r="S487" t="s">
        <v>49</v>
      </c>
      <c r="T487" t="s">
        <v>90</v>
      </c>
      <c r="U487" t="s">
        <v>1595</v>
      </c>
      <c r="V487">
        <v>21200</v>
      </c>
      <c r="W487" t="s">
        <v>48</v>
      </c>
      <c r="X487" t="s">
        <v>92</v>
      </c>
      <c r="Y487" t="s">
        <v>54</v>
      </c>
      <c r="Z487" s="12">
        <f>IF(N487&lt;=1,9,9+0.8*ROUNDUP(N487-1,0))</f>
        <v>9</v>
      </c>
      <c r="AA487" s="11">
        <v>-2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21"/>
        <v>0.42</v>
      </c>
      <c r="AG487" s="11">
        <f t="shared" si="22"/>
        <v>7.42</v>
      </c>
      <c r="AH487" s="11">
        <v>0</v>
      </c>
      <c r="AI487" s="11">
        <f t="shared" si="23"/>
        <v>7.42</v>
      </c>
      <c r="AJ487" t="s">
        <v>62</v>
      </c>
    </row>
    <row r="488" spans="1:36" ht="15" customHeight="1" x14ac:dyDescent="0.35">
      <c r="A488">
        <v>10428918</v>
      </c>
      <c r="B488" t="s">
        <v>36</v>
      </c>
      <c r="C488" t="s">
        <v>37</v>
      </c>
      <c r="D488" s="6" t="s">
        <v>38</v>
      </c>
      <c r="E488" t="s">
        <v>1596</v>
      </c>
      <c r="F488" t="s">
        <v>40</v>
      </c>
      <c r="G488" t="s">
        <v>41</v>
      </c>
      <c r="H488" t="s">
        <v>1597</v>
      </c>
      <c r="I488" t="s">
        <v>43</v>
      </c>
      <c r="J488">
        <v>2</v>
      </c>
      <c r="K488" t="s">
        <v>44</v>
      </c>
      <c r="L488" t="s">
        <v>45</v>
      </c>
      <c r="M488" t="s">
        <v>46</v>
      </c>
      <c r="N488" s="7">
        <v>2</v>
      </c>
      <c r="O488" s="8">
        <v>45647.608958333331</v>
      </c>
      <c r="P488" s="9">
        <v>45649</v>
      </c>
      <c r="Q488" t="s">
        <v>74</v>
      </c>
      <c r="R488" t="s">
        <v>48</v>
      </c>
      <c r="S488" t="s">
        <v>49</v>
      </c>
      <c r="T488" t="s">
        <v>65</v>
      </c>
      <c r="U488" t="s">
        <v>1598</v>
      </c>
      <c r="V488">
        <v>77300</v>
      </c>
      <c r="W488" t="s">
        <v>48</v>
      </c>
      <c r="X488" t="s">
        <v>361</v>
      </c>
      <c r="Y488" t="s">
        <v>54</v>
      </c>
      <c r="Z488" s="12">
        <f>IF(N488&lt;=1,9,9+0.8*ROUNDUP(N488-1,0))</f>
        <v>9.8000000000000007</v>
      </c>
      <c r="AA488" s="11">
        <v>-2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21"/>
        <v>0.46800000000000003</v>
      </c>
      <c r="AG488" s="11">
        <f t="shared" si="22"/>
        <v>8.2680000000000007</v>
      </c>
      <c r="AH488" s="11">
        <v>0</v>
      </c>
      <c r="AI488" s="11">
        <f t="shared" si="23"/>
        <v>8.2680000000000007</v>
      </c>
      <c r="AJ488" t="s">
        <v>62</v>
      </c>
    </row>
    <row r="489" spans="1:36" ht="15" customHeight="1" x14ac:dyDescent="0.35">
      <c r="A489">
        <v>10428918</v>
      </c>
      <c r="B489" t="s">
        <v>36</v>
      </c>
      <c r="C489" t="s">
        <v>37</v>
      </c>
      <c r="D489" s="6" t="s">
        <v>38</v>
      </c>
      <c r="E489" t="s">
        <v>1599</v>
      </c>
      <c r="F489" t="s">
        <v>40</v>
      </c>
      <c r="G489" t="s">
        <v>41</v>
      </c>
      <c r="H489" t="s">
        <v>1600</v>
      </c>
      <c r="I489" t="s">
        <v>43</v>
      </c>
      <c r="J489">
        <v>2</v>
      </c>
      <c r="K489" t="s">
        <v>44</v>
      </c>
      <c r="L489" t="s">
        <v>45</v>
      </c>
      <c r="M489" t="s">
        <v>46</v>
      </c>
      <c r="N489" s="7">
        <v>1</v>
      </c>
      <c r="O489" s="8">
        <v>45647.741226851853</v>
      </c>
      <c r="P489" s="9">
        <v>45649</v>
      </c>
      <c r="Q489" t="s">
        <v>74</v>
      </c>
      <c r="R489" t="s">
        <v>48</v>
      </c>
      <c r="S489" t="s">
        <v>49</v>
      </c>
      <c r="T489" t="s">
        <v>117</v>
      </c>
      <c r="U489" t="s">
        <v>1601</v>
      </c>
      <c r="V489">
        <v>40200</v>
      </c>
      <c r="W489" t="s">
        <v>48</v>
      </c>
      <c r="X489" t="s">
        <v>53</v>
      </c>
      <c r="Y489" t="s">
        <v>54</v>
      </c>
      <c r="Z489" s="12">
        <f>IF(N489&lt;=1,9,9+0.8*ROUNDUP(N489-1,0))</f>
        <v>9</v>
      </c>
      <c r="AA489" s="11">
        <v>-2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21"/>
        <v>0.42</v>
      </c>
      <c r="AG489" s="11">
        <f t="shared" si="22"/>
        <v>7.42</v>
      </c>
      <c r="AH489" s="11">
        <v>0</v>
      </c>
      <c r="AI489" s="11">
        <f t="shared" si="23"/>
        <v>7.42</v>
      </c>
      <c r="AJ489" t="s">
        <v>62</v>
      </c>
    </row>
    <row r="490" spans="1:36" ht="15" customHeight="1" x14ac:dyDescent="0.35">
      <c r="A490">
        <v>10428918</v>
      </c>
      <c r="B490" t="s">
        <v>36</v>
      </c>
      <c r="C490" t="s">
        <v>37</v>
      </c>
      <c r="D490" s="6" t="s">
        <v>38</v>
      </c>
      <c r="E490" t="s">
        <v>1602</v>
      </c>
      <c r="F490" t="s">
        <v>40</v>
      </c>
      <c r="G490" t="s">
        <v>41</v>
      </c>
      <c r="H490" t="s">
        <v>570</v>
      </c>
      <c r="I490" t="s">
        <v>43</v>
      </c>
      <c r="J490">
        <v>2</v>
      </c>
      <c r="K490" t="s">
        <v>44</v>
      </c>
      <c r="L490" t="s">
        <v>45</v>
      </c>
      <c r="M490" t="s">
        <v>46</v>
      </c>
      <c r="N490" s="7">
        <v>11</v>
      </c>
      <c r="O490" s="8">
        <v>45645.630486111113</v>
      </c>
      <c r="P490" s="9">
        <v>45649</v>
      </c>
      <c r="Q490" t="s">
        <v>74</v>
      </c>
      <c r="R490" t="s">
        <v>48</v>
      </c>
      <c r="S490" t="s">
        <v>49</v>
      </c>
      <c r="T490" t="s">
        <v>117</v>
      </c>
      <c r="U490" t="s">
        <v>571</v>
      </c>
      <c r="V490">
        <v>40000</v>
      </c>
      <c r="W490" t="s">
        <v>48</v>
      </c>
      <c r="X490" t="s">
        <v>473</v>
      </c>
      <c r="Y490" t="s">
        <v>54</v>
      </c>
      <c r="Z490" s="12">
        <f>IF(N490&lt;=1,9,9+0.8*ROUNDUP(N490-1,0))</f>
        <v>17</v>
      </c>
      <c r="AA490" s="11">
        <v>-2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21"/>
        <v>0.89999999999999991</v>
      </c>
      <c r="AG490" s="11">
        <f t="shared" si="22"/>
        <v>15.9</v>
      </c>
      <c r="AH490" s="11">
        <v>0</v>
      </c>
      <c r="AI490" s="11">
        <f t="shared" si="23"/>
        <v>15.9</v>
      </c>
      <c r="AJ490" t="s">
        <v>62</v>
      </c>
    </row>
    <row r="491" spans="1:36" ht="15" customHeight="1" x14ac:dyDescent="0.35">
      <c r="A491">
        <v>10428918</v>
      </c>
      <c r="B491" t="s">
        <v>36</v>
      </c>
      <c r="C491" t="s">
        <v>37</v>
      </c>
      <c r="D491" s="6" t="s">
        <v>38</v>
      </c>
      <c r="E491" t="s">
        <v>1603</v>
      </c>
      <c r="F491" t="s">
        <v>40</v>
      </c>
      <c r="G491" t="s">
        <v>41</v>
      </c>
      <c r="H491" t="s">
        <v>463</v>
      </c>
      <c r="I491" t="s">
        <v>43</v>
      </c>
      <c r="J491">
        <v>2</v>
      </c>
      <c r="K491" t="s">
        <v>44</v>
      </c>
      <c r="L491" t="s">
        <v>45</v>
      </c>
      <c r="M491" t="s">
        <v>46</v>
      </c>
      <c r="N491" s="7">
        <v>2</v>
      </c>
      <c r="O491" s="8">
        <v>45647.656724537039</v>
      </c>
      <c r="P491" s="9">
        <v>45649</v>
      </c>
      <c r="Q491" t="s">
        <v>74</v>
      </c>
      <c r="R491" t="s">
        <v>48</v>
      </c>
      <c r="S491" t="s">
        <v>49</v>
      </c>
      <c r="T491" t="s">
        <v>101</v>
      </c>
      <c r="U491" t="s">
        <v>464</v>
      </c>
      <c r="V491">
        <v>33300</v>
      </c>
      <c r="W491" t="s">
        <v>48</v>
      </c>
      <c r="X491" t="s">
        <v>465</v>
      </c>
      <c r="Y491" t="s">
        <v>54</v>
      </c>
      <c r="Z491" s="12">
        <f>IF(N491&lt;=1,9,9+0.8*ROUNDUP(N491-1,0))</f>
        <v>9.8000000000000007</v>
      </c>
      <c r="AA491" s="11">
        <v>-2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21"/>
        <v>0.46800000000000003</v>
      </c>
      <c r="AG491" s="11">
        <f t="shared" si="22"/>
        <v>8.2680000000000007</v>
      </c>
      <c r="AH491" s="11">
        <v>0</v>
      </c>
      <c r="AI491" s="11">
        <f t="shared" si="23"/>
        <v>8.2680000000000007</v>
      </c>
      <c r="AJ491" t="s">
        <v>62</v>
      </c>
    </row>
    <row r="492" spans="1:36" ht="15" customHeight="1" x14ac:dyDescent="0.35">
      <c r="A492">
        <v>10428918</v>
      </c>
      <c r="B492" t="s">
        <v>36</v>
      </c>
      <c r="C492" t="s">
        <v>37</v>
      </c>
      <c r="D492" s="6" t="s">
        <v>38</v>
      </c>
      <c r="E492" t="s">
        <v>1604</v>
      </c>
      <c r="F492" t="s">
        <v>40</v>
      </c>
      <c r="G492" t="s">
        <v>41</v>
      </c>
      <c r="H492" t="s">
        <v>1605</v>
      </c>
      <c r="I492" t="s">
        <v>43</v>
      </c>
      <c r="J492">
        <v>2</v>
      </c>
      <c r="K492" t="s">
        <v>44</v>
      </c>
      <c r="L492" t="s">
        <v>45</v>
      </c>
      <c r="M492" t="s">
        <v>46</v>
      </c>
      <c r="N492" s="7">
        <v>7</v>
      </c>
      <c r="O492" s="8">
        <v>45648.588472222225</v>
      </c>
      <c r="P492" s="9">
        <v>45649</v>
      </c>
      <c r="Q492" t="s">
        <v>74</v>
      </c>
      <c r="R492" t="s">
        <v>48</v>
      </c>
      <c r="S492" t="s">
        <v>49</v>
      </c>
      <c r="T492" t="s">
        <v>59</v>
      </c>
      <c r="U492" t="s">
        <v>1606</v>
      </c>
      <c r="V492">
        <v>17600</v>
      </c>
      <c r="W492" t="s">
        <v>48</v>
      </c>
      <c r="X492" t="s">
        <v>1607</v>
      </c>
      <c r="Y492" t="s">
        <v>54</v>
      </c>
      <c r="Z492" s="12">
        <f>IF(N492&lt;=1,9,9+0.8*ROUNDUP(N492-1,0))</f>
        <v>13.8</v>
      </c>
      <c r="AA492" s="11">
        <v>-2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21"/>
        <v>0.70799999999999996</v>
      </c>
      <c r="AG492" s="11">
        <f t="shared" si="22"/>
        <v>12.508000000000001</v>
      </c>
      <c r="AH492" s="11">
        <v>0</v>
      </c>
      <c r="AI492" s="11">
        <f t="shared" si="23"/>
        <v>12.508000000000001</v>
      </c>
      <c r="AJ492" t="s">
        <v>62</v>
      </c>
    </row>
    <row r="493" spans="1:36" ht="15" customHeight="1" x14ac:dyDescent="0.35">
      <c r="A493">
        <v>10428918</v>
      </c>
      <c r="B493" t="s">
        <v>36</v>
      </c>
      <c r="C493" t="s">
        <v>37</v>
      </c>
      <c r="D493" s="6" t="s">
        <v>38</v>
      </c>
      <c r="E493" t="s">
        <v>1608</v>
      </c>
      <c r="F493" t="s">
        <v>40</v>
      </c>
      <c r="G493" t="s">
        <v>41</v>
      </c>
      <c r="H493" t="s">
        <v>1609</v>
      </c>
      <c r="I493" t="s">
        <v>43</v>
      </c>
      <c r="J493">
        <v>2</v>
      </c>
      <c r="K493" t="s">
        <v>44</v>
      </c>
      <c r="L493" t="s">
        <v>45</v>
      </c>
      <c r="M493" t="s">
        <v>46</v>
      </c>
      <c r="N493" s="7">
        <v>1</v>
      </c>
      <c r="O493" s="8">
        <v>45647.641018518516</v>
      </c>
      <c r="P493" s="9">
        <v>45649</v>
      </c>
      <c r="Q493" t="s">
        <v>74</v>
      </c>
      <c r="R493" t="s">
        <v>48</v>
      </c>
      <c r="S493" t="s">
        <v>49</v>
      </c>
      <c r="T493" t="s">
        <v>80</v>
      </c>
      <c r="U493" t="s">
        <v>1610</v>
      </c>
      <c r="V493">
        <v>5400</v>
      </c>
      <c r="W493" t="s">
        <v>48</v>
      </c>
      <c r="X493" t="s">
        <v>137</v>
      </c>
      <c r="Y493" t="s">
        <v>54</v>
      </c>
      <c r="Z493" s="12">
        <f>IF(N493&lt;=1,9,9+0.8*ROUNDUP(N493-1,0))</f>
        <v>9</v>
      </c>
      <c r="AA493" s="11">
        <v>-2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21"/>
        <v>0.42</v>
      </c>
      <c r="AG493" s="11">
        <f t="shared" si="22"/>
        <v>7.42</v>
      </c>
      <c r="AH493" s="11">
        <v>0</v>
      </c>
      <c r="AI493" s="11">
        <f t="shared" si="23"/>
        <v>7.42</v>
      </c>
      <c r="AJ493" t="s">
        <v>62</v>
      </c>
    </row>
    <row r="494" spans="1:36" ht="15" customHeight="1" x14ac:dyDescent="0.35">
      <c r="A494">
        <v>10428918</v>
      </c>
      <c r="B494" t="s">
        <v>36</v>
      </c>
      <c r="C494" t="s">
        <v>37</v>
      </c>
      <c r="D494" s="6" t="s">
        <v>38</v>
      </c>
      <c r="E494" t="s">
        <v>1611</v>
      </c>
      <c r="F494" t="s">
        <v>40</v>
      </c>
      <c r="G494" t="s">
        <v>41</v>
      </c>
      <c r="H494" t="s">
        <v>1612</v>
      </c>
      <c r="I494" t="s">
        <v>43</v>
      </c>
      <c r="J494">
        <v>2</v>
      </c>
      <c r="K494" t="s">
        <v>44</v>
      </c>
      <c r="L494" t="s">
        <v>45</v>
      </c>
      <c r="M494" t="s">
        <v>46</v>
      </c>
      <c r="N494" s="7">
        <v>1</v>
      </c>
      <c r="O494" s="8">
        <v>45647.750613425924</v>
      </c>
      <c r="P494" s="9">
        <v>45649</v>
      </c>
      <c r="Q494" t="s">
        <v>74</v>
      </c>
      <c r="R494" t="s">
        <v>48</v>
      </c>
      <c r="S494" t="s">
        <v>49</v>
      </c>
      <c r="T494" t="s">
        <v>69</v>
      </c>
      <c r="U494" t="s">
        <v>1613</v>
      </c>
      <c r="V494">
        <v>81300</v>
      </c>
      <c r="W494" t="s">
        <v>48</v>
      </c>
      <c r="X494" t="s">
        <v>394</v>
      </c>
      <c r="Y494" t="s">
        <v>54</v>
      </c>
      <c r="Z494" s="12">
        <f>IF(N494&lt;=1,9,9+0.8*ROUNDUP(N494-1,0))</f>
        <v>9</v>
      </c>
      <c r="AA494" s="11">
        <v>-2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21"/>
        <v>0.42</v>
      </c>
      <c r="AG494" s="11">
        <f t="shared" si="22"/>
        <v>7.42</v>
      </c>
      <c r="AH494" s="11">
        <v>0</v>
      </c>
      <c r="AI494" s="11">
        <f t="shared" si="23"/>
        <v>7.42</v>
      </c>
      <c r="AJ494" t="s">
        <v>62</v>
      </c>
    </row>
    <row r="495" spans="1:36" ht="15" customHeight="1" x14ac:dyDescent="0.35">
      <c r="A495">
        <v>10428918</v>
      </c>
      <c r="B495" t="s">
        <v>36</v>
      </c>
      <c r="C495" t="s">
        <v>37</v>
      </c>
      <c r="D495" s="6" t="s">
        <v>38</v>
      </c>
      <c r="E495" t="s">
        <v>1614</v>
      </c>
      <c r="F495" t="s">
        <v>40</v>
      </c>
      <c r="G495" t="s">
        <v>41</v>
      </c>
      <c r="H495" t="s">
        <v>1615</v>
      </c>
      <c r="I495" t="s">
        <v>43</v>
      </c>
      <c r="J495">
        <v>2</v>
      </c>
      <c r="K495" t="s">
        <v>44</v>
      </c>
      <c r="L495" t="s">
        <v>45</v>
      </c>
      <c r="M495" t="s">
        <v>46</v>
      </c>
      <c r="N495" s="7">
        <v>2</v>
      </c>
      <c r="O495" s="8">
        <v>45648.63957175926</v>
      </c>
      <c r="P495" s="9">
        <v>45649</v>
      </c>
      <c r="Q495" t="s">
        <v>74</v>
      </c>
      <c r="R495" t="s">
        <v>48</v>
      </c>
      <c r="S495" t="s">
        <v>49</v>
      </c>
      <c r="T495" t="s">
        <v>75</v>
      </c>
      <c r="U495" t="s">
        <v>1616</v>
      </c>
      <c r="V495">
        <v>28000</v>
      </c>
      <c r="W495" t="s">
        <v>48</v>
      </c>
      <c r="X495" t="s">
        <v>77</v>
      </c>
      <c r="Y495" t="s">
        <v>54</v>
      </c>
      <c r="Z495" s="12">
        <f>IF(N495&lt;=1,9,9+0.8*ROUNDUP(N495-1,0))</f>
        <v>9.8000000000000007</v>
      </c>
      <c r="AA495" s="11">
        <v>-2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21"/>
        <v>0.46800000000000003</v>
      </c>
      <c r="AG495" s="11">
        <f t="shared" si="22"/>
        <v>8.2680000000000007</v>
      </c>
      <c r="AH495" s="11">
        <v>0</v>
      </c>
      <c r="AI495" s="11">
        <f t="shared" si="23"/>
        <v>8.2680000000000007</v>
      </c>
      <c r="AJ495" t="s">
        <v>62</v>
      </c>
    </row>
    <row r="496" spans="1:36" ht="15" customHeight="1" x14ac:dyDescent="0.35">
      <c r="A496">
        <v>10428918</v>
      </c>
      <c r="B496" t="s">
        <v>36</v>
      </c>
      <c r="C496" t="s">
        <v>37</v>
      </c>
      <c r="D496" s="6" t="s">
        <v>38</v>
      </c>
      <c r="E496" t="s">
        <v>1617</v>
      </c>
      <c r="F496" t="s">
        <v>40</v>
      </c>
      <c r="G496" t="s">
        <v>41</v>
      </c>
      <c r="H496" t="s">
        <v>1618</v>
      </c>
      <c r="I496" t="s">
        <v>43</v>
      </c>
      <c r="J496">
        <v>2</v>
      </c>
      <c r="K496" t="s">
        <v>44</v>
      </c>
      <c r="L496" t="s">
        <v>45</v>
      </c>
      <c r="M496" t="s">
        <v>46</v>
      </c>
      <c r="N496" s="7">
        <v>1</v>
      </c>
      <c r="O496" s="8">
        <v>45647.415173611109</v>
      </c>
      <c r="P496" s="9">
        <v>45649</v>
      </c>
      <c r="Q496" t="s">
        <v>47</v>
      </c>
      <c r="R496" t="s">
        <v>48</v>
      </c>
      <c r="S496" t="s">
        <v>49</v>
      </c>
      <c r="T496" t="s">
        <v>80</v>
      </c>
      <c r="U496" t="s">
        <v>1619</v>
      </c>
      <c r="V496">
        <v>9300</v>
      </c>
      <c r="W496" t="s">
        <v>48</v>
      </c>
      <c r="X496" t="s">
        <v>1388</v>
      </c>
      <c r="Y496" t="s">
        <v>54</v>
      </c>
      <c r="Z496" s="12">
        <f>IF(N496&lt;=1,9,9+0.8*ROUNDUP(N496-1,0))</f>
        <v>9</v>
      </c>
      <c r="AA496" s="11">
        <v>-2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21"/>
        <v>0.42</v>
      </c>
      <c r="AG496" s="11">
        <f t="shared" si="22"/>
        <v>7.42</v>
      </c>
      <c r="AH496" s="11">
        <v>0</v>
      </c>
      <c r="AI496" s="11">
        <f t="shared" si="23"/>
        <v>7.42</v>
      </c>
      <c r="AJ496" t="s">
        <v>62</v>
      </c>
    </row>
    <row r="497" spans="1:36" ht="15" customHeight="1" x14ac:dyDescent="0.35">
      <c r="A497">
        <v>10428918</v>
      </c>
      <c r="B497" t="s">
        <v>36</v>
      </c>
      <c r="C497" t="s">
        <v>37</v>
      </c>
      <c r="D497" s="6" t="s">
        <v>38</v>
      </c>
      <c r="E497" t="s">
        <v>1620</v>
      </c>
      <c r="F497" t="s">
        <v>40</v>
      </c>
      <c r="G497" t="s">
        <v>41</v>
      </c>
      <c r="H497" t="s">
        <v>1621</v>
      </c>
      <c r="I497" t="s">
        <v>43</v>
      </c>
      <c r="J497">
        <v>2</v>
      </c>
      <c r="K497" t="s">
        <v>44</v>
      </c>
      <c r="L497" t="s">
        <v>45</v>
      </c>
      <c r="M497" t="s">
        <v>46</v>
      </c>
      <c r="N497" s="7">
        <v>1</v>
      </c>
      <c r="O497" s="8">
        <v>45643.438483796293</v>
      </c>
      <c r="P497" s="9">
        <v>45649</v>
      </c>
      <c r="Q497" t="s">
        <v>74</v>
      </c>
      <c r="R497" t="s">
        <v>48</v>
      </c>
      <c r="S497" t="s">
        <v>49</v>
      </c>
      <c r="T497" t="s">
        <v>101</v>
      </c>
      <c r="U497" t="s">
        <v>1622</v>
      </c>
      <c r="V497">
        <v>35000</v>
      </c>
      <c r="W497" t="s">
        <v>48</v>
      </c>
      <c r="X497" t="s">
        <v>674</v>
      </c>
      <c r="Y497" t="s">
        <v>54</v>
      </c>
      <c r="Z497" s="12">
        <f>IF(N497&lt;=1,9,9+0.8*ROUNDUP(N497-1,0))</f>
        <v>9</v>
      </c>
      <c r="AA497" s="11">
        <v>-2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21"/>
        <v>0.42</v>
      </c>
      <c r="AG497" s="11">
        <f t="shared" si="22"/>
        <v>7.42</v>
      </c>
      <c r="AH497" s="11">
        <v>0</v>
      </c>
      <c r="AI497" s="11">
        <f t="shared" si="23"/>
        <v>7.42</v>
      </c>
      <c r="AJ497" t="s">
        <v>62</v>
      </c>
    </row>
    <row r="498" spans="1:36" ht="15" customHeight="1" x14ac:dyDescent="0.35">
      <c r="A498">
        <v>10428918</v>
      </c>
      <c r="B498" t="s">
        <v>36</v>
      </c>
      <c r="C498" t="s">
        <v>37</v>
      </c>
      <c r="D498" s="6" t="s">
        <v>38</v>
      </c>
      <c r="E498" t="s">
        <v>1623</v>
      </c>
      <c r="F498" t="s">
        <v>40</v>
      </c>
      <c r="G498" t="s">
        <v>41</v>
      </c>
      <c r="H498" t="s">
        <v>1624</v>
      </c>
      <c r="I498" t="s">
        <v>43</v>
      </c>
      <c r="J498">
        <v>2</v>
      </c>
      <c r="K498" t="s">
        <v>44</v>
      </c>
      <c r="L498" t="s">
        <v>45</v>
      </c>
      <c r="M498" t="s">
        <v>46</v>
      </c>
      <c r="N498" s="7">
        <v>2</v>
      </c>
      <c r="O498" s="8">
        <v>45647.645856481482</v>
      </c>
      <c r="P498" s="9">
        <v>45649</v>
      </c>
      <c r="Q498" t="s">
        <v>74</v>
      </c>
      <c r="R498" t="s">
        <v>48</v>
      </c>
      <c r="S498" t="s">
        <v>49</v>
      </c>
      <c r="T498" t="s">
        <v>80</v>
      </c>
      <c r="U498" t="s">
        <v>1625</v>
      </c>
      <c r="V498">
        <v>8110</v>
      </c>
      <c r="W498" t="s">
        <v>48</v>
      </c>
      <c r="X498" t="s">
        <v>141</v>
      </c>
      <c r="Y498" t="s">
        <v>54</v>
      </c>
      <c r="Z498" s="12">
        <f>IF(N498&lt;=1,9,9+0.8*ROUNDUP(N498-1,0))</f>
        <v>9.8000000000000007</v>
      </c>
      <c r="AA498" s="11">
        <v>-2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21"/>
        <v>0.46800000000000003</v>
      </c>
      <c r="AG498" s="11">
        <f t="shared" si="22"/>
        <v>8.2680000000000007</v>
      </c>
      <c r="AH498" s="11">
        <v>0</v>
      </c>
      <c r="AI498" s="11">
        <f t="shared" si="23"/>
        <v>8.2680000000000007</v>
      </c>
      <c r="AJ498" t="s">
        <v>62</v>
      </c>
    </row>
    <row r="499" spans="1:36" ht="15" customHeight="1" x14ac:dyDescent="0.35">
      <c r="A499">
        <v>10428918</v>
      </c>
      <c r="B499" t="s">
        <v>36</v>
      </c>
      <c r="C499" t="s">
        <v>37</v>
      </c>
      <c r="D499" s="6" t="s">
        <v>38</v>
      </c>
      <c r="E499" t="s">
        <v>1626</v>
      </c>
      <c r="F499" t="s">
        <v>40</v>
      </c>
      <c r="G499" t="s">
        <v>41</v>
      </c>
      <c r="H499" t="s">
        <v>1627</v>
      </c>
      <c r="I499" t="s">
        <v>43</v>
      </c>
      <c r="J499">
        <v>2</v>
      </c>
      <c r="K499" t="s">
        <v>44</v>
      </c>
      <c r="L499" t="s">
        <v>45</v>
      </c>
      <c r="M499" t="s">
        <v>46</v>
      </c>
      <c r="N499" s="7">
        <v>2</v>
      </c>
      <c r="O499" s="8">
        <v>45647.512881944444</v>
      </c>
      <c r="P499" s="9">
        <v>45649</v>
      </c>
      <c r="Q499" t="s">
        <v>74</v>
      </c>
      <c r="R499" t="s">
        <v>48</v>
      </c>
      <c r="S499" t="s">
        <v>49</v>
      </c>
      <c r="T499" t="s">
        <v>69</v>
      </c>
      <c r="U499" t="s">
        <v>1628</v>
      </c>
      <c r="V499">
        <v>81750</v>
      </c>
      <c r="W499" t="s">
        <v>48</v>
      </c>
      <c r="X499" t="s">
        <v>552</v>
      </c>
      <c r="Y499" t="s">
        <v>54</v>
      </c>
      <c r="Z499" s="12">
        <f>IF(N499&lt;=1,9,9+0.8*ROUNDUP(N499-1,0))</f>
        <v>9.8000000000000007</v>
      </c>
      <c r="AA499" s="11">
        <v>-2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21"/>
        <v>0.46800000000000003</v>
      </c>
      <c r="AG499" s="11">
        <f t="shared" si="22"/>
        <v>8.2680000000000007</v>
      </c>
      <c r="AH499" s="11">
        <v>0</v>
      </c>
      <c r="AI499" s="11">
        <f t="shared" si="23"/>
        <v>8.2680000000000007</v>
      </c>
      <c r="AJ499" t="s">
        <v>62</v>
      </c>
    </row>
    <row r="500" spans="1:36" ht="15" customHeight="1" x14ac:dyDescent="0.35">
      <c r="A500">
        <v>10428918</v>
      </c>
      <c r="B500" t="s">
        <v>36</v>
      </c>
      <c r="C500" t="s">
        <v>37</v>
      </c>
      <c r="D500" s="6" t="s">
        <v>38</v>
      </c>
      <c r="E500" t="s">
        <v>1629</v>
      </c>
      <c r="F500" t="s">
        <v>40</v>
      </c>
      <c r="G500" t="s">
        <v>41</v>
      </c>
      <c r="H500" t="s">
        <v>1630</v>
      </c>
      <c r="I500" t="s">
        <v>43</v>
      </c>
      <c r="J500">
        <v>2</v>
      </c>
      <c r="K500" t="s">
        <v>44</v>
      </c>
      <c r="L500" t="s">
        <v>45</v>
      </c>
      <c r="M500" t="s">
        <v>46</v>
      </c>
      <c r="N500" s="7">
        <v>2</v>
      </c>
      <c r="O500" s="8">
        <v>45647.74459490741</v>
      </c>
      <c r="P500" s="9">
        <v>45649</v>
      </c>
      <c r="Q500" t="s">
        <v>74</v>
      </c>
      <c r="R500" t="s">
        <v>48</v>
      </c>
      <c r="S500" t="s">
        <v>49</v>
      </c>
      <c r="T500" t="s">
        <v>101</v>
      </c>
      <c r="U500" t="s">
        <v>1631</v>
      </c>
      <c r="V500">
        <v>34850</v>
      </c>
      <c r="W500" t="s">
        <v>48</v>
      </c>
      <c r="X500" t="s">
        <v>827</v>
      </c>
      <c r="Y500" t="s">
        <v>54</v>
      </c>
      <c r="Z500" s="12">
        <f>IF(N500&lt;=1,9,9+0.8*ROUNDUP(N500-1,0))</f>
        <v>9.8000000000000007</v>
      </c>
      <c r="AA500" s="11">
        <v>-2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21"/>
        <v>0.46800000000000003</v>
      </c>
      <c r="AG500" s="11">
        <f t="shared" si="22"/>
        <v>8.2680000000000007</v>
      </c>
      <c r="AH500" s="11">
        <v>0</v>
      </c>
      <c r="AI500" s="11">
        <f t="shared" si="23"/>
        <v>8.2680000000000007</v>
      </c>
      <c r="AJ500" t="s">
        <v>62</v>
      </c>
    </row>
    <row r="501" spans="1:36" ht="15" customHeight="1" x14ac:dyDescent="0.35">
      <c r="A501">
        <v>10428918</v>
      </c>
      <c r="B501" t="s">
        <v>36</v>
      </c>
      <c r="C501" t="s">
        <v>37</v>
      </c>
      <c r="D501" s="6" t="s">
        <v>38</v>
      </c>
      <c r="E501" t="s">
        <v>1632</v>
      </c>
      <c r="F501" t="s">
        <v>40</v>
      </c>
      <c r="G501" t="s">
        <v>41</v>
      </c>
      <c r="H501" t="s">
        <v>1633</v>
      </c>
      <c r="I501" t="s">
        <v>43</v>
      </c>
      <c r="J501">
        <v>2</v>
      </c>
      <c r="K501" t="s">
        <v>44</v>
      </c>
      <c r="L501" t="s">
        <v>45</v>
      </c>
      <c r="M501" t="s">
        <v>46</v>
      </c>
      <c r="N501" s="7">
        <v>1</v>
      </c>
      <c r="O501" s="8">
        <v>45647.491736111115</v>
      </c>
      <c r="P501" s="9">
        <v>45649</v>
      </c>
      <c r="Q501" t="s">
        <v>74</v>
      </c>
      <c r="R501" t="s">
        <v>48</v>
      </c>
      <c r="S501" t="s">
        <v>49</v>
      </c>
      <c r="T501" t="s">
        <v>80</v>
      </c>
      <c r="U501" t="s">
        <v>1634</v>
      </c>
      <c r="V501">
        <v>6600</v>
      </c>
      <c r="W501" t="s">
        <v>48</v>
      </c>
      <c r="X501" t="s">
        <v>137</v>
      </c>
      <c r="Y501" t="s">
        <v>54</v>
      </c>
      <c r="Z501" s="12">
        <f>IF(N501&lt;=1,9,9+0.8*ROUNDUP(N501-1,0))</f>
        <v>9</v>
      </c>
      <c r="AA501" s="11">
        <v>-2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21"/>
        <v>0.42</v>
      </c>
      <c r="AG501" s="11">
        <f t="shared" si="22"/>
        <v>7.42</v>
      </c>
      <c r="AH501" s="11">
        <v>0</v>
      </c>
      <c r="AI501" s="11">
        <f t="shared" si="23"/>
        <v>7.42</v>
      </c>
      <c r="AJ501" t="s">
        <v>62</v>
      </c>
    </row>
    <row r="502" spans="1:36" ht="15" customHeight="1" x14ac:dyDescent="0.35">
      <c r="A502">
        <v>10428918</v>
      </c>
      <c r="B502" t="s">
        <v>36</v>
      </c>
      <c r="C502" t="s">
        <v>37</v>
      </c>
      <c r="D502" s="6" t="s">
        <v>38</v>
      </c>
      <c r="E502" t="s">
        <v>1635</v>
      </c>
      <c r="F502" t="s">
        <v>40</v>
      </c>
      <c r="G502" t="s">
        <v>41</v>
      </c>
      <c r="H502" t="s">
        <v>1636</v>
      </c>
      <c r="I502" t="s">
        <v>43</v>
      </c>
      <c r="J502">
        <v>2</v>
      </c>
      <c r="K502" t="s">
        <v>44</v>
      </c>
      <c r="L502" t="s">
        <v>45</v>
      </c>
      <c r="M502" t="s">
        <v>46</v>
      </c>
      <c r="N502" s="7">
        <v>1</v>
      </c>
      <c r="O502" s="8">
        <v>45648.607604166667</v>
      </c>
      <c r="P502" s="9">
        <v>45649</v>
      </c>
      <c r="Q502" t="s">
        <v>74</v>
      </c>
      <c r="R502" t="s">
        <v>48</v>
      </c>
      <c r="S502" t="s">
        <v>49</v>
      </c>
      <c r="T502" t="s">
        <v>90</v>
      </c>
      <c r="U502" t="s">
        <v>1637</v>
      </c>
      <c r="V502">
        <v>22000</v>
      </c>
      <c r="W502" t="s">
        <v>48</v>
      </c>
      <c r="X502" t="s">
        <v>61</v>
      </c>
      <c r="Y502" t="s">
        <v>54</v>
      </c>
      <c r="Z502" s="12">
        <f>IF(N502&lt;=1,9,9+0.8*ROUNDUP(N502-1,0))</f>
        <v>9</v>
      </c>
      <c r="AA502" s="11">
        <v>-2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21"/>
        <v>0.42</v>
      </c>
      <c r="AG502" s="11">
        <f t="shared" si="22"/>
        <v>7.42</v>
      </c>
      <c r="AH502" s="11">
        <v>0</v>
      </c>
      <c r="AI502" s="11">
        <f t="shared" si="23"/>
        <v>7.42</v>
      </c>
      <c r="AJ502" t="s">
        <v>62</v>
      </c>
    </row>
    <row r="503" spans="1:36" ht="15" customHeight="1" x14ac:dyDescent="0.35">
      <c r="A503">
        <v>10428918</v>
      </c>
      <c r="B503" t="s">
        <v>36</v>
      </c>
      <c r="C503" t="s">
        <v>37</v>
      </c>
      <c r="D503" s="6" t="s">
        <v>38</v>
      </c>
      <c r="E503" t="s">
        <v>1638</v>
      </c>
      <c r="F503" t="s">
        <v>40</v>
      </c>
      <c r="G503" t="s">
        <v>41</v>
      </c>
      <c r="H503" t="s">
        <v>1639</v>
      </c>
      <c r="I503" t="s">
        <v>43</v>
      </c>
      <c r="J503">
        <v>2</v>
      </c>
      <c r="K503" t="s">
        <v>44</v>
      </c>
      <c r="L503" t="s">
        <v>45</v>
      </c>
      <c r="M503" t="s">
        <v>46</v>
      </c>
      <c r="N503" s="7">
        <v>2</v>
      </c>
      <c r="O503" s="8">
        <v>45647.491724537038</v>
      </c>
      <c r="P503" s="9">
        <v>45649</v>
      </c>
      <c r="Q503" t="s">
        <v>74</v>
      </c>
      <c r="R503" t="s">
        <v>48</v>
      </c>
      <c r="S503" t="s">
        <v>49</v>
      </c>
      <c r="T503" t="s">
        <v>69</v>
      </c>
      <c r="U503" t="s">
        <v>1640</v>
      </c>
      <c r="V503">
        <v>83010</v>
      </c>
      <c r="W503" t="s">
        <v>48</v>
      </c>
      <c r="X503" t="s">
        <v>71</v>
      </c>
      <c r="Y503" t="s">
        <v>54</v>
      </c>
      <c r="Z503" s="12">
        <f>IF(N503&lt;=1,9,9+0.8*ROUNDUP(N503-1,0))</f>
        <v>9.8000000000000007</v>
      </c>
      <c r="AA503" s="11">
        <v>-2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21"/>
        <v>0.46800000000000003</v>
      </c>
      <c r="AG503" s="11">
        <f t="shared" si="22"/>
        <v>8.2680000000000007</v>
      </c>
      <c r="AH503" s="11">
        <v>0</v>
      </c>
      <c r="AI503" s="11">
        <f t="shared" si="23"/>
        <v>8.2680000000000007</v>
      </c>
      <c r="AJ503" t="s">
        <v>62</v>
      </c>
    </row>
    <row r="504" spans="1:36" ht="15" customHeight="1" x14ac:dyDescent="0.35">
      <c r="A504">
        <v>10428918</v>
      </c>
      <c r="B504" t="s">
        <v>36</v>
      </c>
      <c r="C504" t="s">
        <v>37</v>
      </c>
      <c r="D504" s="6" t="s">
        <v>38</v>
      </c>
      <c r="E504" t="s">
        <v>1641</v>
      </c>
      <c r="F504" t="s">
        <v>40</v>
      </c>
      <c r="G504" t="s">
        <v>41</v>
      </c>
      <c r="H504" t="s">
        <v>1642</v>
      </c>
      <c r="I504" t="s">
        <v>43</v>
      </c>
      <c r="J504">
        <v>2</v>
      </c>
      <c r="K504" t="s">
        <v>44</v>
      </c>
      <c r="L504" t="s">
        <v>45</v>
      </c>
      <c r="M504" t="s">
        <v>46</v>
      </c>
      <c r="N504" s="7">
        <v>4</v>
      </c>
      <c r="O504" s="8">
        <v>45647.708703703705</v>
      </c>
      <c r="P504" s="9">
        <v>45649</v>
      </c>
      <c r="Q504" t="s">
        <v>74</v>
      </c>
      <c r="R504" t="s">
        <v>48</v>
      </c>
      <c r="S504" t="s">
        <v>49</v>
      </c>
      <c r="T504" t="s">
        <v>85</v>
      </c>
      <c r="U504" t="s">
        <v>1643</v>
      </c>
      <c r="V504">
        <v>70200</v>
      </c>
      <c r="W504" t="s">
        <v>48</v>
      </c>
      <c r="X504" t="s">
        <v>503</v>
      </c>
      <c r="Y504" t="s">
        <v>54</v>
      </c>
      <c r="Z504" s="12">
        <f>IF(N504&lt;=1,9,9+0.8*ROUNDUP(N504-1,0))</f>
        <v>11.4</v>
      </c>
      <c r="AA504" s="11">
        <v>-2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21"/>
        <v>0.56399999999999995</v>
      </c>
      <c r="AG504" s="11">
        <f t="shared" si="22"/>
        <v>9.9640000000000004</v>
      </c>
      <c r="AH504" s="11">
        <v>0</v>
      </c>
      <c r="AI504" s="11">
        <f t="shared" si="23"/>
        <v>9.9640000000000004</v>
      </c>
      <c r="AJ504" t="s">
        <v>62</v>
      </c>
    </row>
    <row r="505" spans="1:36" ht="15" customHeight="1" x14ac:dyDescent="0.35">
      <c r="A505">
        <v>10428918</v>
      </c>
      <c r="B505" t="s">
        <v>36</v>
      </c>
      <c r="C505" t="s">
        <v>37</v>
      </c>
      <c r="D505" s="6" t="s">
        <v>38</v>
      </c>
      <c r="E505" t="s">
        <v>1644</v>
      </c>
      <c r="F505" t="s">
        <v>40</v>
      </c>
      <c r="G505" t="s">
        <v>41</v>
      </c>
      <c r="H505" t="s">
        <v>1645</v>
      </c>
      <c r="I505" t="s">
        <v>43</v>
      </c>
      <c r="J505">
        <v>2</v>
      </c>
      <c r="K505" t="s">
        <v>44</v>
      </c>
      <c r="L505" t="s">
        <v>45</v>
      </c>
      <c r="M505" t="s">
        <v>46</v>
      </c>
      <c r="N505" s="7">
        <v>4</v>
      </c>
      <c r="O505" s="8">
        <v>45647.645868055559</v>
      </c>
      <c r="P505" s="9">
        <v>45649</v>
      </c>
      <c r="Q505" t="s">
        <v>74</v>
      </c>
      <c r="R505" t="s">
        <v>48</v>
      </c>
      <c r="S505" t="s">
        <v>49</v>
      </c>
      <c r="T505" t="s">
        <v>101</v>
      </c>
      <c r="U505" t="s">
        <v>1646</v>
      </c>
      <c r="V505">
        <v>34400</v>
      </c>
      <c r="W505" t="s">
        <v>48</v>
      </c>
      <c r="X505" t="s">
        <v>53</v>
      </c>
      <c r="Y505" t="s">
        <v>54</v>
      </c>
      <c r="Z505" s="12">
        <f>IF(N505&lt;=1,9,9+0.8*ROUNDUP(N505-1,0))</f>
        <v>11.4</v>
      </c>
      <c r="AA505" s="11">
        <v>-2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21"/>
        <v>0.56399999999999995</v>
      </c>
      <c r="AG505" s="11">
        <f t="shared" si="22"/>
        <v>9.9640000000000004</v>
      </c>
      <c r="AH505" s="11">
        <v>0</v>
      </c>
      <c r="AI505" s="11">
        <f t="shared" si="23"/>
        <v>9.9640000000000004</v>
      </c>
      <c r="AJ505" t="s">
        <v>62</v>
      </c>
    </row>
    <row r="506" spans="1:36" ht="15" customHeight="1" x14ac:dyDescent="0.35">
      <c r="A506">
        <v>10428918</v>
      </c>
      <c r="B506" t="s">
        <v>36</v>
      </c>
      <c r="C506" t="s">
        <v>37</v>
      </c>
      <c r="D506" s="6" t="s">
        <v>38</v>
      </c>
      <c r="E506" t="s">
        <v>1647</v>
      </c>
      <c r="F506" t="s">
        <v>40</v>
      </c>
      <c r="G506" t="s">
        <v>41</v>
      </c>
      <c r="H506" t="s">
        <v>1648</v>
      </c>
      <c r="I506" t="s">
        <v>43</v>
      </c>
      <c r="J506">
        <v>2</v>
      </c>
      <c r="K506" t="s">
        <v>44</v>
      </c>
      <c r="L506" t="s">
        <v>45</v>
      </c>
      <c r="M506" t="s">
        <v>46</v>
      </c>
      <c r="N506" s="7">
        <v>1</v>
      </c>
      <c r="O506" s="8">
        <v>45648.584409722222</v>
      </c>
      <c r="P506" s="9">
        <v>45649</v>
      </c>
      <c r="Q506" t="s">
        <v>74</v>
      </c>
      <c r="R506" t="s">
        <v>48</v>
      </c>
      <c r="S506" t="s">
        <v>49</v>
      </c>
      <c r="T506" t="s">
        <v>75</v>
      </c>
      <c r="U506" t="s">
        <v>1649</v>
      </c>
      <c r="V506">
        <v>25150</v>
      </c>
      <c r="W506" t="s">
        <v>48</v>
      </c>
      <c r="X506" t="s">
        <v>77</v>
      </c>
      <c r="Y506" t="s">
        <v>54</v>
      </c>
      <c r="Z506" s="12">
        <f>IF(N506&lt;=1,9,9+0.8*ROUNDUP(N506-1,0))</f>
        <v>9</v>
      </c>
      <c r="AA506" s="11">
        <v>-2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21"/>
        <v>0.42</v>
      </c>
      <c r="AG506" s="11">
        <f t="shared" si="22"/>
        <v>7.42</v>
      </c>
      <c r="AH506" s="11">
        <v>0</v>
      </c>
      <c r="AI506" s="11">
        <f t="shared" si="23"/>
        <v>7.42</v>
      </c>
      <c r="AJ506" t="s">
        <v>62</v>
      </c>
    </row>
    <row r="507" spans="1:36" ht="15" customHeight="1" x14ac:dyDescent="0.35">
      <c r="A507">
        <v>10428918</v>
      </c>
      <c r="B507" t="s">
        <v>36</v>
      </c>
      <c r="C507" t="s">
        <v>37</v>
      </c>
      <c r="D507" s="6" t="s">
        <v>38</v>
      </c>
      <c r="E507" t="s">
        <v>1650</v>
      </c>
      <c r="F507" t="s">
        <v>40</v>
      </c>
      <c r="G507" t="s">
        <v>41</v>
      </c>
      <c r="H507" t="s">
        <v>1651</v>
      </c>
      <c r="I507" t="s">
        <v>43</v>
      </c>
      <c r="J507">
        <v>2</v>
      </c>
      <c r="K507" t="s">
        <v>44</v>
      </c>
      <c r="L507" t="s">
        <v>45</v>
      </c>
      <c r="M507" t="s">
        <v>46</v>
      </c>
      <c r="N507" s="7">
        <v>2</v>
      </c>
      <c r="O507" s="8">
        <v>45647.641018518516</v>
      </c>
      <c r="P507" s="9">
        <v>45649</v>
      </c>
      <c r="Q507" t="s">
        <v>74</v>
      </c>
      <c r="R507" t="s">
        <v>48</v>
      </c>
      <c r="S507" t="s">
        <v>49</v>
      </c>
      <c r="T507" t="s">
        <v>161</v>
      </c>
      <c r="U507" t="s">
        <v>1652</v>
      </c>
      <c r="V507">
        <v>13600</v>
      </c>
      <c r="W507" t="s">
        <v>48</v>
      </c>
      <c r="X507" t="s">
        <v>53</v>
      </c>
      <c r="Y507" t="s">
        <v>54</v>
      </c>
      <c r="Z507" s="12">
        <f>IF(N507&lt;=1,9,9+0.8*ROUNDUP(N507-1,0))</f>
        <v>9.8000000000000007</v>
      </c>
      <c r="AA507" s="11">
        <v>-2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21"/>
        <v>0.46800000000000003</v>
      </c>
      <c r="AG507" s="11">
        <f t="shared" si="22"/>
        <v>8.2680000000000007</v>
      </c>
      <c r="AH507" s="11">
        <v>0</v>
      </c>
      <c r="AI507" s="11">
        <f t="shared" si="23"/>
        <v>8.2680000000000007</v>
      </c>
      <c r="AJ507" t="s">
        <v>62</v>
      </c>
    </row>
    <row r="508" spans="1:36" ht="15" customHeight="1" x14ac:dyDescent="0.35">
      <c r="A508">
        <v>10428918</v>
      </c>
      <c r="B508" t="s">
        <v>36</v>
      </c>
      <c r="C508" t="s">
        <v>37</v>
      </c>
      <c r="D508" s="6" t="s">
        <v>38</v>
      </c>
      <c r="E508" t="s">
        <v>1653</v>
      </c>
      <c r="F508" t="s">
        <v>40</v>
      </c>
      <c r="G508" t="s">
        <v>41</v>
      </c>
      <c r="H508" t="s">
        <v>1654</v>
      </c>
      <c r="I508" t="s">
        <v>43</v>
      </c>
      <c r="J508">
        <v>2</v>
      </c>
      <c r="K508" t="s">
        <v>44</v>
      </c>
      <c r="L508" t="s">
        <v>45</v>
      </c>
      <c r="M508" t="s">
        <v>46</v>
      </c>
      <c r="N508" s="7">
        <v>2</v>
      </c>
      <c r="O508" s="8">
        <v>45647.490115740744</v>
      </c>
      <c r="P508" s="9">
        <v>45649</v>
      </c>
      <c r="Q508" t="s">
        <v>74</v>
      </c>
      <c r="R508" t="s">
        <v>48</v>
      </c>
      <c r="S508" t="s">
        <v>49</v>
      </c>
      <c r="T508" t="s">
        <v>69</v>
      </c>
      <c r="U508" t="s">
        <v>1655</v>
      </c>
      <c r="V508">
        <v>81300</v>
      </c>
      <c r="W508" t="s">
        <v>48</v>
      </c>
      <c r="X508" t="s">
        <v>394</v>
      </c>
      <c r="Y508" t="s">
        <v>54</v>
      </c>
      <c r="Z508" s="12">
        <f>IF(N508&lt;=1,9,9+0.8*ROUNDUP(N508-1,0))</f>
        <v>9.8000000000000007</v>
      </c>
      <c r="AA508" s="11">
        <v>-2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21"/>
        <v>0.46800000000000003</v>
      </c>
      <c r="AG508" s="11">
        <f t="shared" si="22"/>
        <v>8.2680000000000007</v>
      </c>
      <c r="AH508" s="11">
        <v>0</v>
      </c>
      <c r="AI508" s="11">
        <f t="shared" si="23"/>
        <v>8.2680000000000007</v>
      </c>
      <c r="AJ508" t="s">
        <v>62</v>
      </c>
    </row>
    <row r="509" spans="1:36" ht="15" customHeight="1" x14ac:dyDescent="0.35">
      <c r="A509">
        <v>10428918</v>
      </c>
      <c r="B509" t="s">
        <v>36</v>
      </c>
      <c r="C509" t="s">
        <v>37</v>
      </c>
      <c r="D509" s="6" t="s">
        <v>38</v>
      </c>
      <c r="E509" t="s">
        <v>1656</v>
      </c>
      <c r="F509" t="s">
        <v>40</v>
      </c>
      <c r="G509" t="s">
        <v>41</v>
      </c>
      <c r="H509" t="s">
        <v>1657</v>
      </c>
      <c r="I509" t="s">
        <v>43</v>
      </c>
      <c r="J509">
        <v>2</v>
      </c>
      <c r="K509" t="s">
        <v>44</v>
      </c>
      <c r="L509" t="s">
        <v>45</v>
      </c>
      <c r="M509" t="s">
        <v>46</v>
      </c>
      <c r="N509" s="7">
        <v>1</v>
      </c>
      <c r="O509" s="8">
        <v>45647.816817129627</v>
      </c>
      <c r="P509" s="9">
        <v>45649</v>
      </c>
      <c r="Q509" t="s">
        <v>74</v>
      </c>
      <c r="R509" t="s">
        <v>48</v>
      </c>
      <c r="S509" t="s">
        <v>49</v>
      </c>
      <c r="T509" t="s">
        <v>117</v>
      </c>
      <c r="U509" t="s">
        <v>1658</v>
      </c>
      <c r="V509">
        <v>47650</v>
      </c>
      <c r="W509" t="s">
        <v>48</v>
      </c>
      <c r="X509" t="s">
        <v>943</v>
      </c>
      <c r="Y509" t="s">
        <v>54</v>
      </c>
      <c r="Z509" s="12">
        <f>IF(N509&lt;=1,9,9+0.8*ROUNDUP(N509-1,0))</f>
        <v>9</v>
      </c>
      <c r="AA509" s="11">
        <v>-2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21"/>
        <v>0.42</v>
      </c>
      <c r="AG509" s="11">
        <f t="shared" si="22"/>
        <v>7.42</v>
      </c>
      <c r="AH509" s="11">
        <v>0</v>
      </c>
      <c r="AI509" s="11">
        <f t="shared" si="23"/>
        <v>7.42</v>
      </c>
      <c r="AJ509" t="s">
        <v>62</v>
      </c>
    </row>
    <row r="510" spans="1:36" ht="15" customHeight="1" x14ac:dyDescent="0.35">
      <c r="A510">
        <v>10428918</v>
      </c>
      <c r="B510" t="s">
        <v>36</v>
      </c>
      <c r="C510" t="s">
        <v>37</v>
      </c>
      <c r="D510" s="6" t="s">
        <v>38</v>
      </c>
      <c r="E510" t="s">
        <v>1659</v>
      </c>
      <c r="F510" t="s">
        <v>40</v>
      </c>
      <c r="G510" t="s">
        <v>41</v>
      </c>
      <c r="H510" t="s">
        <v>1660</v>
      </c>
      <c r="I510" t="s">
        <v>43</v>
      </c>
      <c r="J510">
        <v>2</v>
      </c>
      <c r="K510" t="s">
        <v>44</v>
      </c>
      <c r="L510" t="s">
        <v>45</v>
      </c>
      <c r="M510" t="s">
        <v>46</v>
      </c>
      <c r="N510" s="7">
        <v>1</v>
      </c>
      <c r="O510" s="8">
        <v>45647.523263888892</v>
      </c>
      <c r="P510" s="9">
        <v>45649</v>
      </c>
      <c r="Q510" t="s">
        <v>74</v>
      </c>
      <c r="R510" t="s">
        <v>48</v>
      </c>
      <c r="S510" t="s">
        <v>49</v>
      </c>
      <c r="T510" t="s">
        <v>75</v>
      </c>
      <c r="U510" t="s">
        <v>1661</v>
      </c>
      <c r="V510">
        <v>26010</v>
      </c>
      <c r="W510" t="s">
        <v>48</v>
      </c>
      <c r="X510" t="s">
        <v>77</v>
      </c>
      <c r="Y510" t="s">
        <v>54</v>
      </c>
      <c r="Z510" s="12">
        <f>IF(N510&lt;=1,9,9+0.8*ROUNDUP(N510-1,0))</f>
        <v>9</v>
      </c>
      <c r="AA510" s="11">
        <v>-2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21"/>
        <v>0.42</v>
      </c>
      <c r="AG510" s="11">
        <f t="shared" si="22"/>
        <v>7.42</v>
      </c>
      <c r="AH510" s="11">
        <v>0</v>
      </c>
      <c r="AI510" s="11">
        <f t="shared" si="23"/>
        <v>7.42</v>
      </c>
      <c r="AJ510" t="s">
        <v>62</v>
      </c>
    </row>
    <row r="511" spans="1:36" ht="15" customHeight="1" x14ac:dyDescent="0.35">
      <c r="A511">
        <v>10428918</v>
      </c>
      <c r="B511" t="s">
        <v>36</v>
      </c>
      <c r="C511" t="s">
        <v>37</v>
      </c>
      <c r="D511" s="6" t="s">
        <v>38</v>
      </c>
      <c r="E511" t="s">
        <v>1662</v>
      </c>
      <c r="F511" t="s">
        <v>40</v>
      </c>
      <c r="G511" t="s">
        <v>41</v>
      </c>
      <c r="H511" t="s">
        <v>1663</v>
      </c>
      <c r="I511" t="s">
        <v>43</v>
      </c>
      <c r="J511">
        <v>2</v>
      </c>
      <c r="K511" t="s">
        <v>44</v>
      </c>
      <c r="L511" t="s">
        <v>45</v>
      </c>
      <c r="M511" t="s">
        <v>46</v>
      </c>
      <c r="N511" s="7">
        <v>1</v>
      </c>
      <c r="O511" s="8">
        <v>45647.418657407405</v>
      </c>
      <c r="P511" s="9">
        <v>45649</v>
      </c>
      <c r="Q511" t="s">
        <v>47</v>
      </c>
      <c r="R511" t="s">
        <v>48</v>
      </c>
      <c r="S511" t="s">
        <v>49</v>
      </c>
      <c r="T511" t="s">
        <v>75</v>
      </c>
      <c r="U511" t="s">
        <v>1664</v>
      </c>
      <c r="V511">
        <v>28200</v>
      </c>
      <c r="W511" t="s">
        <v>48</v>
      </c>
      <c r="X511" t="s">
        <v>812</v>
      </c>
      <c r="Y511" t="s">
        <v>54</v>
      </c>
      <c r="Z511" s="12">
        <f>IF(N511&lt;=1,9,9+0.8*ROUNDUP(N511-1,0))</f>
        <v>9</v>
      </c>
      <c r="AA511" s="11">
        <v>-2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21"/>
        <v>0.42</v>
      </c>
      <c r="AG511" s="11">
        <f t="shared" si="22"/>
        <v>7.42</v>
      </c>
      <c r="AH511" s="11">
        <v>0</v>
      </c>
      <c r="AI511" s="11">
        <f t="shared" si="23"/>
        <v>7.42</v>
      </c>
      <c r="AJ511" t="s">
        <v>62</v>
      </c>
    </row>
    <row r="512" spans="1:36" ht="15" customHeight="1" x14ac:dyDescent="0.35">
      <c r="A512">
        <v>10428918</v>
      </c>
      <c r="B512" t="s">
        <v>36</v>
      </c>
      <c r="C512" t="s">
        <v>37</v>
      </c>
      <c r="D512" s="6" t="s">
        <v>38</v>
      </c>
      <c r="E512" t="s">
        <v>1665</v>
      </c>
      <c r="F512" t="s">
        <v>40</v>
      </c>
      <c r="G512" t="s">
        <v>41</v>
      </c>
      <c r="H512" t="s">
        <v>1666</v>
      </c>
      <c r="I512" t="s">
        <v>43</v>
      </c>
      <c r="J512">
        <v>2</v>
      </c>
      <c r="K512" t="s">
        <v>44</v>
      </c>
      <c r="L512" t="s">
        <v>45</v>
      </c>
      <c r="M512" t="s">
        <v>46</v>
      </c>
      <c r="N512" s="7">
        <v>1</v>
      </c>
      <c r="O512" s="8">
        <v>45648.633935185186</v>
      </c>
      <c r="P512" s="9">
        <v>45649</v>
      </c>
      <c r="Q512" t="s">
        <v>74</v>
      </c>
      <c r="R512" t="s">
        <v>48</v>
      </c>
      <c r="S512" t="s">
        <v>49</v>
      </c>
      <c r="T512" t="s">
        <v>117</v>
      </c>
      <c r="U512" t="s">
        <v>1667</v>
      </c>
      <c r="V512">
        <v>40400</v>
      </c>
      <c r="W512" t="s">
        <v>48</v>
      </c>
      <c r="X512" t="s">
        <v>943</v>
      </c>
      <c r="Y512" t="s">
        <v>54</v>
      </c>
      <c r="Z512" s="12">
        <f>IF(N512&lt;=1,9,9+0.8*ROUNDUP(N512-1,0))</f>
        <v>9</v>
      </c>
      <c r="AA512" s="11">
        <v>-2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21"/>
        <v>0.42</v>
      </c>
      <c r="AG512" s="11">
        <f t="shared" si="22"/>
        <v>7.42</v>
      </c>
      <c r="AH512" s="11">
        <v>0</v>
      </c>
      <c r="AI512" s="11">
        <f t="shared" si="23"/>
        <v>7.42</v>
      </c>
      <c r="AJ512" t="s">
        <v>62</v>
      </c>
    </row>
    <row r="513" spans="1:36" ht="15" customHeight="1" x14ac:dyDescent="0.35">
      <c r="A513">
        <v>10428918</v>
      </c>
      <c r="B513" t="s">
        <v>36</v>
      </c>
      <c r="C513" t="s">
        <v>37</v>
      </c>
      <c r="D513" s="6" t="s">
        <v>38</v>
      </c>
      <c r="E513" t="s">
        <v>1668</v>
      </c>
      <c r="F513" t="s">
        <v>40</v>
      </c>
      <c r="G513" t="s">
        <v>41</v>
      </c>
      <c r="H513" t="s">
        <v>1669</v>
      </c>
      <c r="I513" t="s">
        <v>43</v>
      </c>
      <c r="J513">
        <v>2</v>
      </c>
      <c r="K513" t="s">
        <v>44</v>
      </c>
      <c r="L513" t="s">
        <v>45</v>
      </c>
      <c r="M513" t="s">
        <v>46</v>
      </c>
      <c r="N513" s="7">
        <v>2</v>
      </c>
      <c r="O513" s="8">
        <v>45646.632199074076</v>
      </c>
      <c r="P513" s="9">
        <v>45649</v>
      </c>
      <c r="Q513" t="s">
        <v>74</v>
      </c>
      <c r="R513" t="s">
        <v>48</v>
      </c>
      <c r="S513" t="s">
        <v>49</v>
      </c>
      <c r="T513" t="s">
        <v>117</v>
      </c>
      <c r="U513" t="s">
        <v>1670</v>
      </c>
      <c r="V513">
        <v>41200</v>
      </c>
      <c r="W513" t="s">
        <v>48</v>
      </c>
      <c r="X513" t="s">
        <v>591</v>
      </c>
      <c r="Y513" t="s">
        <v>54</v>
      </c>
      <c r="Z513" s="12">
        <f>IF(N513&lt;=1,9,9+0.8*ROUNDUP(N513-1,0))</f>
        <v>9.8000000000000007</v>
      </c>
      <c r="AA513" s="11">
        <v>-2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21"/>
        <v>0.46800000000000003</v>
      </c>
      <c r="AG513" s="11">
        <f t="shared" si="22"/>
        <v>8.2680000000000007</v>
      </c>
      <c r="AH513" s="11">
        <v>0</v>
      </c>
      <c r="AI513" s="11">
        <f t="shared" si="23"/>
        <v>8.2680000000000007</v>
      </c>
      <c r="AJ513" t="s">
        <v>62</v>
      </c>
    </row>
    <row r="514" spans="1:36" ht="15" customHeight="1" x14ac:dyDescent="0.35">
      <c r="A514">
        <v>10428918</v>
      </c>
      <c r="B514" t="s">
        <v>36</v>
      </c>
      <c r="C514" t="s">
        <v>37</v>
      </c>
      <c r="D514" s="6" t="s">
        <v>38</v>
      </c>
      <c r="E514" t="s">
        <v>1671</v>
      </c>
      <c r="F514" t="s">
        <v>40</v>
      </c>
      <c r="G514" t="s">
        <v>41</v>
      </c>
      <c r="H514" t="s">
        <v>1672</v>
      </c>
      <c r="I514" t="s">
        <v>43</v>
      </c>
      <c r="J514">
        <v>2</v>
      </c>
      <c r="K514" t="s">
        <v>44</v>
      </c>
      <c r="L514" t="s">
        <v>45</v>
      </c>
      <c r="M514" t="s">
        <v>46</v>
      </c>
      <c r="N514" s="7">
        <v>1</v>
      </c>
      <c r="O514" s="8">
        <v>45645.60665509259</v>
      </c>
      <c r="P514" s="9">
        <v>45649</v>
      </c>
      <c r="Q514" t="s">
        <v>74</v>
      </c>
      <c r="R514" t="s">
        <v>48</v>
      </c>
      <c r="S514" t="s">
        <v>49</v>
      </c>
      <c r="T514" t="s">
        <v>101</v>
      </c>
      <c r="U514" t="s">
        <v>1673</v>
      </c>
      <c r="V514">
        <v>32610</v>
      </c>
      <c r="W514" t="s">
        <v>48</v>
      </c>
      <c r="X514" t="s">
        <v>53</v>
      </c>
      <c r="Y514" t="s">
        <v>54</v>
      </c>
      <c r="Z514" s="12">
        <f>IF(N514&lt;=1,9,9+0.8*ROUNDUP(N514-1,0))</f>
        <v>9</v>
      </c>
      <c r="AA514" s="11">
        <v>-2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77" si="24">(Z514+AA514+AC514+AE514)*6%</f>
        <v>0.42</v>
      </c>
      <c r="AG514" s="11">
        <f t="shared" ref="AG514:AG577" si="25">Z514+AA514+AC514+AE514+AF514</f>
        <v>7.42</v>
      </c>
      <c r="AH514" s="11">
        <v>0</v>
      </c>
      <c r="AI514" s="11">
        <f t="shared" ref="AI514:AI577" si="26">AG514+AH514</f>
        <v>7.42</v>
      </c>
      <c r="AJ514" t="s">
        <v>62</v>
      </c>
    </row>
    <row r="515" spans="1:36" ht="15" customHeight="1" x14ac:dyDescent="0.35">
      <c r="A515">
        <v>10428918</v>
      </c>
      <c r="B515" t="s">
        <v>36</v>
      </c>
      <c r="C515" t="s">
        <v>37</v>
      </c>
      <c r="D515" s="6" t="s">
        <v>38</v>
      </c>
      <c r="E515" t="s">
        <v>1674</v>
      </c>
      <c r="F515" t="s">
        <v>40</v>
      </c>
      <c r="G515" t="s">
        <v>41</v>
      </c>
      <c r="H515" t="s">
        <v>453</v>
      </c>
      <c r="I515" t="s">
        <v>43</v>
      </c>
      <c r="J515">
        <v>2</v>
      </c>
      <c r="K515" t="s">
        <v>44</v>
      </c>
      <c r="L515" t="s">
        <v>45</v>
      </c>
      <c r="M515" t="s">
        <v>46</v>
      </c>
      <c r="N515" s="7">
        <v>3</v>
      </c>
      <c r="O515" s="8">
        <v>45647.816828703704</v>
      </c>
      <c r="P515" s="9">
        <v>45649</v>
      </c>
      <c r="Q515" t="s">
        <v>74</v>
      </c>
      <c r="R515" t="s">
        <v>48</v>
      </c>
      <c r="S515" t="s">
        <v>49</v>
      </c>
      <c r="T515" t="s">
        <v>117</v>
      </c>
      <c r="U515" t="s">
        <v>454</v>
      </c>
      <c r="V515">
        <v>42500</v>
      </c>
      <c r="W515" t="s">
        <v>48</v>
      </c>
      <c r="X515" t="s">
        <v>455</v>
      </c>
      <c r="Y515" t="s">
        <v>54</v>
      </c>
      <c r="Z515" s="12">
        <f>IF(N515&lt;=1,9,9+0.8*ROUNDUP(N515-1,0))</f>
        <v>10.6</v>
      </c>
      <c r="AA515" s="11">
        <v>-2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24"/>
        <v>0.51600000000000001</v>
      </c>
      <c r="AG515" s="11">
        <f t="shared" si="25"/>
        <v>9.1159999999999997</v>
      </c>
      <c r="AH515" s="11">
        <v>0</v>
      </c>
      <c r="AI515" s="11">
        <f t="shared" si="26"/>
        <v>9.1159999999999997</v>
      </c>
      <c r="AJ515" t="s">
        <v>62</v>
      </c>
    </row>
    <row r="516" spans="1:36" ht="15" customHeight="1" x14ac:dyDescent="0.35">
      <c r="A516">
        <v>10428918</v>
      </c>
      <c r="B516" t="s">
        <v>36</v>
      </c>
      <c r="C516" t="s">
        <v>37</v>
      </c>
      <c r="D516" s="6" t="s">
        <v>38</v>
      </c>
      <c r="E516" t="s">
        <v>1675</v>
      </c>
      <c r="F516" t="s">
        <v>40</v>
      </c>
      <c r="G516" t="s">
        <v>41</v>
      </c>
      <c r="H516" t="s">
        <v>1676</v>
      </c>
      <c r="I516" t="s">
        <v>43</v>
      </c>
      <c r="J516">
        <v>2</v>
      </c>
      <c r="K516" t="s">
        <v>44</v>
      </c>
      <c r="L516" t="s">
        <v>45</v>
      </c>
      <c r="M516" t="s">
        <v>46</v>
      </c>
      <c r="N516" s="7">
        <v>1</v>
      </c>
      <c r="O516" s="8">
        <v>45647.822847222225</v>
      </c>
      <c r="P516" s="9">
        <v>45649</v>
      </c>
      <c r="Q516" t="s">
        <v>74</v>
      </c>
      <c r="R516" t="s">
        <v>48</v>
      </c>
      <c r="S516" t="s">
        <v>49</v>
      </c>
      <c r="T516" t="s">
        <v>75</v>
      </c>
      <c r="U516" t="s">
        <v>1677</v>
      </c>
      <c r="V516">
        <v>25150</v>
      </c>
      <c r="W516" t="s">
        <v>48</v>
      </c>
      <c r="X516" t="s">
        <v>77</v>
      </c>
      <c r="Y516" t="s">
        <v>54</v>
      </c>
      <c r="Z516" s="12">
        <f>IF(N516&lt;=1,9,9+0.8*ROUNDUP(N516-1,0))</f>
        <v>9</v>
      </c>
      <c r="AA516" s="11">
        <v>-2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24"/>
        <v>0.42</v>
      </c>
      <c r="AG516" s="11">
        <f t="shared" si="25"/>
        <v>7.42</v>
      </c>
      <c r="AH516" s="11">
        <v>0</v>
      </c>
      <c r="AI516" s="11">
        <f t="shared" si="26"/>
        <v>7.42</v>
      </c>
      <c r="AJ516" t="s">
        <v>62</v>
      </c>
    </row>
    <row r="517" spans="1:36" ht="15" customHeight="1" x14ac:dyDescent="0.35">
      <c r="A517">
        <v>10428918</v>
      </c>
      <c r="B517" t="s">
        <v>36</v>
      </c>
      <c r="C517" t="s">
        <v>37</v>
      </c>
      <c r="D517" s="6" t="s">
        <v>38</v>
      </c>
      <c r="E517" t="s">
        <v>1678</v>
      </c>
      <c r="F517" t="s">
        <v>40</v>
      </c>
      <c r="G517" t="s">
        <v>41</v>
      </c>
      <c r="H517" t="s">
        <v>1679</v>
      </c>
      <c r="I517" t="s">
        <v>43</v>
      </c>
      <c r="J517">
        <v>2</v>
      </c>
      <c r="K517" t="s">
        <v>44</v>
      </c>
      <c r="L517" t="s">
        <v>45</v>
      </c>
      <c r="M517" t="s">
        <v>46</v>
      </c>
      <c r="N517" s="7">
        <v>2</v>
      </c>
      <c r="O517" s="8">
        <v>45647.641018518516</v>
      </c>
      <c r="P517" s="9">
        <v>45649</v>
      </c>
      <c r="Q517" t="s">
        <v>74</v>
      </c>
      <c r="R517" t="s">
        <v>48</v>
      </c>
      <c r="S517" t="s">
        <v>49</v>
      </c>
      <c r="T517" t="s">
        <v>117</v>
      </c>
      <c r="U517" t="s">
        <v>1680</v>
      </c>
      <c r="V517">
        <v>43900</v>
      </c>
      <c r="W517" t="s">
        <v>48</v>
      </c>
      <c r="X517" t="s">
        <v>53</v>
      </c>
      <c r="Y517" t="s">
        <v>54</v>
      </c>
      <c r="Z517" s="12">
        <f>IF(N517&lt;=1,9,9+0.8*ROUNDUP(N517-1,0))</f>
        <v>9.8000000000000007</v>
      </c>
      <c r="AA517" s="11">
        <v>-2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24"/>
        <v>0.46800000000000003</v>
      </c>
      <c r="AG517" s="11">
        <f t="shared" si="25"/>
        <v>8.2680000000000007</v>
      </c>
      <c r="AH517" s="11">
        <v>0</v>
      </c>
      <c r="AI517" s="11">
        <f t="shared" si="26"/>
        <v>8.2680000000000007</v>
      </c>
      <c r="AJ517" t="s">
        <v>62</v>
      </c>
    </row>
    <row r="518" spans="1:36" ht="15" customHeight="1" x14ac:dyDescent="0.35">
      <c r="A518">
        <v>10428918</v>
      </c>
      <c r="B518" t="s">
        <v>36</v>
      </c>
      <c r="C518" t="s">
        <v>37</v>
      </c>
      <c r="D518" s="6" t="s">
        <v>38</v>
      </c>
      <c r="E518" t="s">
        <v>1681</v>
      </c>
      <c r="F518" t="s">
        <v>40</v>
      </c>
      <c r="G518" t="s">
        <v>41</v>
      </c>
      <c r="H518" t="s">
        <v>1682</v>
      </c>
      <c r="I518" t="s">
        <v>43</v>
      </c>
      <c r="J518">
        <v>2</v>
      </c>
      <c r="K518" t="s">
        <v>44</v>
      </c>
      <c r="L518" t="s">
        <v>45</v>
      </c>
      <c r="M518" t="s">
        <v>46</v>
      </c>
      <c r="N518" s="7">
        <v>1</v>
      </c>
      <c r="O518" s="8">
        <v>45647.527060185188</v>
      </c>
      <c r="P518" s="9">
        <v>45649</v>
      </c>
      <c r="Q518" t="s">
        <v>74</v>
      </c>
      <c r="R518" t="s">
        <v>48</v>
      </c>
      <c r="S518" t="s">
        <v>49</v>
      </c>
      <c r="T518" t="s">
        <v>80</v>
      </c>
      <c r="U518" t="s">
        <v>1683</v>
      </c>
      <c r="V518">
        <v>8000</v>
      </c>
      <c r="W518" t="s">
        <v>48</v>
      </c>
      <c r="X518" t="s">
        <v>145</v>
      </c>
      <c r="Y518" t="s">
        <v>54</v>
      </c>
      <c r="Z518" s="12">
        <f>IF(N518&lt;=1,9,9+0.8*ROUNDUP(N518-1,0))</f>
        <v>9</v>
      </c>
      <c r="AA518" s="11">
        <v>-2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24"/>
        <v>0.42</v>
      </c>
      <c r="AG518" s="11">
        <f t="shared" si="25"/>
        <v>7.42</v>
      </c>
      <c r="AH518" s="11">
        <v>0</v>
      </c>
      <c r="AI518" s="11">
        <f t="shared" si="26"/>
        <v>7.42</v>
      </c>
      <c r="AJ518" t="s">
        <v>62</v>
      </c>
    </row>
    <row r="519" spans="1:36" ht="15" customHeight="1" x14ac:dyDescent="0.35">
      <c r="A519">
        <v>10428918</v>
      </c>
      <c r="B519" t="s">
        <v>36</v>
      </c>
      <c r="C519" t="s">
        <v>37</v>
      </c>
      <c r="D519" s="6" t="s">
        <v>38</v>
      </c>
      <c r="E519" t="s">
        <v>1684</v>
      </c>
      <c r="F519" t="s">
        <v>40</v>
      </c>
      <c r="G519" t="s">
        <v>41</v>
      </c>
      <c r="H519" t="s">
        <v>1685</v>
      </c>
      <c r="I519" t="s">
        <v>43</v>
      </c>
      <c r="J519">
        <v>2</v>
      </c>
      <c r="K519" t="s">
        <v>44</v>
      </c>
      <c r="L519" t="s">
        <v>45</v>
      </c>
      <c r="M519" t="s">
        <v>46</v>
      </c>
      <c r="N519" s="7">
        <v>1</v>
      </c>
      <c r="O519" s="8">
        <v>45647.80872685185</v>
      </c>
      <c r="P519" s="9">
        <v>45649</v>
      </c>
      <c r="Q519" t="s">
        <v>74</v>
      </c>
      <c r="R519" t="s">
        <v>48</v>
      </c>
      <c r="S519" t="s">
        <v>49</v>
      </c>
      <c r="T519" t="s">
        <v>75</v>
      </c>
      <c r="U519" t="s">
        <v>1686</v>
      </c>
      <c r="V519">
        <v>27030</v>
      </c>
      <c r="W519" t="s">
        <v>48</v>
      </c>
      <c r="X519" t="s">
        <v>77</v>
      </c>
      <c r="Y519" t="s">
        <v>54</v>
      </c>
      <c r="Z519" s="12">
        <f>IF(N519&lt;=1,9,9+0.8*ROUNDUP(N519-1,0))</f>
        <v>9</v>
      </c>
      <c r="AA519" s="11">
        <v>-2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24"/>
        <v>0.42</v>
      </c>
      <c r="AG519" s="11">
        <f t="shared" si="25"/>
        <v>7.42</v>
      </c>
      <c r="AH519" s="11">
        <v>0</v>
      </c>
      <c r="AI519" s="11">
        <f t="shared" si="26"/>
        <v>7.42</v>
      </c>
      <c r="AJ519" t="s">
        <v>62</v>
      </c>
    </row>
    <row r="520" spans="1:36" ht="15" customHeight="1" x14ac:dyDescent="0.35">
      <c r="A520">
        <v>10428918</v>
      </c>
      <c r="B520" t="s">
        <v>36</v>
      </c>
      <c r="C520" t="s">
        <v>37</v>
      </c>
      <c r="D520" s="6" t="s">
        <v>38</v>
      </c>
      <c r="E520" t="s">
        <v>1687</v>
      </c>
      <c r="F520" t="s">
        <v>40</v>
      </c>
      <c r="G520" t="s">
        <v>41</v>
      </c>
      <c r="H520" t="s">
        <v>290</v>
      </c>
      <c r="I520" t="s">
        <v>43</v>
      </c>
      <c r="J520">
        <v>2</v>
      </c>
      <c r="K520" t="s">
        <v>44</v>
      </c>
      <c r="L520" t="s">
        <v>45</v>
      </c>
      <c r="M520" t="s">
        <v>46</v>
      </c>
      <c r="N520" s="7">
        <v>1</v>
      </c>
      <c r="O520" s="8">
        <v>45647.65247685185</v>
      </c>
      <c r="P520" s="9">
        <v>45649</v>
      </c>
      <c r="Q520" t="s">
        <v>74</v>
      </c>
      <c r="R520" t="s">
        <v>48</v>
      </c>
      <c r="S520" t="s">
        <v>49</v>
      </c>
      <c r="T520" t="s">
        <v>117</v>
      </c>
      <c r="U520" t="s">
        <v>1688</v>
      </c>
      <c r="V520">
        <v>43900</v>
      </c>
      <c r="W520" t="s">
        <v>48</v>
      </c>
      <c r="X520" t="s">
        <v>532</v>
      </c>
      <c r="Y520" t="s">
        <v>54</v>
      </c>
      <c r="Z520" s="12">
        <f>IF(N520&lt;=1,9,9+0.8*ROUNDUP(N520-1,0))</f>
        <v>9</v>
      </c>
      <c r="AA520" s="11">
        <v>-2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24"/>
        <v>0.42</v>
      </c>
      <c r="AG520" s="11">
        <f t="shared" si="25"/>
        <v>7.42</v>
      </c>
      <c r="AH520" s="11">
        <v>0</v>
      </c>
      <c r="AI520" s="11">
        <f t="shared" si="26"/>
        <v>7.42</v>
      </c>
      <c r="AJ520" t="s">
        <v>62</v>
      </c>
    </row>
    <row r="521" spans="1:36" ht="15" customHeight="1" x14ac:dyDescent="0.35">
      <c r="A521">
        <v>10428918</v>
      </c>
      <c r="B521" t="s">
        <v>36</v>
      </c>
      <c r="C521" t="s">
        <v>37</v>
      </c>
      <c r="D521" s="6" t="s">
        <v>38</v>
      </c>
      <c r="E521" t="s">
        <v>1689</v>
      </c>
      <c r="F521" t="s">
        <v>40</v>
      </c>
      <c r="G521" t="s">
        <v>41</v>
      </c>
      <c r="H521" t="s">
        <v>1690</v>
      </c>
      <c r="I521" t="s">
        <v>43</v>
      </c>
      <c r="J521">
        <v>2</v>
      </c>
      <c r="K521" t="s">
        <v>44</v>
      </c>
      <c r="L521" t="s">
        <v>45</v>
      </c>
      <c r="M521" t="s">
        <v>46</v>
      </c>
      <c r="N521" s="7">
        <v>1</v>
      </c>
      <c r="O521" s="8">
        <v>45647.618043981478</v>
      </c>
      <c r="P521" s="9">
        <v>45649</v>
      </c>
      <c r="Q521" t="s">
        <v>74</v>
      </c>
      <c r="R521" t="s">
        <v>48</v>
      </c>
      <c r="S521" t="s">
        <v>49</v>
      </c>
      <c r="T521" t="s">
        <v>117</v>
      </c>
      <c r="U521" t="s">
        <v>1691</v>
      </c>
      <c r="V521">
        <v>46050</v>
      </c>
      <c r="W521" t="s">
        <v>48</v>
      </c>
      <c r="X521" t="s">
        <v>1395</v>
      </c>
      <c r="Y521" t="s">
        <v>54</v>
      </c>
      <c r="Z521" s="12">
        <f>IF(N521&lt;=1,9,9+0.8*ROUNDUP(N521-1,0))</f>
        <v>9</v>
      </c>
      <c r="AA521" s="11">
        <v>-2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24"/>
        <v>0.42</v>
      </c>
      <c r="AG521" s="11">
        <f t="shared" si="25"/>
        <v>7.42</v>
      </c>
      <c r="AH521" s="11">
        <v>0</v>
      </c>
      <c r="AI521" s="11">
        <f t="shared" si="26"/>
        <v>7.42</v>
      </c>
      <c r="AJ521" t="s">
        <v>62</v>
      </c>
    </row>
    <row r="522" spans="1:36" ht="15" customHeight="1" x14ac:dyDescent="0.35">
      <c r="A522">
        <v>10428918</v>
      </c>
      <c r="B522" t="s">
        <v>36</v>
      </c>
      <c r="C522" t="s">
        <v>37</v>
      </c>
      <c r="D522" s="6" t="s">
        <v>38</v>
      </c>
      <c r="E522" t="s">
        <v>1692</v>
      </c>
      <c r="F522" t="s">
        <v>40</v>
      </c>
      <c r="G522" t="s">
        <v>41</v>
      </c>
      <c r="H522" t="s">
        <v>1693</v>
      </c>
      <c r="I522" t="s">
        <v>43</v>
      </c>
      <c r="J522">
        <v>2</v>
      </c>
      <c r="K522" t="s">
        <v>44</v>
      </c>
      <c r="L522" t="s">
        <v>45</v>
      </c>
      <c r="M522" t="s">
        <v>46</v>
      </c>
      <c r="N522" s="7">
        <v>1</v>
      </c>
      <c r="O522" s="8">
        <v>45647.652488425927</v>
      </c>
      <c r="P522" s="9">
        <v>45649</v>
      </c>
      <c r="Q522" t="s">
        <v>74</v>
      </c>
      <c r="R522" t="s">
        <v>48</v>
      </c>
      <c r="S522" t="s">
        <v>49</v>
      </c>
      <c r="T522" t="s">
        <v>80</v>
      </c>
      <c r="U522" t="s">
        <v>1694</v>
      </c>
      <c r="V522">
        <v>9600</v>
      </c>
      <c r="W522" t="s">
        <v>48</v>
      </c>
      <c r="X522" t="s">
        <v>690</v>
      </c>
      <c r="Y522" t="s">
        <v>54</v>
      </c>
      <c r="Z522" s="12">
        <f>IF(N522&lt;=1,9,9+0.8*ROUNDUP(N522-1,0))</f>
        <v>9</v>
      </c>
      <c r="AA522" s="11">
        <v>-2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24"/>
        <v>0.42</v>
      </c>
      <c r="AG522" s="11">
        <f t="shared" si="25"/>
        <v>7.42</v>
      </c>
      <c r="AH522" s="11">
        <v>0</v>
      </c>
      <c r="AI522" s="11">
        <f t="shared" si="26"/>
        <v>7.42</v>
      </c>
      <c r="AJ522" t="s">
        <v>62</v>
      </c>
    </row>
    <row r="523" spans="1:36" ht="15" customHeight="1" x14ac:dyDescent="0.35">
      <c r="A523">
        <v>10428918</v>
      </c>
      <c r="B523" t="s">
        <v>36</v>
      </c>
      <c r="C523" t="s">
        <v>37</v>
      </c>
      <c r="D523" s="6" t="s">
        <v>38</v>
      </c>
      <c r="E523" t="s">
        <v>1695</v>
      </c>
      <c r="F523" t="s">
        <v>40</v>
      </c>
      <c r="G523" t="s">
        <v>41</v>
      </c>
      <c r="H523" t="s">
        <v>1696</v>
      </c>
      <c r="I523" t="s">
        <v>43</v>
      </c>
      <c r="J523">
        <v>2</v>
      </c>
      <c r="K523" t="s">
        <v>44</v>
      </c>
      <c r="L523" t="s">
        <v>45</v>
      </c>
      <c r="M523" t="s">
        <v>46</v>
      </c>
      <c r="N523" s="7">
        <v>1</v>
      </c>
      <c r="O523" s="8">
        <v>45647.822835648149</v>
      </c>
      <c r="P523" s="9">
        <v>45649</v>
      </c>
      <c r="Q523" t="s">
        <v>74</v>
      </c>
      <c r="R523" t="s">
        <v>48</v>
      </c>
      <c r="S523" t="s">
        <v>49</v>
      </c>
      <c r="T523" t="s">
        <v>85</v>
      </c>
      <c r="U523" t="s">
        <v>1697</v>
      </c>
      <c r="V523">
        <v>71300</v>
      </c>
      <c r="W523" t="s">
        <v>48</v>
      </c>
      <c r="X523" t="s">
        <v>114</v>
      </c>
      <c r="Y523" t="s">
        <v>54</v>
      </c>
      <c r="Z523" s="12">
        <f>IF(N523&lt;=1,9,9+0.8*ROUNDUP(N523-1,0))</f>
        <v>9</v>
      </c>
      <c r="AA523" s="11">
        <v>-2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24"/>
        <v>0.42</v>
      </c>
      <c r="AG523" s="11">
        <f t="shared" si="25"/>
        <v>7.42</v>
      </c>
      <c r="AH523" s="11">
        <v>0</v>
      </c>
      <c r="AI523" s="11">
        <f t="shared" si="26"/>
        <v>7.42</v>
      </c>
      <c r="AJ523" t="s">
        <v>62</v>
      </c>
    </row>
    <row r="524" spans="1:36" ht="15" customHeight="1" x14ac:dyDescent="0.35">
      <c r="A524">
        <v>10428918</v>
      </c>
      <c r="B524" t="s">
        <v>36</v>
      </c>
      <c r="C524" t="s">
        <v>37</v>
      </c>
      <c r="D524" s="6" t="s">
        <v>38</v>
      </c>
      <c r="E524" t="s">
        <v>1698</v>
      </c>
      <c r="F524" t="s">
        <v>40</v>
      </c>
      <c r="G524" t="s">
        <v>41</v>
      </c>
      <c r="H524" t="s">
        <v>1699</v>
      </c>
      <c r="I524" t="s">
        <v>43</v>
      </c>
      <c r="J524">
        <v>2</v>
      </c>
      <c r="K524" t="s">
        <v>44</v>
      </c>
      <c r="L524" t="s">
        <v>45</v>
      </c>
      <c r="M524" t="s">
        <v>46</v>
      </c>
      <c r="N524" s="7">
        <v>3</v>
      </c>
      <c r="O524" s="8">
        <v>45648.697418981479</v>
      </c>
      <c r="P524" s="9">
        <v>45649</v>
      </c>
      <c r="Q524" t="s">
        <v>74</v>
      </c>
      <c r="R524" t="s">
        <v>48</v>
      </c>
      <c r="S524" t="s">
        <v>49</v>
      </c>
      <c r="T524" t="s">
        <v>59</v>
      </c>
      <c r="U524" t="s">
        <v>1700</v>
      </c>
      <c r="V524">
        <v>17500</v>
      </c>
      <c r="W524" t="s">
        <v>48</v>
      </c>
      <c r="X524" t="s">
        <v>1607</v>
      </c>
      <c r="Y524" t="s">
        <v>54</v>
      </c>
      <c r="Z524" s="12">
        <f>IF(N524&lt;=1,9,9+0.8*ROUNDUP(N524-1,0))</f>
        <v>10.6</v>
      </c>
      <c r="AA524" s="11">
        <v>-2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24"/>
        <v>0.51600000000000001</v>
      </c>
      <c r="AG524" s="11">
        <f t="shared" si="25"/>
        <v>9.1159999999999997</v>
      </c>
      <c r="AH524" s="11">
        <v>0</v>
      </c>
      <c r="AI524" s="11">
        <f t="shared" si="26"/>
        <v>9.1159999999999997</v>
      </c>
      <c r="AJ524" t="s">
        <v>62</v>
      </c>
    </row>
    <row r="525" spans="1:36" ht="15" customHeight="1" x14ac:dyDescent="0.35">
      <c r="A525">
        <v>10428918</v>
      </c>
      <c r="B525" t="s">
        <v>36</v>
      </c>
      <c r="C525" t="s">
        <v>37</v>
      </c>
      <c r="D525" s="6" t="s">
        <v>38</v>
      </c>
      <c r="E525" t="s">
        <v>1701</v>
      </c>
      <c r="F525" t="s">
        <v>40</v>
      </c>
      <c r="G525" t="s">
        <v>41</v>
      </c>
      <c r="H525" t="s">
        <v>1702</v>
      </c>
      <c r="I525" t="s">
        <v>43</v>
      </c>
      <c r="J525">
        <v>2</v>
      </c>
      <c r="K525" t="s">
        <v>44</v>
      </c>
      <c r="L525" t="s">
        <v>45</v>
      </c>
      <c r="M525" t="s">
        <v>46</v>
      </c>
      <c r="N525" s="7">
        <v>1</v>
      </c>
      <c r="O525" s="8">
        <v>45648.557106481479</v>
      </c>
      <c r="P525" s="9">
        <v>45649</v>
      </c>
      <c r="Q525" t="s">
        <v>74</v>
      </c>
      <c r="R525" t="s">
        <v>48</v>
      </c>
      <c r="S525" t="s">
        <v>49</v>
      </c>
      <c r="T525" t="s">
        <v>117</v>
      </c>
      <c r="U525" t="s">
        <v>1703</v>
      </c>
      <c r="V525">
        <v>47810</v>
      </c>
      <c r="W525" t="s">
        <v>48</v>
      </c>
      <c r="X525" t="s">
        <v>187</v>
      </c>
      <c r="Y525" t="s">
        <v>54</v>
      </c>
      <c r="Z525" s="12">
        <f>IF(N525&lt;=1,9,9+0.8*ROUNDUP(N525-1,0))</f>
        <v>9</v>
      </c>
      <c r="AA525" s="11">
        <v>-2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24"/>
        <v>0.42</v>
      </c>
      <c r="AG525" s="11">
        <f t="shared" si="25"/>
        <v>7.42</v>
      </c>
      <c r="AH525" s="11">
        <v>0</v>
      </c>
      <c r="AI525" s="11">
        <f t="shared" si="26"/>
        <v>7.42</v>
      </c>
      <c r="AJ525" t="s">
        <v>62</v>
      </c>
    </row>
    <row r="526" spans="1:36" ht="15" customHeight="1" x14ac:dyDescent="0.35">
      <c r="A526">
        <v>10428918</v>
      </c>
      <c r="B526" t="s">
        <v>36</v>
      </c>
      <c r="C526" t="s">
        <v>37</v>
      </c>
      <c r="D526" s="6" t="s">
        <v>38</v>
      </c>
      <c r="E526" t="s">
        <v>1704</v>
      </c>
      <c r="F526" t="s">
        <v>40</v>
      </c>
      <c r="G526" t="s">
        <v>41</v>
      </c>
      <c r="H526" t="s">
        <v>1705</v>
      </c>
      <c r="I526" t="s">
        <v>43</v>
      </c>
      <c r="J526">
        <v>2</v>
      </c>
      <c r="K526" t="s">
        <v>44</v>
      </c>
      <c r="L526" t="s">
        <v>45</v>
      </c>
      <c r="M526" t="s">
        <v>46</v>
      </c>
      <c r="N526" s="7">
        <v>1</v>
      </c>
      <c r="O526" s="8">
        <v>45647.645856481482</v>
      </c>
      <c r="P526" s="9">
        <v>45649</v>
      </c>
      <c r="Q526" t="s">
        <v>74</v>
      </c>
      <c r="R526" t="s">
        <v>48</v>
      </c>
      <c r="S526" t="s">
        <v>49</v>
      </c>
      <c r="T526" t="s">
        <v>69</v>
      </c>
      <c r="U526" t="s">
        <v>1706</v>
      </c>
      <c r="V526">
        <v>81400</v>
      </c>
      <c r="W526" t="s">
        <v>48</v>
      </c>
      <c r="X526" t="s">
        <v>1040</v>
      </c>
      <c r="Y526" t="s">
        <v>54</v>
      </c>
      <c r="Z526" s="12">
        <f>IF(N526&lt;=1,9,9+0.8*ROUNDUP(N526-1,0))</f>
        <v>9</v>
      </c>
      <c r="AA526" s="11">
        <v>-2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24"/>
        <v>0.42</v>
      </c>
      <c r="AG526" s="11">
        <f t="shared" si="25"/>
        <v>7.42</v>
      </c>
      <c r="AH526" s="11">
        <v>0</v>
      </c>
      <c r="AI526" s="11">
        <f t="shared" si="26"/>
        <v>7.42</v>
      </c>
      <c r="AJ526" t="s">
        <v>62</v>
      </c>
    </row>
    <row r="527" spans="1:36" ht="15" customHeight="1" x14ac:dyDescent="0.35">
      <c r="A527">
        <v>10428918</v>
      </c>
      <c r="B527" t="s">
        <v>36</v>
      </c>
      <c r="C527" t="s">
        <v>37</v>
      </c>
      <c r="D527" s="6" t="s">
        <v>38</v>
      </c>
      <c r="E527" t="s">
        <v>1707</v>
      </c>
      <c r="F527" t="s">
        <v>40</v>
      </c>
      <c r="G527" t="s">
        <v>41</v>
      </c>
      <c r="H527" t="s">
        <v>1708</v>
      </c>
      <c r="I527" t="s">
        <v>43</v>
      </c>
      <c r="J527">
        <v>2</v>
      </c>
      <c r="K527" t="s">
        <v>44</v>
      </c>
      <c r="L527" t="s">
        <v>45</v>
      </c>
      <c r="M527" t="s">
        <v>46</v>
      </c>
      <c r="N527" s="7">
        <v>1</v>
      </c>
      <c r="O527" s="8">
        <v>45648.584409722222</v>
      </c>
      <c r="P527" s="9">
        <v>45649</v>
      </c>
      <c r="Q527" t="s">
        <v>74</v>
      </c>
      <c r="R527" t="s">
        <v>48</v>
      </c>
      <c r="S527" t="s">
        <v>49</v>
      </c>
      <c r="T527" t="s">
        <v>59</v>
      </c>
      <c r="U527" t="s">
        <v>1709</v>
      </c>
      <c r="V527">
        <v>16310</v>
      </c>
      <c r="W527" t="s">
        <v>48</v>
      </c>
      <c r="X527" t="s">
        <v>61</v>
      </c>
      <c r="Y527" t="s">
        <v>54</v>
      </c>
      <c r="Z527" s="12">
        <f>IF(N527&lt;=1,9,9+0.8*ROUNDUP(N527-1,0))</f>
        <v>9</v>
      </c>
      <c r="AA527" s="11">
        <v>-2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24"/>
        <v>0.42</v>
      </c>
      <c r="AG527" s="11">
        <f t="shared" si="25"/>
        <v>7.42</v>
      </c>
      <c r="AH527" s="11">
        <v>0</v>
      </c>
      <c r="AI527" s="11">
        <f t="shared" si="26"/>
        <v>7.42</v>
      </c>
      <c r="AJ527" t="s">
        <v>62</v>
      </c>
    </row>
    <row r="528" spans="1:36" ht="15" customHeight="1" x14ac:dyDescent="0.35">
      <c r="A528">
        <v>10428918</v>
      </c>
      <c r="B528" t="s">
        <v>36</v>
      </c>
      <c r="C528" t="s">
        <v>37</v>
      </c>
      <c r="D528" s="6" t="s">
        <v>38</v>
      </c>
      <c r="E528" t="s">
        <v>1710</v>
      </c>
      <c r="F528" t="s">
        <v>40</v>
      </c>
      <c r="G528" t="s">
        <v>41</v>
      </c>
      <c r="H528" t="s">
        <v>1711</v>
      </c>
      <c r="I528" t="s">
        <v>43</v>
      </c>
      <c r="J528">
        <v>2</v>
      </c>
      <c r="K528" t="s">
        <v>44</v>
      </c>
      <c r="L528" t="s">
        <v>45</v>
      </c>
      <c r="M528" t="s">
        <v>46</v>
      </c>
      <c r="N528" s="7">
        <v>1</v>
      </c>
      <c r="O528" s="8">
        <v>45647.418657407405</v>
      </c>
      <c r="P528" s="9">
        <v>45649</v>
      </c>
      <c r="Q528" t="s">
        <v>1712</v>
      </c>
      <c r="R528" t="s">
        <v>48</v>
      </c>
      <c r="S528" t="s">
        <v>49</v>
      </c>
      <c r="T528" t="s">
        <v>69</v>
      </c>
      <c r="U528" t="s">
        <v>1713</v>
      </c>
      <c r="V528">
        <v>84000</v>
      </c>
      <c r="W528" t="s">
        <v>48</v>
      </c>
      <c r="X528" t="s">
        <v>1714</v>
      </c>
      <c r="Y528" t="s">
        <v>54</v>
      </c>
      <c r="Z528" s="12">
        <f>IF(N528&lt;=1,9,9+0.8*ROUNDUP(N528-1,0))</f>
        <v>9</v>
      </c>
      <c r="AA528" s="11">
        <v>-2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24"/>
        <v>0.42</v>
      </c>
      <c r="AG528" s="11">
        <f t="shared" si="25"/>
        <v>7.42</v>
      </c>
      <c r="AH528" s="11">
        <v>0</v>
      </c>
      <c r="AI528" s="11">
        <f t="shared" si="26"/>
        <v>7.42</v>
      </c>
      <c r="AJ528" t="s">
        <v>62</v>
      </c>
    </row>
    <row r="529" spans="1:36" ht="15" customHeight="1" x14ac:dyDescent="0.35">
      <c r="A529">
        <v>10428918</v>
      </c>
      <c r="B529" t="s">
        <v>36</v>
      </c>
      <c r="C529" t="s">
        <v>37</v>
      </c>
      <c r="D529" s="6" t="s">
        <v>38</v>
      </c>
      <c r="E529" t="s">
        <v>1715</v>
      </c>
      <c r="F529" t="s">
        <v>40</v>
      </c>
      <c r="G529" t="s">
        <v>41</v>
      </c>
      <c r="H529" t="s">
        <v>1716</v>
      </c>
      <c r="I529" t="s">
        <v>43</v>
      </c>
      <c r="J529">
        <v>2</v>
      </c>
      <c r="K529" t="s">
        <v>44</v>
      </c>
      <c r="L529" t="s">
        <v>45</v>
      </c>
      <c r="M529" t="s">
        <v>46</v>
      </c>
      <c r="N529" s="7">
        <v>1</v>
      </c>
      <c r="O529" s="8">
        <v>45647.42696759259</v>
      </c>
      <c r="P529" s="9">
        <v>45649</v>
      </c>
      <c r="Q529" t="s">
        <v>74</v>
      </c>
      <c r="R529" t="s">
        <v>48</v>
      </c>
      <c r="S529" t="s">
        <v>49</v>
      </c>
      <c r="T529" t="s">
        <v>85</v>
      </c>
      <c r="U529" t="s">
        <v>1717</v>
      </c>
      <c r="V529">
        <v>71450</v>
      </c>
      <c r="W529" t="s">
        <v>48</v>
      </c>
      <c r="X529" t="s">
        <v>1718</v>
      </c>
      <c r="Y529" t="s">
        <v>54</v>
      </c>
      <c r="Z529" s="12">
        <f>IF(N529&lt;=1,9,9+0.8*ROUNDUP(N529-1,0))</f>
        <v>9</v>
      </c>
      <c r="AA529" s="11">
        <v>-2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24"/>
        <v>0.42</v>
      </c>
      <c r="AG529" s="11">
        <f t="shared" si="25"/>
        <v>7.42</v>
      </c>
      <c r="AH529" s="11">
        <v>0</v>
      </c>
      <c r="AI529" s="11">
        <f t="shared" si="26"/>
        <v>7.42</v>
      </c>
      <c r="AJ529" t="s">
        <v>62</v>
      </c>
    </row>
    <row r="530" spans="1:36" ht="15" customHeight="1" x14ac:dyDescent="0.35">
      <c r="A530">
        <v>10428918</v>
      </c>
      <c r="B530" t="s">
        <v>36</v>
      </c>
      <c r="C530" t="s">
        <v>37</v>
      </c>
      <c r="D530" s="6" t="s">
        <v>38</v>
      </c>
      <c r="E530" t="s">
        <v>1719</v>
      </c>
      <c r="F530" t="s">
        <v>40</v>
      </c>
      <c r="G530" t="s">
        <v>41</v>
      </c>
      <c r="H530" t="s">
        <v>1720</v>
      </c>
      <c r="I530" t="s">
        <v>43</v>
      </c>
      <c r="J530">
        <v>2</v>
      </c>
      <c r="K530" t="s">
        <v>44</v>
      </c>
      <c r="L530" t="s">
        <v>45</v>
      </c>
      <c r="M530" t="s">
        <v>46</v>
      </c>
      <c r="N530" s="7">
        <v>1</v>
      </c>
      <c r="O530" s="8">
        <v>45646.482152777775</v>
      </c>
      <c r="P530" s="9">
        <v>45649</v>
      </c>
      <c r="Q530" t="s">
        <v>58</v>
      </c>
      <c r="R530" t="s">
        <v>48</v>
      </c>
      <c r="S530" t="s">
        <v>49</v>
      </c>
      <c r="T530" t="s">
        <v>69</v>
      </c>
      <c r="U530" t="s">
        <v>1721</v>
      </c>
      <c r="V530">
        <v>81100</v>
      </c>
      <c r="W530" t="s">
        <v>48</v>
      </c>
      <c r="X530" t="s">
        <v>53</v>
      </c>
      <c r="Y530" t="s">
        <v>54</v>
      </c>
      <c r="Z530" s="12">
        <f>IF(N530&lt;=1,9,9+0.8*ROUNDUP(N530-1,0))</f>
        <v>9</v>
      </c>
      <c r="AA530" s="11">
        <v>-2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24"/>
        <v>0.42</v>
      </c>
      <c r="AG530" s="11">
        <f t="shared" si="25"/>
        <v>7.42</v>
      </c>
      <c r="AH530" s="11">
        <v>0</v>
      </c>
      <c r="AI530" s="11">
        <f t="shared" si="26"/>
        <v>7.42</v>
      </c>
      <c r="AJ530" t="s">
        <v>62</v>
      </c>
    </row>
    <row r="531" spans="1:36" ht="15" customHeight="1" x14ac:dyDescent="0.35">
      <c r="A531">
        <v>10428918</v>
      </c>
      <c r="B531" t="s">
        <v>36</v>
      </c>
      <c r="C531" t="s">
        <v>37</v>
      </c>
      <c r="D531" s="6" t="s">
        <v>38</v>
      </c>
      <c r="E531" t="s">
        <v>1722</v>
      </c>
      <c r="F531" t="s">
        <v>40</v>
      </c>
      <c r="G531" t="s">
        <v>41</v>
      </c>
      <c r="H531" t="s">
        <v>1723</v>
      </c>
      <c r="I531" t="s">
        <v>43</v>
      </c>
      <c r="J531">
        <v>2</v>
      </c>
      <c r="K531" t="s">
        <v>44</v>
      </c>
      <c r="L531" t="s">
        <v>45</v>
      </c>
      <c r="M531" t="s">
        <v>46</v>
      </c>
      <c r="N531" s="7">
        <v>3</v>
      </c>
      <c r="O531" s="8">
        <v>45647.641018518516</v>
      </c>
      <c r="P531" s="9">
        <v>45649</v>
      </c>
      <c r="Q531" t="s">
        <v>74</v>
      </c>
      <c r="R531" t="s">
        <v>48</v>
      </c>
      <c r="S531" t="s">
        <v>49</v>
      </c>
      <c r="T531" t="s">
        <v>170</v>
      </c>
      <c r="U531" t="s">
        <v>1724</v>
      </c>
      <c r="V531">
        <v>68100</v>
      </c>
      <c r="W531" t="s">
        <v>48</v>
      </c>
      <c r="X531" t="s">
        <v>350</v>
      </c>
      <c r="Y531" t="s">
        <v>54</v>
      </c>
      <c r="Z531" s="12">
        <f>IF(N531&lt;=1,9,9+0.8*ROUNDUP(N531-1,0))</f>
        <v>10.6</v>
      </c>
      <c r="AA531" s="11">
        <v>-2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24"/>
        <v>0.51600000000000001</v>
      </c>
      <c r="AG531" s="11">
        <f t="shared" si="25"/>
        <v>9.1159999999999997</v>
      </c>
      <c r="AH531" s="11">
        <v>0</v>
      </c>
      <c r="AI531" s="11">
        <f t="shared" si="26"/>
        <v>9.1159999999999997</v>
      </c>
      <c r="AJ531" t="s">
        <v>62</v>
      </c>
    </row>
    <row r="532" spans="1:36" ht="15" customHeight="1" x14ac:dyDescent="0.35">
      <c r="A532">
        <v>10428918</v>
      </c>
      <c r="B532" t="s">
        <v>36</v>
      </c>
      <c r="C532" t="s">
        <v>37</v>
      </c>
      <c r="D532" s="6" t="s">
        <v>38</v>
      </c>
      <c r="E532" t="s">
        <v>1725</v>
      </c>
      <c r="F532" t="s">
        <v>40</v>
      </c>
      <c r="G532" t="s">
        <v>41</v>
      </c>
      <c r="H532" t="s">
        <v>1726</v>
      </c>
      <c r="I532" t="s">
        <v>43</v>
      </c>
      <c r="J532">
        <v>2</v>
      </c>
      <c r="K532" t="s">
        <v>44</v>
      </c>
      <c r="L532" t="s">
        <v>45</v>
      </c>
      <c r="M532" t="s">
        <v>46</v>
      </c>
      <c r="N532" s="7">
        <v>2</v>
      </c>
      <c r="O532" s="8">
        <v>45647.444305555553</v>
      </c>
      <c r="P532" s="9">
        <v>45649</v>
      </c>
      <c r="Q532" t="s">
        <v>74</v>
      </c>
      <c r="R532" t="s">
        <v>48</v>
      </c>
      <c r="S532" t="s">
        <v>49</v>
      </c>
      <c r="T532" t="s">
        <v>75</v>
      </c>
      <c r="U532" t="s">
        <v>1727</v>
      </c>
      <c r="V532">
        <v>25200</v>
      </c>
      <c r="W532" t="s">
        <v>48</v>
      </c>
      <c r="X532" t="s">
        <v>77</v>
      </c>
      <c r="Y532" t="s">
        <v>54</v>
      </c>
      <c r="Z532" s="12">
        <f>IF(N532&lt;=1,9,9+0.8*ROUNDUP(N532-1,0))</f>
        <v>9.8000000000000007</v>
      </c>
      <c r="AA532" s="11">
        <v>-2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24"/>
        <v>0.46800000000000003</v>
      </c>
      <c r="AG532" s="11">
        <f t="shared" si="25"/>
        <v>8.2680000000000007</v>
      </c>
      <c r="AH532" s="11">
        <v>0</v>
      </c>
      <c r="AI532" s="11">
        <f t="shared" si="26"/>
        <v>8.2680000000000007</v>
      </c>
      <c r="AJ532" t="s">
        <v>62</v>
      </c>
    </row>
    <row r="533" spans="1:36" ht="15" customHeight="1" x14ac:dyDescent="0.35">
      <c r="A533">
        <v>10428918</v>
      </c>
      <c r="B533" t="s">
        <v>36</v>
      </c>
      <c r="C533" t="s">
        <v>37</v>
      </c>
      <c r="D533" s="6" t="s">
        <v>38</v>
      </c>
      <c r="E533" t="s">
        <v>1728</v>
      </c>
      <c r="F533" t="s">
        <v>40</v>
      </c>
      <c r="G533" t="s">
        <v>41</v>
      </c>
      <c r="H533" t="s">
        <v>1729</v>
      </c>
      <c r="I533" t="s">
        <v>43</v>
      </c>
      <c r="J533">
        <v>2</v>
      </c>
      <c r="K533" t="s">
        <v>44</v>
      </c>
      <c r="L533" t="s">
        <v>45</v>
      </c>
      <c r="M533" t="s">
        <v>46</v>
      </c>
      <c r="N533" s="7">
        <v>11</v>
      </c>
      <c r="O533" s="8">
        <v>45648.425474537034</v>
      </c>
      <c r="P533" s="9">
        <v>45649</v>
      </c>
      <c r="Q533" t="s">
        <v>74</v>
      </c>
      <c r="R533" t="s">
        <v>48</v>
      </c>
      <c r="S533" t="s">
        <v>49</v>
      </c>
      <c r="T533" t="s">
        <v>170</v>
      </c>
      <c r="U533" t="s">
        <v>1730</v>
      </c>
      <c r="V533">
        <v>56000</v>
      </c>
      <c r="W533" t="s">
        <v>48</v>
      </c>
      <c r="X533" t="s">
        <v>343</v>
      </c>
      <c r="Y533" t="s">
        <v>54</v>
      </c>
      <c r="Z533" s="12">
        <f>IF(N533&lt;=1,9,9+0.8*ROUNDUP(N533-1,0))</f>
        <v>17</v>
      </c>
      <c r="AA533" s="11">
        <v>-2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24"/>
        <v>0.89999999999999991</v>
      </c>
      <c r="AG533" s="11">
        <f t="shared" si="25"/>
        <v>15.9</v>
      </c>
      <c r="AH533" s="11">
        <v>0</v>
      </c>
      <c r="AI533" s="11">
        <f t="shared" si="26"/>
        <v>15.9</v>
      </c>
      <c r="AJ533" t="s">
        <v>62</v>
      </c>
    </row>
    <row r="534" spans="1:36" ht="15" customHeight="1" x14ac:dyDescent="0.35">
      <c r="A534">
        <v>10428918</v>
      </c>
      <c r="B534" t="s">
        <v>36</v>
      </c>
      <c r="C534" t="s">
        <v>37</v>
      </c>
      <c r="D534" s="6" t="s">
        <v>38</v>
      </c>
      <c r="E534" t="s">
        <v>1731</v>
      </c>
      <c r="F534" t="s">
        <v>40</v>
      </c>
      <c r="G534" t="s">
        <v>41</v>
      </c>
      <c r="H534" t="s">
        <v>1732</v>
      </c>
      <c r="I534" t="s">
        <v>43</v>
      </c>
      <c r="J534">
        <v>2</v>
      </c>
      <c r="K534" t="s">
        <v>44</v>
      </c>
      <c r="L534" t="s">
        <v>45</v>
      </c>
      <c r="M534" t="s">
        <v>46</v>
      </c>
      <c r="N534" s="7">
        <v>1</v>
      </c>
      <c r="O534" s="8">
        <v>45648.746793981481</v>
      </c>
      <c r="P534" s="9">
        <v>45649</v>
      </c>
      <c r="Q534" t="s">
        <v>74</v>
      </c>
      <c r="R534" t="s">
        <v>48</v>
      </c>
      <c r="S534" t="s">
        <v>49</v>
      </c>
      <c r="T534" t="s">
        <v>117</v>
      </c>
      <c r="U534" t="s">
        <v>1733</v>
      </c>
      <c r="V534">
        <v>53300</v>
      </c>
      <c r="W534" t="s">
        <v>48</v>
      </c>
      <c r="X534" t="s">
        <v>1329</v>
      </c>
      <c r="Y534" t="s">
        <v>54</v>
      </c>
      <c r="Z534" s="12">
        <f>IF(N534&lt;=1,9,9+0.8*ROUNDUP(N534-1,0))</f>
        <v>9</v>
      </c>
      <c r="AA534" s="11">
        <v>-2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24"/>
        <v>0.42</v>
      </c>
      <c r="AG534" s="11">
        <f t="shared" si="25"/>
        <v>7.42</v>
      </c>
      <c r="AH534" s="11">
        <v>0</v>
      </c>
      <c r="AI534" s="11">
        <f t="shared" si="26"/>
        <v>7.42</v>
      </c>
      <c r="AJ534" t="s">
        <v>62</v>
      </c>
    </row>
    <row r="535" spans="1:36" ht="15" customHeight="1" x14ac:dyDescent="0.35">
      <c r="A535">
        <v>10428918</v>
      </c>
      <c r="B535" t="s">
        <v>36</v>
      </c>
      <c r="C535" t="s">
        <v>37</v>
      </c>
      <c r="D535" s="6" t="s">
        <v>38</v>
      </c>
      <c r="E535" t="s">
        <v>1734</v>
      </c>
      <c r="F535" t="s">
        <v>40</v>
      </c>
      <c r="G535" t="s">
        <v>41</v>
      </c>
      <c r="H535" t="s">
        <v>1735</v>
      </c>
      <c r="I535" t="s">
        <v>43</v>
      </c>
      <c r="J535">
        <v>2</v>
      </c>
      <c r="K535" t="s">
        <v>44</v>
      </c>
      <c r="L535" t="s">
        <v>45</v>
      </c>
      <c r="M535" t="s">
        <v>46</v>
      </c>
      <c r="N535" s="7">
        <v>1</v>
      </c>
      <c r="O535" s="8">
        <v>45647.652488425927</v>
      </c>
      <c r="P535" s="9">
        <v>45649</v>
      </c>
      <c r="Q535" t="s">
        <v>74</v>
      </c>
      <c r="R535" t="s">
        <v>48</v>
      </c>
      <c r="S535" t="s">
        <v>49</v>
      </c>
      <c r="T535" t="s">
        <v>117</v>
      </c>
      <c r="U535" t="s">
        <v>1736</v>
      </c>
      <c r="V535">
        <v>41200</v>
      </c>
      <c r="W535" t="s">
        <v>48</v>
      </c>
      <c r="X535" t="s">
        <v>1458</v>
      </c>
      <c r="Y535" t="s">
        <v>54</v>
      </c>
      <c r="Z535" s="12">
        <f>IF(N535&lt;=1,9,9+0.8*ROUNDUP(N535-1,0))</f>
        <v>9</v>
      </c>
      <c r="AA535" s="11">
        <v>-2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24"/>
        <v>0.42</v>
      </c>
      <c r="AG535" s="11">
        <f t="shared" si="25"/>
        <v>7.42</v>
      </c>
      <c r="AH535" s="11">
        <v>0</v>
      </c>
      <c r="AI535" s="11">
        <f t="shared" si="26"/>
        <v>7.42</v>
      </c>
      <c r="AJ535" t="s">
        <v>62</v>
      </c>
    </row>
    <row r="536" spans="1:36" ht="15" customHeight="1" x14ac:dyDescent="0.35">
      <c r="A536">
        <v>10428918</v>
      </c>
      <c r="B536" t="s">
        <v>36</v>
      </c>
      <c r="C536" t="s">
        <v>37</v>
      </c>
      <c r="D536" s="6" t="s">
        <v>38</v>
      </c>
      <c r="E536" t="s">
        <v>1737</v>
      </c>
      <c r="F536" t="s">
        <v>40</v>
      </c>
      <c r="G536" t="s">
        <v>41</v>
      </c>
      <c r="H536" t="s">
        <v>1738</v>
      </c>
      <c r="I536" t="s">
        <v>43</v>
      </c>
      <c r="J536">
        <v>2</v>
      </c>
      <c r="K536" t="s">
        <v>44</v>
      </c>
      <c r="L536" t="s">
        <v>45</v>
      </c>
      <c r="M536" t="s">
        <v>46</v>
      </c>
      <c r="N536" s="7">
        <v>1</v>
      </c>
      <c r="O536" s="8">
        <v>45647.441145833334</v>
      </c>
      <c r="P536" s="9">
        <v>45649</v>
      </c>
      <c r="Q536" t="s">
        <v>74</v>
      </c>
      <c r="R536" t="s">
        <v>48</v>
      </c>
      <c r="S536" t="s">
        <v>49</v>
      </c>
      <c r="T536" t="s">
        <v>75</v>
      </c>
      <c r="U536" t="s">
        <v>1739</v>
      </c>
      <c r="V536">
        <v>25200</v>
      </c>
      <c r="W536" t="s">
        <v>48</v>
      </c>
      <c r="X536" t="s">
        <v>77</v>
      </c>
      <c r="Y536" t="s">
        <v>54</v>
      </c>
      <c r="Z536" s="12">
        <f>IF(N536&lt;=1,9,9+0.8*ROUNDUP(N536-1,0))</f>
        <v>9</v>
      </c>
      <c r="AA536" s="11">
        <v>-2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24"/>
        <v>0.42</v>
      </c>
      <c r="AG536" s="11">
        <f t="shared" si="25"/>
        <v>7.42</v>
      </c>
      <c r="AH536" s="11">
        <v>0</v>
      </c>
      <c r="AI536" s="11">
        <f t="shared" si="26"/>
        <v>7.42</v>
      </c>
      <c r="AJ536" t="s">
        <v>62</v>
      </c>
    </row>
    <row r="537" spans="1:36" ht="15" customHeight="1" x14ac:dyDescent="0.35">
      <c r="A537">
        <v>10428918</v>
      </c>
      <c r="B537" t="s">
        <v>36</v>
      </c>
      <c r="C537" t="s">
        <v>37</v>
      </c>
      <c r="D537" s="6" t="s">
        <v>38</v>
      </c>
      <c r="E537" t="s">
        <v>1740</v>
      </c>
      <c r="F537" t="s">
        <v>40</v>
      </c>
      <c r="G537" t="s">
        <v>41</v>
      </c>
      <c r="H537" t="s">
        <v>1741</v>
      </c>
      <c r="I537" t="s">
        <v>43</v>
      </c>
      <c r="J537">
        <v>2</v>
      </c>
      <c r="K537" t="s">
        <v>44</v>
      </c>
      <c r="L537" t="s">
        <v>45</v>
      </c>
      <c r="M537" t="s">
        <v>46</v>
      </c>
      <c r="N537" s="7">
        <v>1</v>
      </c>
      <c r="O537" s="8">
        <v>45648.63957175926</v>
      </c>
      <c r="P537" s="9">
        <v>45649</v>
      </c>
      <c r="Q537" t="s">
        <v>74</v>
      </c>
      <c r="R537" t="s">
        <v>48</v>
      </c>
      <c r="S537" t="s">
        <v>49</v>
      </c>
      <c r="T537" t="s">
        <v>117</v>
      </c>
      <c r="U537" t="s">
        <v>1742</v>
      </c>
      <c r="V537">
        <v>41050</v>
      </c>
      <c r="W537" t="s">
        <v>48</v>
      </c>
      <c r="X537" t="s">
        <v>1303</v>
      </c>
      <c r="Y537" t="s">
        <v>54</v>
      </c>
      <c r="Z537" s="12">
        <f>IF(N537&lt;=1,9,9+0.8*ROUNDUP(N537-1,0))</f>
        <v>9</v>
      </c>
      <c r="AA537" s="11">
        <v>-2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24"/>
        <v>0.42</v>
      </c>
      <c r="AG537" s="11">
        <f t="shared" si="25"/>
        <v>7.42</v>
      </c>
      <c r="AH537" s="11">
        <v>0</v>
      </c>
      <c r="AI537" s="11">
        <f t="shared" si="26"/>
        <v>7.42</v>
      </c>
      <c r="AJ537" t="s">
        <v>62</v>
      </c>
    </row>
    <row r="538" spans="1:36" ht="15" customHeight="1" x14ac:dyDescent="0.35">
      <c r="A538">
        <v>10428918</v>
      </c>
      <c r="B538" t="s">
        <v>36</v>
      </c>
      <c r="C538" t="s">
        <v>37</v>
      </c>
      <c r="D538" s="6" t="s">
        <v>38</v>
      </c>
      <c r="E538" t="s">
        <v>1743</v>
      </c>
      <c r="F538" t="s">
        <v>40</v>
      </c>
      <c r="G538" t="s">
        <v>41</v>
      </c>
      <c r="H538" t="s">
        <v>1744</v>
      </c>
      <c r="I538" t="s">
        <v>43</v>
      </c>
      <c r="J538">
        <v>2</v>
      </c>
      <c r="K538" t="s">
        <v>44</v>
      </c>
      <c r="L538" t="s">
        <v>45</v>
      </c>
      <c r="M538" t="s">
        <v>46</v>
      </c>
      <c r="N538" s="7">
        <v>1</v>
      </c>
      <c r="O538" s="8">
        <v>45647.816828703704</v>
      </c>
      <c r="P538" s="9">
        <v>45649</v>
      </c>
      <c r="Q538" t="s">
        <v>74</v>
      </c>
      <c r="R538" t="s">
        <v>48</v>
      </c>
      <c r="S538" t="s">
        <v>49</v>
      </c>
      <c r="T538" t="s">
        <v>90</v>
      </c>
      <c r="U538" t="s">
        <v>1745</v>
      </c>
      <c r="V538">
        <v>21450</v>
      </c>
      <c r="W538" t="s">
        <v>48</v>
      </c>
      <c r="X538" t="s">
        <v>92</v>
      </c>
      <c r="Y538" t="s">
        <v>54</v>
      </c>
      <c r="Z538" s="12">
        <f>IF(N538&lt;=1,9,9+0.8*ROUNDUP(N538-1,0))</f>
        <v>9</v>
      </c>
      <c r="AA538" s="11">
        <v>-2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24"/>
        <v>0.42</v>
      </c>
      <c r="AG538" s="11">
        <f t="shared" si="25"/>
        <v>7.42</v>
      </c>
      <c r="AH538" s="11">
        <v>0</v>
      </c>
      <c r="AI538" s="11">
        <f t="shared" si="26"/>
        <v>7.42</v>
      </c>
      <c r="AJ538" t="s">
        <v>62</v>
      </c>
    </row>
    <row r="539" spans="1:36" ht="15" customHeight="1" x14ac:dyDescent="0.35">
      <c r="A539">
        <v>10428918</v>
      </c>
      <c r="B539" t="s">
        <v>36</v>
      </c>
      <c r="C539" t="s">
        <v>37</v>
      </c>
      <c r="D539" s="6" t="s">
        <v>38</v>
      </c>
      <c r="E539" t="s">
        <v>1746</v>
      </c>
      <c r="F539" t="s">
        <v>40</v>
      </c>
      <c r="G539" t="s">
        <v>41</v>
      </c>
      <c r="H539" t="s">
        <v>1747</v>
      </c>
      <c r="I539" t="s">
        <v>43</v>
      </c>
      <c r="J539">
        <v>2</v>
      </c>
      <c r="K539" t="s">
        <v>44</v>
      </c>
      <c r="L539" t="s">
        <v>45</v>
      </c>
      <c r="M539" t="s">
        <v>46</v>
      </c>
      <c r="N539" s="7">
        <v>2</v>
      </c>
      <c r="O539" s="8">
        <v>45647.80872685185</v>
      </c>
      <c r="P539" s="9">
        <v>45649</v>
      </c>
      <c r="Q539" t="s">
        <v>74</v>
      </c>
      <c r="R539" t="s">
        <v>48</v>
      </c>
      <c r="S539" t="s">
        <v>49</v>
      </c>
      <c r="T539" t="s">
        <v>90</v>
      </c>
      <c r="U539" t="s">
        <v>1748</v>
      </c>
      <c r="V539">
        <v>22200</v>
      </c>
      <c r="W539" t="s">
        <v>48</v>
      </c>
      <c r="X539" t="s">
        <v>61</v>
      </c>
      <c r="Y539" t="s">
        <v>54</v>
      </c>
      <c r="Z539" s="12">
        <f>IF(N539&lt;=1,9,9+0.8*ROUNDUP(N539-1,0))</f>
        <v>9.8000000000000007</v>
      </c>
      <c r="AA539" s="11">
        <v>-2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24"/>
        <v>0.46800000000000003</v>
      </c>
      <c r="AG539" s="11">
        <f t="shared" si="25"/>
        <v>8.2680000000000007</v>
      </c>
      <c r="AH539" s="11">
        <v>0</v>
      </c>
      <c r="AI539" s="11">
        <f t="shared" si="26"/>
        <v>8.2680000000000007</v>
      </c>
      <c r="AJ539" t="s">
        <v>62</v>
      </c>
    </row>
    <row r="540" spans="1:36" ht="15" customHeight="1" x14ac:dyDescent="0.35">
      <c r="A540">
        <v>10428918</v>
      </c>
      <c r="B540" t="s">
        <v>36</v>
      </c>
      <c r="C540" t="s">
        <v>37</v>
      </c>
      <c r="D540" s="6" t="s">
        <v>38</v>
      </c>
      <c r="E540" t="s">
        <v>1749</v>
      </c>
      <c r="F540" t="s">
        <v>40</v>
      </c>
      <c r="G540" t="s">
        <v>41</v>
      </c>
      <c r="H540" t="s">
        <v>1750</v>
      </c>
      <c r="I540" t="s">
        <v>43</v>
      </c>
      <c r="J540">
        <v>2</v>
      </c>
      <c r="K540" t="s">
        <v>44</v>
      </c>
      <c r="L540" t="s">
        <v>45</v>
      </c>
      <c r="M540" t="s">
        <v>46</v>
      </c>
      <c r="N540" s="7">
        <v>1</v>
      </c>
      <c r="O540" s="8">
        <v>45648.501817129632</v>
      </c>
      <c r="P540" s="9">
        <v>45649</v>
      </c>
      <c r="Q540" t="s">
        <v>74</v>
      </c>
      <c r="R540" t="s">
        <v>48</v>
      </c>
      <c r="S540" t="s">
        <v>49</v>
      </c>
      <c r="T540" t="s">
        <v>117</v>
      </c>
      <c r="U540" t="s">
        <v>1751</v>
      </c>
      <c r="V540">
        <v>44300</v>
      </c>
      <c r="W540" t="s">
        <v>48</v>
      </c>
      <c r="X540" t="s">
        <v>1279</v>
      </c>
      <c r="Y540" t="s">
        <v>54</v>
      </c>
      <c r="Z540" s="12">
        <f>IF(N540&lt;=1,9,9+0.8*ROUNDUP(N540-1,0))</f>
        <v>9</v>
      </c>
      <c r="AA540" s="11">
        <v>-2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24"/>
        <v>0.42</v>
      </c>
      <c r="AG540" s="11">
        <f t="shared" si="25"/>
        <v>7.42</v>
      </c>
      <c r="AH540" s="11">
        <v>0</v>
      </c>
      <c r="AI540" s="11">
        <f t="shared" si="26"/>
        <v>7.42</v>
      </c>
      <c r="AJ540" t="s">
        <v>62</v>
      </c>
    </row>
    <row r="541" spans="1:36" ht="15" customHeight="1" x14ac:dyDescent="0.35">
      <c r="A541">
        <v>10428918</v>
      </c>
      <c r="B541" t="s">
        <v>36</v>
      </c>
      <c r="C541" t="s">
        <v>37</v>
      </c>
      <c r="D541" s="6" t="s">
        <v>38</v>
      </c>
      <c r="E541" t="s">
        <v>1752</v>
      </c>
      <c r="F541" t="s">
        <v>40</v>
      </c>
      <c r="G541" t="s">
        <v>41</v>
      </c>
      <c r="H541" t="s">
        <v>1753</v>
      </c>
      <c r="I541" t="s">
        <v>43</v>
      </c>
      <c r="J541">
        <v>2</v>
      </c>
      <c r="K541" t="s">
        <v>44</v>
      </c>
      <c r="L541" t="s">
        <v>45</v>
      </c>
      <c r="M541" t="s">
        <v>46</v>
      </c>
      <c r="N541" s="7">
        <v>1</v>
      </c>
      <c r="O541" s="8">
        <v>45647.426979166667</v>
      </c>
      <c r="P541" s="9">
        <v>45649</v>
      </c>
      <c r="Q541" t="s">
        <v>74</v>
      </c>
      <c r="R541" t="s">
        <v>48</v>
      </c>
      <c r="S541" t="s">
        <v>49</v>
      </c>
      <c r="T541" t="s">
        <v>85</v>
      </c>
      <c r="U541" t="s">
        <v>1754</v>
      </c>
      <c r="V541">
        <v>71400</v>
      </c>
      <c r="W541" t="s">
        <v>48</v>
      </c>
      <c r="X541" t="s">
        <v>114</v>
      </c>
      <c r="Y541" t="s">
        <v>54</v>
      </c>
      <c r="Z541" s="12">
        <f>IF(N541&lt;=1,9,9+0.8*ROUNDUP(N541-1,0))</f>
        <v>9</v>
      </c>
      <c r="AA541" s="11">
        <v>-2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24"/>
        <v>0.42</v>
      </c>
      <c r="AG541" s="11">
        <f t="shared" si="25"/>
        <v>7.42</v>
      </c>
      <c r="AH541" s="11">
        <v>0</v>
      </c>
      <c r="AI541" s="11">
        <f t="shared" si="26"/>
        <v>7.42</v>
      </c>
      <c r="AJ541" t="s">
        <v>62</v>
      </c>
    </row>
    <row r="542" spans="1:36" ht="15" customHeight="1" x14ac:dyDescent="0.35">
      <c r="A542">
        <v>10428918</v>
      </c>
      <c r="B542" t="s">
        <v>36</v>
      </c>
      <c r="C542" t="s">
        <v>37</v>
      </c>
      <c r="D542" s="6" t="s">
        <v>38</v>
      </c>
      <c r="E542" t="s">
        <v>1755</v>
      </c>
      <c r="F542" t="s">
        <v>40</v>
      </c>
      <c r="G542" t="s">
        <v>41</v>
      </c>
      <c r="H542" t="s">
        <v>1756</v>
      </c>
      <c r="I542" t="s">
        <v>43</v>
      </c>
      <c r="J542">
        <v>2</v>
      </c>
      <c r="K542" t="s">
        <v>44</v>
      </c>
      <c r="L542" t="s">
        <v>45</v>
      </c>
      <c r="M542" t="s">
        <v>46</v>
      </c>
      <c r="N542" s="7">
        <v>1</v>
      </c>
      <c r="O542" s="8">
        <v>45647.441134259258</v>
      </c>
      <c r="P542" s="9">
        <v>45649</v>
      </c>
      <c r="Q542" t="s">
        <v>74</v>
      </c>
      <c r="R542" t="s">
        <v>48</v>
      </c>
      <c r="S542" t="s">
        <v>49</v>
      </c>
      <c r="T542" t="s">
        <v>85</v>
      </c>
      <c r="U542" t="s">
        <v>1757</v>
      </c>
      <c r="V542">
        <v>71950</v>
      </c>
      <c r="W542" t="s">
        <v>48</v>
      </c>
      <c r="X542" t="s">
        <v>503</v>
      </c>
      <c r="Y542" t="s">
        <v>54</v>
      </c>
      <c r="Z542" s="12">
        <f>IF(N542&lt;=1,9,9+0.8*ROUNDUP(N542-1,0))</f>
        <v>9</v>
      </c>
      <c r="AA542" s="11">
        <v>-2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24"/>
        <v>0.42</v>
      </c>
      <c r="AG542" s="11">
        <f t="shared" si="25"/>
        <v>7.42</v>
      </c>
      <c r="AH542" s="11">
        <v>0</v>
      </c>
      <c r="AI542" s="11">
        <f t="shared" si="26"/>
        <v>7.42</v>
      </c>
      <c r="AJ542" t="s">
        <v>62</v>
      </c>
    </row>
    <row r="543" spans="1:36" ht="15" customHeight="1" x14ac:dyDescent="0.35">
      <c r="A543">
        <v>10428918</v>
      </c>
      <c r="B543" t="s">
        <v>36</v>
      </c>
      <c r="C543" t="s">
        <v>37</v>
      </c>
      <c r="D543" s="6" t="s">
        <v>38</v>
      </c>
      <c r="E543" t="s">
        <v>1758</v>
      </c>
      <c r="F543" t="s">
        <v>40</v>
      </c>
      <c r="G543" t="s">
        <v>41</v>
      </c>
      <c r="H543" t="s">
        <v>1759</v>
      </c>
      <c r="I543" t="s">
        <v>43</v>
      </c>
      <c r="J543">
        <v>2</v>
      </c>
      <c r="K543" t="s">
        <v>44</v>
      </c>
      <c r="L543" t="s">
        <v>45</v>
      </c>
      <c r="M543" t="s">
        <v>46</v>
      </c>
      <c r="N543" s="7">
        <v>2</v>
      </c>
      <c r="O543" s="8">
        <v>45647.822835648149</v>
      </c>
      <c r="P543" s="9">
        <v>45649</v>
      </c>
      <c r="Q543" t="s">
        <v>74</v>
      </c>
      <c r="R543" t="s">
        <v>48</v>
      </c>
      <c r="S543" t="s">
        <v>49</v>
      </c>
      <c r="T543" t="s">
        <v>117</v>
      </c>
      <c r="U543" t="s">
        <v>1760</v>
      </c>
      <c r="V543">
        <v>47000</v>
      </c>
      <c r="W543" t="s">
        <v>48</v>
      </c>
      <c r="X543" t="s">
        <v>556</v>
      </c>
      <c r="Y543" t="s">
        <v>54</v>
      </c>
      <c r="Z543" s="12">
        <f>IF(N543&lt;=1,9,9+0.8*ROUNDUP(N543-1,0))</f>
        <v>9.8000000000000007</v>
      </c>
      <c r="AA543" s="11">
        <v>-2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24"/>
        <v>0.46800000000000003</v>
      </c>
      <c r="AG543" s="11">
        <f t="shared" si="25"/>
        <v>8.2680000000000007</v>
      </c>
      <c r="AH543" s="11">
        <v>0</v>
      </c>
      <c r="AI543" s="11">
        <f t="shared" si="26"/>
        <v>8.2680000000000007</v>
      </c>
      <c r="AJ543" t="s">
        <v>62</v>
      </c>
    </row>
    <row r="544" spans="1:36" ht="15" customHeight="1" x14ac:dyDescent="0.35">
      <c r="A544">
        <v>10428918</v>
      </c>
      <c r="B544" t="s">
        <v>36</v>
      </c>
      <c r="C544" t="s">
        <v>37</v>
      </c>
      <c r="D544" s="6" t="s">
        <v>38</v>
      </c>
      <c r="E544" t="s">
        <v>1761</v>
      </c>
      <c r="F544" t="s">
        <v>40</v>
      </c>
      <c r="G544" t="s">
        <v>41</v>
      </c>
      <c r="H544" t="s">
        <v>1762</v>
      </c>
      <c r="I544" t="s">
        <v>43</v>
      </c>
      <c r="J544">
        <v>2</v>
      </c>
      <c r="K544" t="s">
        <v>44</v>
      </c>
      <c r="L544" t="s">
        <v>45</v>
      </c>
      <c r="M544" t="s">
        <v>46</v>
      </c>
      <c r="N544" s="7">
        <v>2</v>
      </c>
      <c r="O544" s="8">
        <v>45647.645868055559</v>
      </c>
      <c r="P544" s="9">
        <v>45649</v>
      </c>
      <c r="Q544" t="s">
        <v>74</v>
      </c>
      <c r="R544" t="s">
        <v>48</v>
      </c>
      <c r="S544" t="s">
        <v>49</v>
      </c>
      <c r="T544" t="s">
        <v>80</v>
      </c>
      <c r="U544" t="s">
        <v>1763</v>
      </c>
      <c r="V544">
        <v>6100</v>
      </c>
      <c r="W544" t="s">
        <v>48</v>
      </c>
      <c r="X544" t="s">
        <v>92</v>
      </c>
      <c r="Y544" t="s">
        <v>54</v>
      </c>
      <c r="Z544" s="12">
        <f>IF(N544&lt;=1,9,9+0.8*ROUNDUP(N544-1,0))</f>
        <v>9.8000000000000007</v>
      </c>
      <c r="AA544" s="11">
        <v>-2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24"/>
        <v>0.46800000000000003</v>
      </c>
      <c r="AG544" s="11">
        <f t="shared" si="25"/>
        <v>8.2680000000000007</v>
      </c>
      <c r="AH544" s="11">
        <v>0</v>
      </c>
      <c r="AI544" s="11">
        <f t="shared" si="26"/>
        <v>8.2680000000000007</v>
      </c>
      <c r="AJ544" t="s">
        <v>62</v>
      </c>
    </row>
    <row r="545" spans="1:36" ht="15" customHeight="1" x14ac:dyDescent="0.35">
      <c r="A545">
        <v>10428918</v>
      </c>
      <c r="B545" t="s">
        <v>36</v>
      </c>
      <c r="C545" t="s">
        <v>37</v>
      </c>
      <c r="D545" s="6" t="s">
        <v>38</v>
      </c>
      <c r="E545" t="s">
        <v>1764</v>
      </c>
      <c r="F545" t="s">
        <v>40</v>
      </c>
      <c r="G545" t="s">
        <v>41</v>
      </c>
      <c r="H545" t="s">
        <v>1765</v>
      </c>
      <c r="I545" t="s">
        <v>43</v>
      </c>
      <c r="J545">
        <v>2</v>
      </c>
      <c r="K545" t="s">
        <v>44</v>
      </c>
      <c r="L545" t="s">
        <v>45</v>
      </c>
      <c r="M545" t="s">
        <v>46</v>
      </c>
      <c r="N545" s="7">
        <v>1</v>
      </c>
      <c r="O545" s="8">
        <v>45647.80872685185</v>
      </c>
      <c r="P545" s="9">
        <v>45649</v>
      </c>
      <c r="Q545" t="s">
        <v>74</v>
      </c>
      <c r="R545" t="s">
        <v>48</v>
      </c>
      <c r="S545" t="s">
        <v>49</v>
      </c>
      <c r="T545" t="s">
        <v>75</v>
      </c>
      <c r="U545" t="s">
        <v>1766</v>
      </c>
      <c r="V545">
        <v>26400</v>
      </c>
      <c r="W545" t="s">
        <v>48</v>
      </c>
      <c r="X545" t="s">
        <v>77</v>
      </c>
      <c r="Y545" t="s">
        <v>54</v>
      </c>
      <c r="Z545" s="12">
        <f>IF(N545&lt;=1,9,9+0.8*ROUNDUP(N545-1,0))</f>
        <v>9</v>
      </c>
      <c r="AA545" s="11">
        <v>-2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24"/>
        <v>0.42</v>
      </c>
      <c r="AG545" s="11">
        <f t="shared" si="25"/>
        <v>7.42</v>
      </c>
      <c r="AH545" s="11">
        <v>0</v>
      </c>
      <c r="AI545" s="11">
        <f t="shared" si="26"/>
        <v>7.42</v>
      </c>
      <c r="AJ545" t="s">
        <v>62</v>
      </c>
    </row>
    <row r="546" spans="1:36" ht="15" customHeight="1" x14ac:dyDescent="0.35">
      <c r="A546">
        <v>10428918</v>
      </c>
      <c r="B546" t="s">
        <v>36</v>
      </c>
      <c r="C546" t="s">
        <v>37</v>
      </c>
      <c r="D546" s="6" t="s">
        <v>38</v>
      </c>
      <c r="E546" t="s">
        <v>1767</v>
      </c>
      <c r="F546" t="s">
        <v>40</v>
      </c>
      <c r="G546" t="s">
        <v>41</v>
      </c>
      <c r="H546" t="s">
        <v>1768</v>
      </c>
      <c r="I546" t="s">
        <v>43</v>
      </c>
      <c r="J546">
        <v>2</v>
      </c>
      <c r="K546" t="s">
        <v>44</v>
      </c>
      <c r="L546" t="s">
        <v>45</v>
      </c>
      <c r="M546" t="s">
        <v>46</v>
      </c>
      <c r="N546" s="7">
        <v>1</v>
      </c>
      <c r="O546" s="8">
        <v>45647.415173611109</v>
      </c>
      <c r="P546" s="9">
        <v>45649</v>
      </c>
      <c r="Q546" t="s">
        <v>74</v>
      </c>
      <c r="R546" t="s">
        <v>48</v>
      </c>
      <c r="S546" t="s">
        <v>49</v>
      </c>
      <c r="T546" t="s">
        <v>161</v>
      </c>
      <c r="U546" t="s">
        <v>1769</v>
      </c>
      <c r="V546">
        <v>13300</v>
      </c>
      <c r="W546" t="s">
        <v>48</v>
      </c>
      <c r="X546" t="s">
        <v>53</v>
      </c>
      <c r="Y546" t="s">
        <v>54</v>
      </c>
      <c r="Z546" s="12">
        <f>IF(N546&lt;=1,9,9+0.8*ROUNDUP(N546-1,0))</f>
        <v>9</v>
      </c>
      <c r="AA546" s="11">
        <v>-2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24"/>
        <v>0.42</v>
      </c>
      <c r="AG546" s="11">
        <f t="shared" si="25"/>
        <v>7.42</v>
      </c>
      <c r="AH546" s="11">
        <v>0</v>
      </c>
      <c r="AI546" s="11">
        <f t="shared" si="26"/>
        <v>7.42</v>
      </c>
      <c r="AJ546" t="s">
        <v>62</v>
      </c>
    </row>
    <row r="547" spans="1:36" ht="15" customHeight="1" x14ac:dyDescent="0.35">
      <c r="A547">
        <v>10428918</v>
      </c>
      <c r="B547" t="s">
        <v>36</v>
      </c>
      <c r="C547" t="s">
        <v>37</v>
      </c>
      <c r="D547" s="6" t="s">
        <v>38</v>
      </c>
      <c r="E547" t="s">
        <v>1770</v>
      </c>
      <c r="F547" t="s">
        <v>40</v>
      </c>
      <c r="G547" t="s">
        <v>41</v>
      </c>
      <c r="H547" t="s">
        <v>1771</v>
      </c>
      <c r="I547" t="s">
        <v>43</v>
      </c>
      <c r="J547">
        <v>2</v>
      </c>
      <c r="K547" t="s">
        <v>44</v>
      </c>
      <c r="L547" t="s">
        <v>45</v>
      </c>
      <c r="M547" t="s">
        <v>46</v>
      </c>
      <c r="N547" s="7">
        <v>1</v>
      </c>
      <c r="O547" s="8">
        <v>45647.652488425927</v>
      </c>
      <c r="P547" s="9">
        <v>45649</v>
      </c>
      <c r="Q547" t="s">
        <v>74</v>
      </c>
      <c r="R547" t="s">
        <v>48</v>
      </c>
      <c r="S547" t="s">
        <v>49</v>
      </c>
      <c r="T547" t="s">
        <v>69</v>
      </c>
      <c r="U547" t="s">
        <v>1772</v>
      </c>
      <c r="V547">
        <v>81100</v>
      </c>
      <c r="W547" t="s">
        <v>48</v>
      </c>
      <c r="X547" t="s">
        <v>552</v>
      </c>
      <c r="Y547" t="s">
        <v>54</v>
      </c>
      <c r="Z547" s="12">
        <f>IF(N547&lt;=1,9,9+0.8*ROUNDUP(N547-1,0))</f>
        <v>9</v>
      </c>
      <c r="AA547" s="11">
        <v>-2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24"/>
        <v>0.42</v>
      </c>
      <c r="AG547" s="11">
        <f t="shared" si="25"/>
        <v>7.42</v>
      </c>
      <c r="AH547" s="11">
        <v>0</v>
      </c>
      <c r="AI547" s="11">
        <f t="shared" si="26"/>
        <v>7.42</v>
      </c>
      <c r="AJ547" t="s">
        <v>62</v>
      </c>
    </row>
    <row r="548" spans="1:36" ht="15" customHeight="1" x14ac:dyDescent="0.35">
      <c r="A548">
        <v>10428918</v>
      </c>
      <c r="B548" t="s">
        <v>36</v>
      </c>
      <c r="C548" t="s">
        <v>37</v>
      </c>
      <c r="D548" s="6" t="s">
        <v>38</v>
      </c>
      <c r="E548" t="s">
        <v>1773</v>
      </c>
      <c r="F548" t="s">
        <v>40</v>
      </c>
      <c r="G548" t="s">
        <v>41</v>
      </c>
      <c r="H548" t="s">
        <v>1774</v>
      </c>
      <c r="I548" t="s">
        <v>43</v>
      </c>
      <c r="J548">
        <v>2</v>
      </c>
      <c r="K548" t="s">
        <v>44</v>
      </c>
      <c r="L548" t="s">
        <v>45</v>
      </c>
      <c r="M548" t="s">
        <v>46</v>
      </c>
      <c r="N548" s="7">
        <v>2</v>
      </c>
      <c r="O548" s="8">
        <v>45648.639247685183</v>
      </c>
      <c r="P548" s="9">
        <v>45649</v>
      </c>
      <c r="Q548" t="s">
        <v>74</v>
      </c>
      <c r="R548" t="s">
        <v>48</v>
      </c>
      <c r="S548" t="s">
        <v>49</v>
      </c>
      <c r="T548" t="s">
        <v>117</v>
      </c>
      <c r="U548" t="s">
        <v>1775</v>
      </c>
      <c r="V548">
        <v>42200</v>
      </c>
      <c r="W548" t="s">
        <v>48</v>
      </c>
      <c r="X548" t="s">
        <v>1303</v>
      </c>
      <c r="Y548" t="s">
        <v>54</v>
      </c>
      <c r="Z548" s="12">
        <f>IF(N548&lt;=1,9,9+0.8*ROUNDUP(N548-1,0))</f>
        <v>9.8000000000000007</v>
      </c>
      <c r="AA548" s="11">
        <v>-2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24"/>
        <v>0.46800000000000003</v>
      </c>
      <c r="AG548" s="11">
        <f t="shared" si="25"/>
        <v>8.2680000000000007</v>
      </c>
      <c r="AH548" s="11">
        <v>0</v>
      </c>
      <c r="AI548" s="11">
        <f t="shared" si="26"/>
        <v>8.2680000000000007</v>
      </c>
      <c r="AJ548" t="s">
        <v>62</v>
      </c>
    </row>
    <row r="549" spans="1:36" ht="15" customHeight="1" x14ac:dyDescent="0.35">
      <c r="A549">
        <v>10428918</v>
      </c>
      <c r="B549" t="s">
        <v>36</v>
      </c>
      <c r="C549" t="s">
        <v>37</v>
      </c>
      <c r="D549" s="6" t="s">
        <v>38</v>
      </c>
      <c r="E549" t="s">
        <v>1776</v>
      </c>
      <c r="F549" t="s">
        <v>40</v>
      </c>
      <c r="G549" t="s">
        <v>41</v>
      </c>
      <c r="H549" t="s">
        <v>1777</v>
      </c>
      <c r="I549" t="s">
        <v>43</v>
      </c>
      <c r="J549">
        <v>2</v>
      </c>
      <c r="K549" t="s">
        <v>44</v>
      </c>
      <c r="L549" t="s">
        <v>45</v>
      </c>
      <c r="M549" t="s">
        <v>46</v>
      </c>
      <c r="N549" s="7">
        <v>1</v>
      </c>
      <c r="O549" s="8">
        <v>45648.648877314816</v>
      </c>
      <c r="P549" s="9">
        <v>45649</v>
      </c>
      <c r="Q549" t="s">
        <v>74</v>
      </c>
      <c r="R549" t="s">
        <v>48</v>
      </c>
      <c r="S549" t="s">
        <v>49</v>
      </c>
      <c r="T549" t="s">
        <v>117</v>
      </c>
      <c r="U549" t="s">
        <v>1778</v>
      </c>
      <c r="V549">
        <v>43700</v>
      </c>
      <c r="W549" t="s">
        <v>48</v>
      </c>
      <c r="X549" t="s">
        <v>398</v>
      </c>
      <c r="Y549" t="s">
        <v>54</v>
      </c>
      <c r="Z549" s="12">
        <f>IF(N549&lt;=1,9,9+0.8*ROUNDUP(N549-1,0))</f>
        <v>9</v>
      </c>
      <c r="AA549" s="11">
        <v>-2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24"/>
        <v>0.42</v>
      </c>
      <c r="AG549" s="11">
        <f t="shared" si="25"/>
        <v>7.42</v>
      </c>
      <c r="AH549" s="11">
        <v>0</v>
      </c>
      <c r="AI549" s="11">
        <f t="shared" si="26"/>
        <v>7.42</v>
      </c>
      <c r="AJ549" t="s">
        <v>62</v>
      </c>
    </row>
    <row r="550" spans="1:36" ht="15" customHeight="1" x14ac:dyDescent="0.35">
      <c r="A550">
        <v>10428918</v>
      </c>
      <c r="B550" t="s">
        <v>36</v>
      </c>
      <c r="C550" t="s">
        <v>37</v>
      </c>
      <c r="D550" s="6" t="s">
        <v>38</v>
      </c>
      <c r="E550" t="s">
        <v>1779</v>
      </c>
      <c r="F550" t="s">
        <v>40</v>
      </c>
      <c r="G550" t="s">
        <v>41</v>
      </c>
      <c r="H550" t="s">
        <v>1780</v>
      </c>
      <c r="I550" t="s">
        <v>43</v>
      </c>
      <c r="J550">
        <v>2</v>
      </c>
      <c r="K550" t="s">
        <v>44</v>
      </c>
      <c r="L550" t="s">
        <v>45</v>
      </c>
      <c r="M550" t="s">
        <v>46</v>
      </c>
      <c r="N550" s="7">
        <v>1</v>
      </c>
      <c r="O550" s="8">
        <v>45646.605810185189</v>
      </c>
      <c r="P550" s="9">
        <v>45649</v>
      </c>
      <c r="Q550" t="s">
        <v>74</v>
      </c>
      <c r="R550" t="s">
        <v>48</v>
      </c>
      <c r="S550" t="s">
        <v>49</v>
      </c>
      <c r="T550" t="s">
        <v>161</v>
      </c>
      <c r="U550" t="s">
        <v>1781</v>
      </c>
      <c r="V550">
        <v>10470</v>
      </c>
      <c r="W550" t="s">
        <v>48</v>
      </c>
      <c r="X550" t="s">
        <v>163</v>
      </c>
      <c r="Y550" t="s">
        <v>54</v>
      </c>
      <c r="Z550" s="12">
        <f>IF(N550&lt;=1,9,9+0.8*ROUNDUP(N550-1,0))</f>
        <v>9</v>
      </c>
      <c r="AA550" s="11">
        <v>-2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24"/>
        <v>0.42</v>
      </c>
      <c r="AG550" s="11">
        <f t="shared" si="25"/>
        <v>7.42</v>
      </c>
      <c r="AH550" s="11">
        <v>0</v>
      </c>
      <c r="AI550" s="11">
        <f t="shared" si="26"/>
        <v>7.42</v>
      </c>
      <c r="AJ550" t="s">
        <v>62</v>
      </c>
    </row>
    <row r="551" spans="1:36" ht="15" customHeight="1" x14ac:dyDescent="0.35">
      <c r="A551">
        <v>10428918</v>
      </c>
      <c r="B551" t="s">
        <v>36</v>
      </c>
      <c r="C551" t="s">
        <v>37</v>
      </c>
      <c r="D551" s="6" t="s">
        <v>38</v>
      </c>
      <c r="E551" t="s">
        <v>1782</v>
      </c>
      <c r="F551" t="s">
        <v>40</v>
      </c>
      <c r="G551" t="s">
        <v>41</v>
      </c>
      <c r="H551" t="s">
        <v>1783</v>
      </c>
      <c r="I551" t="s">
        <v>43</v>
      </c>
      <c r="J551">
        <v>2</v>
      </c>
      <c r="K551" t="s">
        <v>44</v>
      </c>
      <c r="L551" t="s">
        <v>45</v>
      </c>
      <c r="M551" t="s">
        <v>46</v>
      </c>
      <c r="N551" s="7">
        <v>1</v>
      </c>
      <c r="O551" s="8">
        <v>45647.80872685185</v>
      </c>
      <c r="P551" s="9">
        <v>45649</v>
      </c>
      <c r="Q551" t="s">
        <v>74</v>
      </c>
      <c r="R551" t="s">
        <v>48</v>
      </c>
      <c r="S551" t="s">
        <v>49</v>
      </c>
      <c r="T551" t="s">
        <v>75</v>
      </c>
      <c r="U551" t="s">
        <v>1784</v>
      </c>
      <c r="V551">
        <v>25150</v>
      </c>
      <c r="W551" t="s">
        <v>48</v>
      </c>
      <c r="X551" t="s">
        <v>77</v>
      </c>
      <c r="Y551" t="s">
        <v>54</v>
      </c>
      <c r="Z551" s="12">
        <f>IF(N551&lt;=1,9,9+0.8*ROUNDUP(N551-1,0))</f>
        <v>9</v>
      </c>
      <c r="AA551" s="11">
        <v>-2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24"/>
        <v>0.42</v>
      </c>
      <c r="AG551" s="11">
        <f t="shared" si="25"/>
        <v>7.42</v>
      </c>
      <c r="AH551" s="11">
        <v>0</v>
      </c>
      <c r="AI551" s="11">
        <f t="shared" si="26"/>
        <v>7.42</v>
      </c>
      <c r="AJ551" t="s">
        <v>62</v>
      </c>
    </row>
    <row r="552" spans="1:36" ht="15" customHeight="1" x14ac:dyDescent="0.35">
      <c r="A552">
        <v>10428918</v>
      </c>
      <c r="B552" t="s">
        <v>36</v>
      </c>
      <c r="C552" t="s">
        <v>37</v>
      </c>
      <c r="D552" s="6" t="s">
        <v>38</v>
      </c>
      <c r="E552" t="s">
        <v>1785</v>
      </c>
      <c r="F552" t="s">
        <v>40</v>
      </c>
      <c r="G552" t="s">
        <v>41</v>
      </c>
      <c r="H552" t="s">
        <v>1786</v>
      </c>
      <c r="I552" t="s">
        <v>43</v>
      </c>
      <c r="J552">
        <v>2</v>
      </c>
      <c r="K552" t="s">
        <v>44</v>
      </c>
      <c r="L552" t="s">
        <v>45</v>
      </c>
      <c r="M552" t="s">
        <v>46</v>
      </c>
      <c r="N552" s="7">
        <v>1</v>
      </c>
      <c r="O552" s="8">
        <v>45647.733576388891</v>
      </c>
      <c r="P552" s="9">
        <v>45649</v>
      </c>
      <c r="Q552" t="s">
        <v>74</v>
      </c>
      <c r="R552" t="s">
        <v>48</v>
      </c>
      <c r="S552" t="s">
        <v>49</v>
      </c>
      <c r="T552" t="s">
        <v>80</v>
      </c>
      <c r="U552" t="s">
        <v>1787</v>
      </c>
      <c r="V552">
        <v>9000</v>
      </c>
      <c r="W552" t="s">
        <v>48</v>
      </c>
      <c r="X552" t="s">
        <v>690</v>
      </c>
      <c r="Y552" t="s">
        <v>54</v>
      </c>
      <c r="Z552" s="12">
        <f>IF(N552&lt;=1,9,9+0.8*ROUNDUP(N552-1,0))</f>
        <v>9</v>
      </c>
      <c r="AA552" s="11">
        <v>-2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24"/>
        <v>0.42</v>
      </c>
      <c r="AG552" s="11">
        <f t="shared" si="25"/>
        <v>7.42</v>
      </c>
      <c r="AH552" s="11">
        <v>0</v>
      </c>
      <c r="AI552" s="11">
        <f t="shared" si="26"/>
        <v>7.42</v>
      </c>
      <c r="AJ552" t="s">
        <v>62</v>
      </c>
    </row>
    <row r="553" spans="1:36" ht="15" customHeight="1" x14ac:dyDescent="0.35">
      <c r="A553">
        <v>10428918</v>
      </c>
      <c r="B553" t="s">
        <v>36</v>
      </c>
      <c r="C553" t="s">
        <v>37</v>
      </c>
      <c r="D553" s="6" t="s">
        <v>38</v>
      </c>
      <c r="E553" t="s">
        <v>1788</v>
      </c>
      <c r="F553" t="s">
        <v>40</v>
      </c>
      <c r="G553" t="s">
        <v>41</v>
      </c>
      <c r="H553" t="s">
        <v>1789</v>
      </c>
      <c r="I553" t="s">
        <v>43</v>
      </c>
      <c r="J553">
        <v>2</v>
      </c>
      <c r="K553" t="s">
        <v>44</v>
      </c>
      <c r="L553" t="s">
        <v>45</v>
      </c>
      <c r="M553" t="s">
        <v>46</v>
      </c>
      <c r="N553" s="7">
        <v>2</v>
      </c>
      <c r="O553" s="8">
        <v>45647.415173611109</v>
      </c>
      <c r="P553" s="9">
        <v>45649</v>
      </c>
      <c r="Q553" t="s">
        <v>74</v>
      </c>
      <c r="R553" t="s">
        <v>48</v>
      </c>
      <c r="S553" t="s">
        <v>49</v>
      </c>
      <c r="T553" t="s">
        <v>65</v>
      </c>
      <c r="U553" t="s">
        <v>1790</v>
      </c>
      <c r="V553">
        <v>75250</v>
      </c>
      <c r="W553" t="s">
        <v>48</v>
      </c>
      <c r="X553" t="s">
        <v>406</v>
      </c>
      <c r="Y553" t="s">
        <v>54</v>
      </c>
      <c r="Z553" s="12">
        <f>IF(N553&lt;=1,9,9+0.8*ROUNDUP(N553-1,0))</f>
        <v>9.8000000000000007</v>
      </c>
      <c r="AA553" s="11">
        <v>-2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24"/>
        <v>0.46800000000000003</v>
      </c>
      <c r="AG553" s="11">
        <f t="shared" si="25"/>
        <v>8.2680000000000007</v>
      </c>
      <c r="AH553" s="11">
        <v>0</v>
      </c>
      <c r="AI553" s="11">
        <f t="shared" si="26"/>
        <v>8.2680000000000007</v>
      </c>
      <c r="AJ553" t="s">
        <v>62</v>
      </c>
    </row>
    <row r="554" spans="1:36" ht="15" customHeight="1" x14ac:dyDescent="0.35">
      <c r="A554">
        <v>10428918</v>
      </c>
      <c r="B554" t="s">
        <v>36</v>
      </c>
      <c r="C554" t="s">
        <v>37</v>
      </c>
      <c r="D554" s="6" t="s">
        <v>38</v>
      </c>
      <c r="E554" t="s">
        <v>1791</v>
      </c>
      <c r="F554" t="s">
        <v>40</v>
      </c>
      <c r="G554" t="s">
        <v>41</v>
      </c>
      <c r="H554" t="s">
        <v>1792</v>
      </c>
      <c r="I554" t="s">
        <v>43</v>
      </c>
      <c r="J554">
        <v>2</v>
      </c>
      <c r="K554" t="s">
        <v>44</v>
      </c>
      <c r="L554" t="s">
        <v>45</v>
      </c>
      <c r="M554" t="s">
        <v>46</v>
      </c>
      <c r="N554" s="7">
        <v>1</v>
      </c>
      <c r="O554" s="8">
        <v>45648.444247685184</v>
      </c>
      <c r="P554" s="9">
        <v>45649</v>
      </c>
      <c r="Q554" t="s">
        <v>74</v>
      </c>
      <c r="R554" t="s">
        <v>48</v>
      </c>
      <c r="S554" t="s">
        <v>49</v>
      </c>
      <c r="T554" t="s">
        <v>170</v>
      </c>
      <c r="U554" t="s">
        <v>1793</v>
      </c>
      <c r="V554">
        <v>50480</v>
      </c>
      <c r="W554" t="s">
        <v>48</v>
      </c>
      <c r="X554" t="s">
        <v>1794</v>
      </c>
      <c r="Y554" t="s">
        <v>54</v>
      </c>
      <c r="Z554" s="12">
        <f>IF(N554&lt;=1,9,9+0.8*ROUNDUP(N554-1,0))</f>
        <v>9</v>
      </c>
      <c r="AA554" s="11">
        <v>-2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24"/>
        <v>0.42</v>
      </c>
      <c r="AG554" s="11">
        <f t="shared" si="25"/>
        <v>7.42</v>
      </c>
      <c r="AH554" s="11">
        <v>0</v>
      </c>
      <c r="AI554" s="11">
        <f t="shared" si="26"/>
        <v>7.42</v>
      </c>
      <c r="AJ554" t="s">
        <v>62</v>
      </c>
    </row>
    <row r="555" spans="1:36" ht="15" customHeight="1" x14ac:dyDescent="0.35">
      <c r="A555">
        <v>10428918</v>
      </c>
      <c r="B555" t="s">
        <v>36</v>
      </c>
      <c r="C555" t="s">
        <v>37</v>
      </c>
      <c r="D555" s="6" t="s">
        <v>38</v>
      </c>
      <c r="E555" t="s">
        <v>1795</v>
      </c>
      <c r="F555" t="s">
        <v>40</v>
      </c>
      <c r="G555" t="s">
        <v>41</v>
      </c>
      <c r="H555" t="s">
        <v>1796</v>
      </c>
      <c r="I555" t="s">
        <v>43</v>
      </c>
      <c r="J555">
        <v>2</v>
      </c>
      <c r="K555" t="s">
        <v>44</v>
      </c>
      <c r="L555" t="s">
        <v>45</v>
      </c>
      <c r="M555" t="s">
        <v>46</v>
      </c>
      <c r="N555" s="7">
        <v>1</v>
      </c>
      <c r="O555" s="8">
        <v>45644.806967592594</v>
      </c>
      <c r="P555" s="9">
        <v>45649</v>
      </c>
      <c r="Q555" t="s">
        <v>74</v>
      </c>
      <c r="R555" t="s">
        <v>48</v>
      </c>
      <c r="S555" t="s">
        <v>49</v>
      </c>
      <c r="T555" t="s">
        <v>278</v>
      </c>
      <c r="U555" t="s">
        <v>1797</v>
      </c>
      <c r="V555">
        <v>97000</v>
      </c>
      <c r="W555" t="s">
        <v>52</v>
      </c>
      <c r="X555" t="s">
        <v>53</v>
      </c>
      <c r="Y555" t="s">
        <v>54</v>
      </c>
      <c r="Z555" s="10">
        <f>IF(N555&lt;=1,13,IF(N555&lt;=2,23,IF(N555&lt;=3,35,IF(N555&lt;=4,43,IF(N555&lt;=5,53,IF(N555&lt;=6,63,IF(N555&lt;=7,71,IF(N555&lt;=8,79,IF(N555&lt;=9,87,IF(N555&lt;=10,95,IF(N555&lt;=11,105,IF(N555&lt;=12,114,IF(N555&lt;=13,119,IF(N555&lt;=14,127,IF(N555&lt;=15,135,IF(N555&lt;=16,143,IF(N555&lt;=17,153,IF(N555&lt;=18,163,IF(N555&lt;=19,171,IF(N555&lt;=20,185,IF(N555&lt;=21,193,IF(N555&lt;=22,201,IF(N555&lt;=23,210,IF(N555&lt;=24,220,IF(N555&lt;=25,230,IF(N555&lt;=26,240,IF(N555&lt;=27,250,IF(N555&lt;=28,260,IF(N555&lt;=29,270,IF(N555&lt;=30,280,280+10*ROUNDUP(N555-30,0)))))))))))))))))))))))))))))))</f>
        <v>13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24"/>
        <v>0.78</v>
      </c>
      <c r="AG555" s="11">
        <f t="shared" si="25"/>
        <v>13.78</v>
      </c>
      <c r="AH555" s="11">
        <v>0</v>
      </c>
      <c r="AI555" s="11">
        <f t="shared" si="26"/>
        <v>13.78</v>
      </c>
      <c r="AJ555" t="s">
        <v>55</v>
      </c>
    </row>
    <row r="556" spans="1:36" ht="15" customHeight="1" x14ac:dyDescent="0.35">
      <c r="A556">
        <v>10428918</v>
      </c>
      <c r="B556" t="s">
        <v>36</v>
      </c>
      <c r="C556" t="s">
        <v>37</v>
      </c>
      <c r="D556" s="6" t="s">
        <v>38</v>
      </c>
      <c r="E556" t="s">
        <v>1798</v>
      </c>
      <c r="F556" t="s">
        <v>40</v>
      </c>
      <c r="G556" t="s">
        <v>41</v>
      </c>
      <c r="H556" t="s">
        <v>1799</v>
      </c>
      <c r="I556" t="s">
        <v>43</v>
      </c>
      <c r="J556">
        <v>2</v>
      </c>
      <c r="K556" t="s">
        <v>44</v>
      </c>
      <c r="L556" t="s">
        <v>45</v>
      </c>
      <c r="M556" t="s">
        <v>46</v>
      </c>
      <c r="N556" s="7">
        <v>3</v>
      </c>
      <c r="O556" s="8">
        <v>45648.760798611111</v>
      </c>
      <c r="P556" s="9">
        <v>45649</v>
      </c>
      <c r="Q556" t="s">
        <v>74</v>
      </c>
      <c r="R556" t="s">
        <v>48</v>
      </c>
      <c r="S556" t="s">
        <v>49</v>
      </c>
      <c r="T556" t="s">
        <v>117</v>
      </c>
      <c r="U556" t="s">
        <v>1800</v>
      </c>
      <c r="V556">
        <v>41250</v>
      </c>
      <c r="W556" t="s">
        <v>48</v>
      </c>
      <c r="X556" t="s">
        <v>149</v>
      </c>
      <c r="Y556" t="s">
        <v>54</v>
      </c>
      <c r="Z556" s="12">
        <f>IF(N556&lt;=1,9,9+0.8*ROUNDUP(N556-1,0))</f>
        <v>10.6</v>
      </c>
      <c r="AA556" s="11">
        <v>-2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24"/>
        <v>0.51600000000000001</v>
      </c>
      <c r="AG556" s="11">
        <f t="shared" si="25"/>
        <v>9.1159999999999997</v>
      </c>
      <c r="AH556" s="11">
        <v>0</v>
      </c>
      <c r="AI556" s="11">
        <f t="shared" si="26"/>
        <v>9.1159999999999997</v>
      </c>
      <c r="AJ556" t="s">
        <v>62</v>
      </c>
    </row>
    <row r="557" spans="1:36" ht="15" customHeight="1" x14ac:dyDescent="0.35">
      <c r="A557">
        <v>10428918</v>
      </c>
      <c r="B557" t="s">
        <v>36</v>
      </c>
      <c r="C557" t="s">
        <v>37</v>
      </c>
      <c r="D557" s="6" t="s">
        <v>38</v>
      </c>
      <c r="E557" t="s">
        <v>1801</v>
      </c>
      <c r="F557" t="s">
        <v>40</v>
      </c>
      <c r="G557" t="s">
        <v>41</v>
      </c>
      <c r="H557" t="s">
        <v>1802</v>
      </c>
      <c r="I557" t="s">
        <v>43</v>
      </c>
      <c r="J557">
        <v>2</v>
      </c>
      <c r="K557" t="s">
        <v>44</v>
      </c>
      <c r="L557" t="s">
        <v>45</v>
      </c>
      <c r="M557" t="s">
        <v>46</v>
      </c>
      <c r="N557" s="7">
        <v>1</v>
      </c>
      <c r="O557" s="8">
        <v>45647.808738425927</v>
      </c>
      <c r="P557" s="9">
        <v>45650</v>
      </c>
      <c r="Q557" t="s">
        <v>74</v>
      </c>
      <c r="R557" t="s">
        <v>48</v>
      </c>
      <c r="S557" t="s">
        <v>49</v>
      </c>
      <c r="T557" t="s">
        <v>69</v>
      </c>
      <c r="U557" t="s">
        <v>1803</v>
      </c>
      <c r="V557">
        <v>84000</v>
      </c>
      <c r="W557" t="s">
        <v>48</v>
      </c>
      <c r="X557" t="s">
        <v>53</v>
      </c>
      <c r="Y557" t="s">
        <v>54</v>
      </c>
      <c r="Z557" s="12">
        <f>IF(N557&lt;=1,9,9+0.8*ROUNDUP(N557-1,0))</f>
        <v>9</v>
      </c>
      <c r="AA557" s="11">
        <v>-2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24"/>
        <v>0.42</v>
      </c>
      <c r="AG557" s="11">
        <f t="shared" si="25"/>
        <v>7.42</v>
      </c>
      <c r="AH557" s="11">
        <v>0</v>
      </c>
      <c r="AI557" s="11">
        <f t="shared" si="26"/>
        <v>7.42</v>
      </c>
      <c r="AJ557" t="s">
        <v>62</v>
      </c>
    </row>
    <row r="558" spans="1:36" ht="15" customHeight="1" x14ac:dyDescent="0.35">
      <c r="A558">
        <v>10428918</v>
      </c>
      <c r="B558" t="s">
        <v>36</v>
      </c>
      <c r="C558" t="s">
        <v>37</v>
      </c>
      <c r="D558" s="6" t="s">
        <v>38</v>
      </c>
      <c r="E558" t="s">
        <v>1804</v>
      </c>
      <c r="F558" t="s">
        <v>40</v>
      </c>
      <c r="G558" t="s">
        <v>41</v>
      </c>
      <c r="H558" t="s">
        <v>1805</v>
      </c>
      <c r="I558" t="s">
        <v>43</v>
      </c>
      <c r="J558">
        <v>2</v>
      </c>
      <c r="K558" t="s">
        <v>44</v>
      </c>
      <c r="L558" t="s">
        <v>45</v>
      </c>
      <c r="M558" t="s">
        <v>46</v>
      </c>
      <c r="N558" s="7">
        <v>11</v>
      </c>
      <c r="O558" s="8">
        <v>45649.705324074072</v>
      </c>
      <c r="P558" s="9">
        <v>45650</v>
      </c>
      <c r="Q558" t="s">
        <v>74</v>
      </c>
      <c r="R558" t="s">
        <v>48</v>
      </c>
      <c r="S558" t="s">
        <v>49</v>
      </c>
      <c r="T558" t="s">
        <v>59</v>
      </c>
      <c r="U558" t="s">
        <v>1806</v>
      </c>
      <c r="V558">
        <v>16090</v>
      </c>
      <c r="W558" t="s">
        <v>48</v>
      </c>
      <c r="X558" t="s">
        <v>1807</v>
      </c>
      <c r="Y558" t="s">
        <v>54</v>
      </c>
      <c r="Z558" s="12">
        <f>IF(N558&lt;=1,9,9+0.8*ROUNDUP(N558-1,0))</f>
        <v>17</v>
      </c>
      <c r="AA558" s="11">
        <v>-2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24"/>
        <v>0.89999999999999991</v>
      </c>
      <c r="AG558" s="11">
        <f t="shared" si="25"/>
        <v>15.9</v>
      </c>
      <c r="AH558" s="11">
        <v>0</v>
      </c>
      <c r="AI558" s="11">
        <f t="shared" si="26"/>
        <v>15.9</v>
      </c>
      <c r="AJ558" t="s">
        <v>62</v>
      </c>
    </row>
    <row r="559" spans="1:36" ht="15" customHeight="1" x14ac:dyDescent="0.35">
      <c r="A559">
        <v>10428918</v>
      </c>
      <c r="B559" t="s">
        <v>36</v>
      </c>
      <c r="C559" t="s">
        <v>37</v>
      </c>
      <c r="D559" s="6" t="s">
        <v>38</v>
      </c>
      <c r="E559" t="s">
        <v>1808</v>
      </c>
      <c r="F559" t="s">
        <v>40</v>
      </c>
      <c r="G559" t="s">
        <v>41</v>
      </c>
      <c r="H559" t="s">
        <v>1809</v>
      </c>
      <c r="I559" t="s">
        <v>43</v>
      </c>
      <c r="J559">
        <v>2</v>
      </c>
      <c r="K559" t="s">
        <v>44</v>
      </c>
      <c r="L559" t="s">
        <v>45</v>
      </c>
      <c r="M559" t="s">
        <v>46</v>
      </c>
      <c r="N559" s="7">
        <v>1</v>
      </c>
      <c r="O559" s="8">
        <v>45648.809675925928</v>
      </c>
      <c r="P559" s="9">
        <v>45650</v>
      </c>
      <c r="Q559" t="s">
        <v>74</v>
      </c>
      <c r="R559" t="s">
        <v>48</v>
      </c>
      <c r="S559" t="s">
        <v>49</v>
      </c>
      <c r="T559" t="s">
        <v>75</v>
      </c>
      <c r="U559" t="s">
        <v>1810</v>
      </c>
      <c r="V559">
        <v>28050</v>
      </c>
      <c r="W559" t="s">
        <v>48</v>
      </c>
      <c r="X559" t="s">
        <v>77</v>
      </c>
      <c r="Y559" t="s">
        <v>54</v>
      </c>
      <c r="Z559" s="12">
        <f>IF(N559&lt;=1,9,9+0.8*ROUNDUP(N559-1,0))</f>
        <v>9</v>
      </c>
      <c r="AA559" s="11">
        <v>-2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24"/>
        <v>0.42</v>
      </c>
      <c r="AG559" s="11">
        <f t="shared" si="25"/>
        <v>7.42</v>
      </c>
      <c r="AH559" s="11">
        <v>0</v>
      </c>
      <c r="AI559" s="11">
        <f t="shared" si="26"/>
        <v>7.42</v>
      </c>
      <c r="AJ559" t="s">
        <v>62</v>
      </c>
    </row>
    <row r="560" spans="1:36" ht="15" customHeight="1" x14ac:dyDescent="0.35">
      <c r="A560">
        <v>10428918</v>
      </c>
      <c r="B560" t="s">
        <v>36</v>
      </c>
      <c r="C560" t="s">
        <v>37</v>
      </c>
      <c r="D560" s="6" t="s">
        <v>38</v>
      </c>
      <c r="E560" t="s">
        <v>1811</v>
      </c>
      <c r="F560" t="s">
        <v>40</v>
      </c>
      <c r="G560" t="s">
        <v>41</v>
      </c>
      <c r="H560" t="s">
        <v>1812</v>
      </c>
      <c r="I560" t="s">
        <v>43</v>
      </c>
      <c r="J560">
        <v>2</v>
      </c>
      <c r="K560" t="s">
        <v>44</v>
      </c>
      <c r="L560" t="s">
        <v>45</v>
      </c>
      <c r="M560" t="s">
        <v>46</v>
      </c>
      <c r="N560" s="7">
        <v>1</v>
      </c>
      <c r="O560" s="8">
        <v>45648.798958333333</v>
      </c>
      <c r="P560" s="9">
        <v>45650</v>
      </c>
      <c r="Q560" t="s">
        <v>74</v>
      </c>
      <c r="R560" t="s">
        <v>48</v>
      </c>
      <c r="S560" t="s">
        <v>49</v>
      </c>
      <c r="T560" t="s">
        <v>170</v>
      </c>
      <c r="U560" t="s">
        <v>1813</v>
      </c>
      <c r="V560">
        <v>55100</v>
      </c>
      <c r="W560" t="s">
        <v>48</v>
      </c>
      <c r="X560" t="s">
        <v>172</v>
      </c>
      <c r="Y560" t="s">
        <v>54</v>
      </c>
      <c r="Z560" s="12">
        <f>IF(N560&lt;=1,9,9+0.8*ROUNDUP(N560-1,0))</f>
        <v>9</v>
      </c>
      <c r="AA560" s="11">
        <v>-2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24"/>
        <v>0.42</v>
      </c>
      <c r="AG560" s="11">
        <f t="shared" si="25"/>
        <v>7.42</v>
      </c>
      <c r="AH560" s="11">
        <v>0</v>
      </c>
      <c r="AI560" s="11">
        <f t="shared" si="26"/>
        <v>7.42</v>
      </c>
      <c r="AJ560" t="s">
        <v>62</v>
      </c>
    </row>
    <row r="561" spans="1:36" ht="15" customHeight="1" x14ac:dyDescent="0.35">
      <c r="A561">
        <v>10428918</v>
      </c>
      <c r="B561" t="s">
        <v>36</v>
      </c>
      <c r="C561" t="s">
        <v>37</v>
      </c>
      <c r="D561" s="6" t="s">
        <v>38</v>
      </c>
      <c r="E561" t="s">
        <v>1814</v>
      </c>
      <c r="F561" t="s">
        <v>40</v>
      </c>
      <c r="G561" t="s">
        <v>41</v>
      </c>
      <c r="H561" t="s">
        <v>1815</v>
      </c>
      <c r="I561" t="s">
        <v>43</v>
      </c>
      <c r="J561">
        <v>2</v>
      </c>
      <c r="K561" t="s">
        <v>44</v>
      </c>
      <c r="L561" t="s">
        <v>45</v>
      </c>
      <c r="M561" t="s">
        <v>46</v>
      </c>
      <c r="N561" s="7">
        <v>2</v>
      </c>
      <c r="O561" s="8">
        <v>45647.822835648149</v>
      </c>
      <c r="P561" s="9">
        <v>45650</v>
      </c>
      <c r="Q561" t="s">
        <v>74</v>
      </c>
      <c r="R561" t="s">
        <v>48</v>
      </c>
      <c r="S561" t="s">
        <v>49</v>
      </c>
      <c r="T561" t="s">
        <v>117</v>
      </c>
      <c r="U561" t="s">
        <v>1816</v>
      </c>
      <c r="V561">
        <v>42000</v>
      </c>
      <c r="W561" t="s">
        <v>48</v>
      </c>
      <c r="X561" t="s">
        <v>53</v>
      </c>
      <c r="Y561" t="s">
        <v>54</v>
      </c>
      <c r="Z561" s="12">
        <f>IF(N561&lt;=1,9,9+0.8*ROUNDUP(N561-1,0))</f>
        <v>9.8000000000000007</v>
      </c>
      <c r="AA561" s="11">
        <v>-2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24"/>
        <v>0.46800000000000003</v>
      </c>
      <c r="AG561" s="11">
        <f t="shared" si="25"/>
        <v>8.2680000000000007</v>
      </c>
      <c r="AH561" s="11">
        <v>0</v>
      </c>
      <c r="AI561" s="11">
        <f t="shared" si="26"/>
        <v>8.2680000000000007</v>
      </c>
      <c r="AJ561" t="s">
        <v>62</v>
      </c>
    </row>
    <row r="562" spans="1:36" ht="15" customHeight="1" x14ac:dyDescent="0.35">
      <c r="A562">
        <v>10428918</v>
      </c>
      <c r="B562" t="s">
        <v>36</v>
      </c>
      <c r="C562" t="s">
        <v>37</v>
      </c>
      <c r="D562" s="6" t="s">
        <v>38</v>
      </c>
      <c r="E562" t="s">
        <v>1817</v>
      </c>
      <c r="F562" t="s">
        <v>40</v>
      </c>
      <c r="G562" t="s">
        <v>41</v>
      </c>
      <c r="H562" t="s">
        <v>1818</v>
      </c>
      <c r="I562" t="s">
        <v>43</v>
      </c>
      <c r="J562">
        <v>2</v>
      </c>
      <c r="K562" t="s">
        <v>44</v>
      </c>
      <c r="L562" t="s">
        <v>45</v>
      </c>
      <c r="M562" t="s">
        <v>46</v>
      </c>
      <c r="N562" s="7">
        <v>2</v>
      </c>
      <c r="O562" s="8">
        <v>45648.746793981481</v>
      </c>
      <c r="P562" s="9">
        <v>45650</v>
      </c>
      <c r="Q562" t="s">
        <v>74</v>
      </c>
      <c r="R562" t="s">
        <v>48</v>
      </c>
      <c r="S562" t="s">
        <v>49</v>
      </c>
      <c r="T562" t="s">
        <v>101</v>
      </c>
      <c r="U562" t="s">
        <v>1819</v>
      </c>
      <c r="V562">
        <v>34200</v>
      </c>
      <c r="W562" t="s">
        <v>48</v>
      </c>
      <c r="X562" t="s">
        <v>568</v>
      </c>
      <c r="Y562" t="s">
        <v>54</v>
      </c>
      <c r="Z562" s="12">
        <f>IF(N562&lt;=1,9,9+0.8*ROUNDUP(N562-1,0))</f>
        <v>9.8000000000000007</v>
      </c>
      <c r="AA562" s="11">
        <v>-2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24"/>
        <v>0.46800000000000003</v>
      </c>
      <c r="AG562" s="11">
        <f t="shared" si="25"/>
        <v>8.2680000000000007</v>
      </c>
      <c r="AH562" s="11">
        <v>0</v>
      </c>
      <c r="AI562" s="11">
        <f t="shared" si="26"/>
        <v>8.2680000000000007</v>
      </c>
      <c r="AJ562" t="s">
        <v>62</v>
      </c>
    </row>
    <row r="563" spans="1:36" ht="15" customHeight="1" x14ac:dyDescent="0.35">
      <c r="A563">
        <v>10428918</v>
      </c>
      <c r="B563" t="s">
        <v>36</v>
      </c>
      <c r="C563" t="s">
        <v>37</v>
      </c>
      <c r="D563" s="6" t="s">
        <v>38</v>
      </c>
      <c r="E563" t="s">
        <v>1820</v>
      </c>
      <c r="F563" t="s">
        <v>40</v>
      </c>
      <c r="G563" t="s">
        <v>41</v>
      </c>
      <c r="H563" t="s">
        <v>570</v>
      </c>
      <c r="I563" t="s">
        <v>43</v>
      </c>
      <c r="J563">
        <v>2</v>
      </c>
      <c r="K563" t="s">
        <v>44</v>
      </c>
      <c r="L563" t="s">
        <v>45</v>
      </c>
      <c r="M563" t="s">
        <v>46</v>
      </c>
      <c r="N563" s="7">
        <v>7</v>
      </c>
      <c r="O563" s="8">
        <v>45649.72550925926</v>
      </c>
      <c r="P563" s="9">
        <v>45650</v>
      </c>
      <c r="Q563" t="s">
        <v>74</v>
      </c>
      <c r="R563" t="s">
        <v>48</v>
      </c>
      <c r="S563" t="s">
        <v>49</v>
      </c>
      <c r="T563" t="s">
        <v>117</v>
      </c>
      <c r="U563" t="s">
        <v>571</v>
      </c>
      <c r="V563">
        <v>40000</v>
      </c>
      <c r="W563" t="s">
        <v>48</v>
      </c>
      <c r="X563" t="s">
        <v>473</v>
      </c>
      <c r="Y563" t="s">
        <v>54</v>
      </c>
      <c r="Z563" s="12">
        <f>IF(N563&lt;=1,9,9+0.8*ROUNDUP(N563-1,0))</f>
        <v>13.8</v>
      </c>
      <c r="AA563" s="11">
        <v>-2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24"/>
        <v>0.70799999999999996</v>
      </c>
      <c r="AG563" s="11">
        <f t="shared" si="25"/>
        <v>12.508000000000001</v>
      </c>
      <c r="AH563" s="11">
        <v>0</v>
      </c>
      <c r="AI563" s="11">
        <f t="shared" si="26"/>
        <v>12.508000000000001</v>
      </c>
      <c r="AJ563" t="s">
        <v>62</v>
      </c>
    </row>
    <row r="564" spans="1:36" ht="15" customHeight="1" x14ac:dyDescent="0.35">
      <c r="A564">
        <v>10428918</v>
      </c>
      <c r="B564" t="s">
        <v>36</v>
      </c>
      <c r="C564" t="s">
        <v>37</v>
      </c>
      <c r="D564" s="6" t="s">
        <v>38</v>
      </c>
      <c r="E564" t="s">
        <v>1821</v>
      </c>
      <c r="F564" t="s">
        <v>40</v>
      </c>
      <c r="G564" t="s">
        <v>41</v>
      </c>
      <c r="H564" t="s">
        <v>1822</v>
      </c>
      <c r="I564" t="s">
        <v>43</v>
      </c>
      <c r="J564">
        <v>2</v>
      </c>
      <c r="K564" t="s">
        <v>44</v>
      </c>
      <c r="L564" t="s">
        <v>45</v>
      </c>
      <c r="M564" t="s">
        <v>46</v>
      </c>
      <c r="N564" s="7">
        <v>1</v>
      </c>
      <c r="O564" s="8">
        <v>45648.588460648149</v>
      </c>
      <c r="P564" s="9">
        <v>45650</v>
      </c>
      <c r="Q564" t="s">
        <v>74</v>
      </c>
      <c r="R564" t="s">
        <v>48</v>
      </c>
      <c r="S564" t="s">
        <v>49</v>
      </c>
      <c r="T564" t="s">
        <v>69</v>
      </c>
      <c r="U564" t="s">
        <v>1823</v>
      </c>
      <c r="V564">
        <v>81000</v>
      </c>
      <c r="W564" t="s">
        <v>48</v>
      </c>
      <c r="X564" t="s">
        <v>861</v>
      </c>
      <c r="Y564" t="s">
        <v>54</v>
      </c>
      <c r="Z564" s="12">
        <f>IF(N564&lt;=1,9,9+0.8*ROUNDUP(N564-1,0))</f>
        <v>9</v>
      </c>
      <c r="AA564" s="11">
        <v>-2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24"/>
        <v>0.42</v>
      </c>
      <c r="AG564" s="11">
        <f t="shared" si="25"/>
        <v>7.42</v>
      </c>
      <c r="AH564" s="11">
        <v>0</v>
      </c>
      <c r="AI564" s="11">
        <f t="shared" si="26"/>
        <v>7.42</v>
      </c>
      <c r="AJ564" t="s">
        <v>62</v>
      </c>
    </row>
    <row r="565" spans="1:36" ht="15" customHeight="1" x14ac:dyDescent="0.35">
      <c r="A565">
        <v>10428918</v>
      </c>
      <c r="B565" t="s">
        <v>36</v>
      </c>
      <c r="C565" t="s">
        <v>37</v>
      </c>
      <c r="D565" s="6" t="s">
        <v>38</v>
      </c>
      <c r="E565" t="s">
        <v>1824</v>
      </c>
      <c r="F565" t="s">
        <v>40</v>
      </c>
      <c r="G565" t="s">
        <v>41</v>
      </c>
      <c r="H565" t="s">
        <v>570</v>
      </c>
      <c r="I565" t="s">
        <v>43</v>
      </c>
      <c r="J565">
        <v>2</v>
      </c>
      <c r="K565" t="s">
        <v>44</v>
      </c>
      <c r="L565" t="s">
        <v>45</v>
      </c>
      <c r="M565" t="s">
        <v>46</v>
      </c>
      <c r="N565" s="7">
        <v>7</v>
      </c>
      <c r="O565" s="8">
        <v>45649.642465277779</v>
      </c>
      <c r="P565" s="9">
        <v>45650</v>
      </c>
      <c r="Q565" t="s">
        <v>74</v>
      </c>
      <c r="R565" t="s">
        <v>48</v>
      </c>
      <c r="S565" t="s">
        <v>49</v>
      </c>
      <c r="T565" t="s">
        <v>117</v>
      </c>
      <c r="U565" t="s">
        <v>571</v>
      </c>
      <c r="V565">
        <v>40000</v>
      </c>
      <c r="W565" t="s">
        <v>48</v>
      </c>
      <c r="X565" t="s">
        <v>473</v>
      </c>
      <c r="Y565" t="s">
        <v>54</v>
      </c>
      <c r="Z565" s="12">
        <f>IF(N565&lt;=1,9,9+0.8*ROUNDUP(N565-1,0))</f>
        <v>13.8</v>
      </c>
      <c r="AA565" s="11">
        <v>-2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24"/>
        <v>0.70799999999999996</v>
      </c>
      <c r="AG565" s="11">
        <f t="shared" si="25"/>
        <v>12.508000000000001</v>
      </c>
      <c r="AH565" s="11">
        <v>0</v>
      </c>
      <c r="AI565" s="11">
        <f t="shared" si="26"/>
        <v>12.508000000000001</v>
      </c>
      <c r="AJ565" t="s">
        <v>62</v>
      </c>
    </row>
    <row r="566" spans="1:36" ht="15" customHeight="1" x14ac:dyDescent="0.35">
      <c r="A566">
        <v>10428918</v>
      </c>
      <c r="B566" t="s">
        <v>36</v>
      </c>
      <c r="C566" t="s">
        <v>37</v>
      </c>
      <c r="D566" s="6" t="s">
        <v>38</v>
      </c>
      <c r="E566" t="s">
        <v>1825</v>
      </c>
      <c r="F566" t="s">
        <v>40</v>
      </c>
      <c r="G566" t="s">
        <v>41</v>
      </c>
      <c r="H566" t="s">
        <v>1826</v>
      </c>
      <c r="I566" t="s">
        <v>43</v>
      </c>
      <c r="J566">
        <v>2</v>
      </c>
      <c r="K566" t="s">
        <v>44</v>
      </c>
      <c r="L566" t="s">
        <v>45</v>
      </c>
      <c r="M566" t="s">
        <v>46</v>
      </c>
      <c r="N566" s="7">
        <v>1</v>
      </c>
      <c r="O566" s="8">
        <v>45647.418657407405</v>
      </c>
      <c r="P566" s="9">
        <v>45650</v>
      </c>
      <c r="Q566" t="s">
        <v>74</v>
      </c>
      <c r="R566" t="s">
        <v>48</v>
      </c>
      <c r="S566" t="s">
        <v>49</v>
      </c>
      <c r="T566" t="s">
        <v>278</v>
      </c>
      <c r="U566" t="s">
        <v>1827</v>
      </c>
      <c r="V566">
        <v>96000</v>
      </c>
      <c r="W566" t="s">
        <v>52</v>
      </c>
      <c r="X566" t="s">
        <v>53</v>
      </c>
      <c r="Y566" t="s">
        <v>54</v>
      </c>
      <c r="Z566" s="10">
        <f>IF(N566&lt;=1,13,IF(N566&lt;=2,23,IF(N566&lt;=3,35,IF(N566&lt;=4,43,IF(N566&lt;=5,53,IF(N566&lt;=6,63,IF(N566&lt;=7,71,IF(N566&lt;=8,79,IF(N566&lt;=9,87,IF(N566&lt;=10,95,IF(N566&lt;=11,105,IF(N566&lt;=12,114,IF(N566&lt;=13,119,IF(N566&lt;=14,127,IF(N566&lt;=15,135,IF(N566&lt;=16,143,IF(N566&lt;=17,153,IF(N566&lt;=18,163,IF(N566&lt;=19,171,IF(N566&lt;=20,185,IF(N566&lt;=21,193,IF(N566&lt;=22,201,IF(N566&lt;=23,210,IF(N566&lt;=24,220,IF(N566&lt;=25,230,IF(N566&lt;=26,240,IF(N566&lt;=27,250,IF(N566&lt;=28,260,IF(N566&lt;=29,270,IF(N566&lt;=30,280,280+10*ROUNDUP(N566-30,0)))))))))))))))))))))))))))))))</f>
        <v>13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24"/>
        <v>0.78</v>
      </c>
      <c r="AG566" s="11">
        <f t="shared" si="25"/>
        <v>13.78</v>
      </c>
      <c r="AH566" s="11">
        <v>0</v>
      </c>
      <c r="AI566" s="11">
        <f t="shared" si="26"/>
        <v>13.78</v>
      </c>
      <c r="AJ566" t="s">
        <v>55</v>
      </c>
    </row>
    <row r="567" spans="1:36" ht="15" customHeight="1" x14ac:dyDescent="0.35">
      <c r="A567">
        <v>10428918</v>
      </c>
      <c r="B567" t="s">
        <v>36</v>
      </c>
      <c r="C567" t="s">
        <v>37</v>
      </c>
      <c r="D567" s="6" t="s">
        <v>38</v>
      </c>
      <c r="E567" t="s">
        <v>1828</v>
      </c>
      <c r="F567" t="s">
        <v>40</v>
      </c>
      <c r="G567" t="s">
        <v>41</v>
      </c>
      <c r="H567" t="s">
        <v>1829</v>
      </c>
      <c r="I567" t="s">
        <v>43</v>
      </c>
      <c r="J567">
        <v>2</v>
      </c>
      <c r="K567" t="s">
        <v>44</v>
      </c>
      <c r="L567" t="s">
        <v>45</v>
      </c>
      <c r="M567" t="s">
        <v>46</v>
      </c>
      <c r="N567" s="7">
        <v>2</v>
      </c>
      <c r="O567" s="8">
        <v>45649.68109953704</v>
      </c>
      <c r="P567" s="9">
        <v>45650</v>
      </c>
      <c r="Q567" t="s">
        <v>74</v>
      </c>
      <c r="R567" t="s">
        <v>48</v>
      </c>
      <c r="S567" t="s">
        <v>49</v>
      </c>
      <c r="T567" t="s">
        <v>117</v>
      </c>
      <c r="U567" t="s">
        <v>1830</v>
      </c>
      <c r="V567">
        <v>40000</v>
      </c>
      <c r="W567" t="s">
        <v>48</v>
      </c>
      <c r="X567" t="s">
        <v>662</v>
      </c>
      <c r="Y567" t="s">
        <v>54</v>
      </c>
      <c r="Z567" s="12">
        <f>IF(N567&lt;=1,9,9+0.8*ROUNDUP(N567-1,0))</f>
        <v>9.8000000000000007</v>
      </c>
      <c r="AA567" s="11">
        <v>-2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24"/>
        <v>0.46800000000000003</v>
      </c>
      <c r="AG567" s="11">
        <f t="shared" si="25"/>
        <v>8.2680000000000007</v>
      </c>
      <c r="AH567" s="11">
        <v>0</v>
      </c>
      <c r="AI567" s="11">
        <f t="shared" si="26"/>
        <v>8.2680000000000007</v>
      </c>
      <c r="AJ567" t="s">
        <v>62</v>
      </c>
    </row>
    <row r="568" spans="1:36" ht="15" customHeight="1" x14ac:dyDescent="0.35">
      <c r="A568">
        <v>10428918</v>
      </c>
      <c r="B568" t="s">
        <v>36</v>
      </c>
      <c r="C568" t="s">
        <v>37</v>
      </c>
      <c r="D568" s="6" t="s">
        <v>38</v>
      </c>
      <c r="E568" t="s">
        <v>1831</v>
      </c>
      <c r="F568" t="s">
        <v>40</v>
      </c>
      <c r="G568" t="s">
        <v>41</v>
      </c>
      <c r="H568" t="s">
        <v>1832</v>
      </c>
      <c r="I568" t="s">
        <v>43</v>
      </c>
      <c r="J568">
        <v>2</v>
      </c>
      <c r="K568" t="s">
        <v>44</v>
      </c>
      <c r="L568" t="s">
        <v>45</v>
      </c>
      <c r="M568" t="s">
        <v>46</v>
      </c>
      <c r="N568" s="7">
        <v>1</v>
      </c>
      <c r="O568" s="8">
        <v>45647.816828703704</v>
      </c>
      <c r="P568" s="9">
        <v>45650</v>
      </c>
      <c r="Q568" t="s">
        <v>74</v>
      </c>
      <c r="R568" t="s">
        <v>48</v>
      </c>
      <c r="S568" t="s">
        <v>49</v>
      </c>
      <c r="T568" t="s">
        <v>161</v>
      </c>
      <c r="U568" t="s">
        <v>1833</v>
      </c>
      <c r="V568">
        <v>11900</v>
      </c>
      <c r="W568" t="s">
        <v>48</v>
      </c>
      <c r="X568" t="s">
        <v>53</v>
      </c>
      <c r="Y568" t="s">
        <v>54</v>
      </c>
      <c r="Z568" s="12">
        <f>IF(N568&lt;=1,9,9+0.8*ROUNDUP(N568-1,0))</f>
        <v>9</v>
      </c>
      <c r="AA568" s="11">
        <v>-2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24"/>
        <v>0.42</v>
      </c>
      <c r="AG568" s="11">
        <f t="shared" si="25"/>
        <v>7.42</v>
      </c>
      <c r="AH568" s="11">
        <v>0</v>
      </c>
      <c r="AI568" s="11">
        <f t="shared" si="26"/>
        <v>7.42</v>
      </c>
      <c r="AJ568" t="s">
        <v>62</v>
      </c>
    </row>
    <row r="569" spans="1:36" ht="15" customHeight="1" x14ac:dyDescent="0.35">
      <c r="A569">
        <v>10428918</v>
      </c>
      <c r="B569" t="s">
        <v>36</v>
      </c>
      <c r="C569" t="s">
        <v>37</v>
      </c>
      <c r="D569" s="6" t="s">
        <v>38</v>
      </c>
      <c r="E569" t="s">
        <v>1834</v>
      </c>
      <c r="F569" t="s">
        <v>40</v>
      </c>
      <c r="G569" t="s">
        <v>41</v>
      </c>
      <c r="H569" t="s">
        <v>1835</v>
      </c>
      <c r="I569" t="s">
        <v>43</v>
      </c>
      <c r="J569">
        <v>2</v>
      </c>
      <c r="K569" t="s">
        <v>44</v>
      </c>
      <c r="L569" t="s">
        <v>45</v>
      </c>
      <c r="M569" t="s">
        <v>46</v>
      </c>
      <c r="N569" s="7">
        <v>2</v>
      </c>
      <c r="O569" s="8">
        <v>45647.816828703704</v>
      </c>
      <c r="P569" s="9">
        <v>45650</v>
      </c>
      <c r="Q569" t="s">
        <v>74</v>
      </c>
      <c r="R569" t="s">
        <v>48</v>
      </c>
      <c r="S569" t="s">
        <v>49</v>
      </c>
      <c r="T569" t="s">
        <v>80</v>
      </c>
      <c r="U569" t="s">
        <v>1836</v>
      </c>
      <c r="V569">
        <v>6750</v>
      </c>
      <c r="W569" t="s">
        <v>48</v>
      </c>
      <c r="X569" t="s">
        <v>670</v>
      </c>
      <c r="Y569" t="s">
        <v>54</v>
      </c>
      <c r="Z569" s="12">
        <f>IF(N569&lt;=1,9,9+0.8*ROUNDUP(N569-1,0))</f>
        <v>9.8000000000000007</v>
      </c>
      <c r="AA569" s="11">
        <v>-2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24"/>
        <v>0.46800000000000003</v>
      </c>
      <c r="AG569" s="11">
        <f t="shared" si="25"/>
        <v>8.2680000000000007</v>
      </c>
      <c r="AH569" s="11">
        <v>0</v>
      </c>
      <c r="AI569" s="11">
        <f t="shared" si="26"/>
        <v>8.2680000000000007</v>
      </c>
      <c r="AJ569" t="s">
        <v>62</v>
      </c>
    </row>
    <row r="570" spans="1:36" ht="15" customHeight="1" x14ac:dyDescent="0.35">
      <c r="A570">
        <v>10428918</v>
      </c>
      <c r="B570" t="s">
        <v>36</v>
      </c>
      <c r="C570" t="s">
        <v>37</v>
      </c>
      <c r="D570" s="6" t="s">
        <v>38</v>
      </c>
      <c r="E570" t="s">
        <v>1837</v>
      </c>
      <c r="F570" t="s">
        <v>40</v>
      </c>
      <c r="G570" t="s">
        <v>41</v>
      </c>
      <c r="H570" t="s">
        <v>1838</v>
      </c>
      <c r="I570" t="s">
        <v>43</v>
      </c>
      <c r="J570">
        <v>2</v>
      </c>
      <c r="K570" t="s">
        <v>44</v>
      </c>
      <c r="L570" t="s">
        <v>45</v>
      </c>
      <c r="M570" t="s">
        <v>46</v>
      </c>
      <c r="N570" s="7">
        <v>2</v>
      </c>
      <c r="O570" s="8">
        <v>45647.816828703704</v>
      </c>
      <c r="P570" s="9">
        <v>45650</v>
      </c>
      <c r="Q570" t="s">
        <v>74</v>
      </c>
      <c r="R570" t="s">
        <v>48</v>
      </c>
      <c r="S570" t="s">
        <v>49</v>
      </c>
      <c r="T570" t="s">
        <v>101</v>
      </c>
      <c r="U570" t="s">
        <v>1839</v>
      </c>
      <c r="V570">
        <v>32100</v>
      </c>
      <c r="W570" t="s">
        <v>48</v>
      </c>
      <c r="X570" t="s">
        <v>1120</v>
      </c>
      <c r="Y570" t="s">
        <v>54</v>
      </c>
      <c r="Z570" s="12">
        <f>IF(N570&lt;=1,9,9+0.8*ROUNDUP(N570-1,0))</f>
        <v>9.8000000000000007</v>
      </c>
      <c r="AA570" s="11">
        <v>-2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24"/>
        <v>0.46800000000000003</v>
      </c>
      <c r="AG570" s="11">
        <f t="shared" si="25"/>
        <v>8.2680000000000007</v>
      </c>
      <c r="AH570" s="11">
        <v>0</v>
      </c>
      <c r="AI570" s="11">
        <f t="shared" si="26"/>
        <v>8.2680000000000007</v>
      </c>
      <c r="AJ570" t="s">
        <v>62</v>
      </c>
    </row>
    <row r="571" spans="1:36" ht="15" customHeight="1" x14ac:dyDescent="0.35">
      <c r="A571">
        <v>10428918</v>
      </c>
      <c r="B571" t="s">
        <v>36</v>
      </c>
      <c r="C571" t="s">
        <v>37</v>
      </c>
      <c r="D571" s="6" t="s">
        <v>38</v>
      </c>
      <c r="E571" t="s">
        <v>1840</v>
      </c>
      <c r="F571" t="s">
        <v>40</v>
      </c>
      <c r="G571" t="s">
        <v>41</v>
      </c>
      <c r="H571" t="s">
        <v>1841</v>
      </c>
      <c r="I571" t="s">
        <v>43</v>
      </c>
      <c r="J571">
        <v>2</v>
      </c>
      <c r="K571" t="s">
        <v>44</v>
      </c>
      <c r="L571" t="s">
        <v>45</v>
      </c>
      <c r="M571" t="s">
        <v>46</v>
      </c>
      <c r="N571" s="7">
        <v>1</v>
      </c>
      <c r="O571" s="8">
        <v>45649.731770833336</v>
      </c>
      <c r="P571" s="9">
        <v>45650</v>
      </c>
      <c r="Q571" t="s">
        <v>74</v>
      </c>
      <c r="R571" t="s">
        <v>48</v>
      </c>
      <c r="S571" t="s">
        <v>49</v>
      </c>
      <c r="T571" t="s">
        <v>90</v>
      </c>
      <c r="U571" t="s">
        <v>1842</v>
      </c>
      <c r="V571">
        <v>24300</v>
      </c>
      <c r="W571" t="s">
        <v>48</v>
      </c>
      <c r="X571" t="s">
        <v>92</v>
      </c>
      <c r="Y571" t="s">
        <v>54</v>
      </c>
      <c r="Z571" s="12">
        <f>IF(N571&lt;=1,9,9+0.8*ROUNDUP(N571-1,0))</f>
        <v>9</v>
      </c>
      <c r="AA571" s="11">
        <v>-2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24"/>
        <v>0.42</v>
      </c>
      <c r="AG571" s="11">
        <f t="shared" si="25"/>
        <v>7.42</v>
      </c>
      <c r="AH571" s="11">
        <v>0</v>
      </c>
      <c r="AI571" s="11">
        <f t="shared" si="26"/>
        <v>7.42</v>
      </c>
      <c r="AJ571" t="s">
        <v>62</v>
      </c>
    </row>
    <row r="572" spans="1:36" ht="15" customHeight="1" x14ac:dyDescent="0.35">
      <c r="A572">
        <v>10428918</v>
      </c>
      <c r="B572" t="s">
        <v>36</v>
      </c>
      <c r="C572" t="s">
        <v>37</v>
      </c>
      <c r="D572" s="6" t="s">
        <v>38</v>
      </c>
      <c r="E572" t="s">
        <v>1843</v>
      </c>
      <c r="F572" t="s">
        <v>40</v>
      </c>
      <c r="G572" t="s">
        <v>41</v>
      </c>
      <c r="H572" t="s">
        <v>1844</v>
      </c>
      <c r="I572" t="s">
        <v>43</v>
      </c>
      <c r="J572">
        <v>2</v>
      </c>
      <c r="K572" t="s">
        <v>44</v>
      </c>
      <c r="L572" t="s">
        <v>45</v>
      </c>
      <c r="M572" t="s">
        <v>46</v>
      </c>
      <c r="N572" s="7">
        <v>1</v>
      </c>
      <c r="O572" s="8">
        <v>45647.808738425927</v>
      </c>
      <c r="P572" s="9">
        <v>45650</v>
      </c>
      <c r="Q572" t="s">
        <v>74</v>
      </c>
      <c r="R572" t="s">
        <v>48</v>
      </c>
      <c r="S572" t="s">
        <v>49</v>
      </c>
      <c r="T572" t="s">
        <v>80</v>
      </c>
      <c r="U572" t="s">
        <v>1845</v>
      </c>
      <c r="V572">
        <v>9000</v>
      </c>
      <c r="W572" t="s">
        <v>48</v>
      </c>
      <c r="X572" t="s">
        <v>690</v>
      </c>
      <c r="Y572" t="s">
        <v>54</v>
      </c>
      <c r="Z572" s="12">
        <f>IF(N572&lt;=1,9,9+0.8*ROUNDUP(N572-1,0))</f>
        <v>9</v>
      </c>
      <c r="AA572" s="11">
        <v>-2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24"/>
        <v>0.42</v>
      </c>
      <c r="AG572" s="11">
        <f t="shared" si="25"/>
        <v>7.42</v>
      </c>
      <c r="AH572" s="11">
        <v>0</v>
      </c>
      <c r="AI572" s="11">
        <f t="shared" si="26"/>
        <v>7.42</v>
      </c>
      <c r="AJ572" t="s">
        <v>62</v>
      </c>
    </row>
    <row r="573" spans="1:36" ht="15" customHeight="1" x14ac:dyDescent="0.35">
      <c r="A573">
        <v>10428918</v>
      </c>
      <c r="B573" t="s">
        <v>36</v>
      </c>
      <c r="C573" t="s">
        <v>37</v>
      </c>
      <c r="D573" s="6" t="s">
        <v>38</v>
      </c>
      <c r="E573" t="s">
        <v>1846</v>
      </c>
      <c r="F573" t="s">
        <v>40</v>
      </c>
      <c r="G573" t="s">
        <v>41</v>
      </c>
      <c r="H573" t="s">
        <v>1847</v>
      </c>
      <c r="I573" t="s">
        <v>43</v>
      </c>
      <c r="J573">
        <v>2</v>
      </c>
      <c r="K573" t="s">
        <v>44</v>
      </c>
      <c r="L573" t="s">
        <v>45</v>
      </c>
      <c r="M573" t="s">
        <v>46</v>
      </c>
      <c r="N573" s="7">
        <v>1</v>
      </c>
      <c r="O573" s="8">
        <v>45647.652488425927</v>
      </c>
      <c r="P573" s="9">
        <v>45650</v>
      </c>
      <c r="Q573" t="s">
        <v>74</v>
      </c>
      <c r="R573" t="s">
        <v>48</v>
      </c>
      <c r="S573" t="s">
        <v>49</v>
      </c>
      <c r="T573" t="s">
        <v>278</v>
      </c>
      <c r="U573" t="s">
        <v>1848</v>
      </c>
      <c r="V573">
        <v>94300</v>
      </c>
      <c r="W573" t="s">
        <v>52</v>
      </c>
      <c r="X573" t="s">
        <v>53</v>
      </c>
      <c r="Y573" t="s">
        <v>54</v>
      </c>
      <c r="Z573" s="10">
        <f>IF(N573&lt;=1,13,IF(N573&lt;=2,23,IF(N573&lt;=3,35,IF(N573&lt;=4,43,IF(N573&lt;=5,53,IF(N573&lt;=6,63,IF(N573&lt;=7,71,IF(N573&lt;=8,79,IF(N573&lt;=9,87,IF(N573&lt;=10,95,IF(N573&lt;=11,105,IF(N573&lt;=12,114,IF(N573&lt;=13,119,IF(N573&lt;=14,127,IF(N573&lt;=15,135,IF(N573&lt;=16,143,IF(N573&lt;=17,153,IF(N573&lt;=18,163,IF(N573&lt;=19,171,IF(N573&lt;=20,185,IF(N573&lt;=21,193,IF(N573&lt;=22,201,IF(N573&lt;=23,210,IF(N573&lt;=24,220,IF(N573&lt;=25,230,IF(N573&lt;=26,240,IF(N573&lt;=27,250,IF(N573&lt;=28,260,IF(N573&lt;=29,270,IF(N573&lt;=30,280,280+10*ROUNDUP(N573-30,0)))))))))))))))))))))))))))))))</f>
        <v>13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24"/>
        <v>0.78</v>
      </c>
      <c r="AG573" s="11">
        <f t="shared" si="25"/>
        <v>13.78</v>
      </c>
      <c r="AH573" s="11">
        <v>0</v>
      </c>
      <c r="AI573" s="11">
        <f t="shared" si="26"/>
        <v>13.78</v>
      </c>
      <c r="AJ573" t="s">
        <v>55</v>
      </c>
    </row>
    <row r="574" spans="1:36" ht="15" customHeight="1" x14ac:dyDescent="0.35">
      <c r="A574">
        <v>10428918</v>
      </c>
      <c r="B574" t="s">
        <v>36</v>
      </c>
      <c r="C574" t="s">
        <v>37</v>
      </c>
      <c r="D574" s="6" t="s">
        <v>38</v>
      </c>
      <c r="E574" t="s">
        <v>1849</v>
      </c>
      <c r="F574" t="s">
        <v>40</v>
      </c>
      <c r="G574" t="s">
        <v>41</v>
      </c>
      <c r="H574" t="s">
        <v>1850</v>
      </c>
      <c r="I574" t="s">
        <v>43</v>
      </c>
      <c r="J574">
        <v>2</v>
      </c>
      <c r="K574" t="s">
        <v>44</v>
      </c>
      <c r="L574" t="s">
        <v>45</v>
      </c>
      <c r="M574" t="s">
        <v>46</v>
      </c>
      <c r="N574" s="7">
        <v>1</v>
      </c>
      <c r="O574" s="8">
        <v>45648.809687499997</v>
      </c>
      <c r="P574" s="9">
        <v>45650</v>
      </c>
      <c r="Q574" t="s">
        <v>74</v>
      </c>
      <c r="R574" t="s">
        <v>48</v>
      </c>
      <c r="S574" t="s">
        <v>49</v>
      </c>
      <c r="T574" t="s">
        <v>65</v>
      </c>
      <c r="U574" t="s">
        <v>1851</v>
      </c>
      <c r="V574">
        <v>78200</v>
      </c>
      <c r="W574" t="s">
        <v>48</v>
      </c>
      <c r="X574" t="s">
        <v>406</v>
      </c>
      <c r="Y574" t="s">
        <v>54</v>
      </c>
      <c r="Z574" s="12">
        <f>IF(N574&lt;=1,9,9+0.8*ROUNDUP(N574-1,0))</f>
        <v>9</v>
      </c>
      <c r="AA574" s="11">
        <v>-2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24"/>
        <v>0.42</v>
      </c>
      <c r="AG574" s="11">
        <f t="shared" si="25"/>
        <v>7.42</v>
      </c>
      <c r="AH574" s="11">
        <v>0</v>
      </c>
      <c r="AI574" s="11">
        <f t="shared" si="26"/>
        <v>7.42</v>
      </c>
      <c r="AJ574" t="s">
        <v>62</v>
      </c>
    </row>
    <row r="575" spans="1:36" ht="15" customHeight="1" x14ac:dyDescent="0.35">
      <c r="A575">
        <v>10428918</v>
      </c>
      <c r="B575" t="s">
        <v>36</v>
      </c>
      <c r="C575" t="s">
        <v>37</v>
      </c>
      <c r="D575" s="6" t="s">
        <v>38</v>
      </c>
      <c r="E575" t="s">
        <v>1852</v>
      </c>
      <c r="F575" t="s">
        <v>40</v>
      </c>
      <c r="G575" t="s">
        <v>41</v>
      </c>
      <c r="H575" t="s">
        <v>1853</v>
      </c>
      <c r="I575" t="s">
        <v>43</v>
      </c>
      <c r="J575">
        <v>2</v>
      </c>
      <c r="K575" t="s">
        <v>44</v>
      </c>
      <c r="L575" t="s">
        <v>45</v>
      </c>
      <c r="M575" t="s">
        <v>46</v>
      </c>
      <c r="N575" s="7">
        <v>1</v>
      </c>
      <c r="O575" s="8">
        <v>45649.499456018515</v>
      </c>
      <c r="P575" s="9">
        <v>45650</v>
      </c>
      <c r="Q575" t="s">
        <v>74</v>
      </c>
      <c r="R575" t="s">
        <v>48</v>
      </c>
      <c r="S575" t="s">
        <v>49</v>
      </c>
      <c r="T575" t="s">
        <v>90</v>
      </c>
      <c r="U575" t="s">
        <v>1854</v>
      </c>
      <c r="V575">
        <v>23000</v>
      </c>
      <c r="W575" t="s">
        <v>48</v>
      </c>
      <c r="X575" t="s">
        <v>92</v>
      </c>
      <c r="Y575" t="s">
        <v>54</v>
      </c>
      <c r="Z575" s="12">
        <f>IF(N575&lt;=1,9,9+0.8*ROUNDUP(N575-1,0))</f>
        <v>9</v>
      </c>
      <c r="AA575" s="11">
        <v>-2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24"/>
        <v>0.42</v>
      </c>
      <c r="AG575" s="11">
        <f t="shared" si="25"/>
        <v>7.42</v>
      </c>
      <c r="AH575" s="11">
        <v>0</v>
      </c>
      <c r="AI575" s="11">
        <f t="shared" si="26"/>
        <v>7.42</v>
      </c>
      <c r="AJ575" t="s">
        <v>62</v>
      </c>
    </row>
    <row r="576" spans="1:36" ht="15" customHeight="1" x14ac:dyDescent="0.35">
      <c r="A576">
        <v>10428918</v>
      </c>
      <c r="B576" t="s">
        <v>36</v>
      </c>
      <c r="C576" t="s">
        <v>37</v>
      </c>
      <c r="D576" s="6" t="s">
        <v>38</v>
      </c>
      <c r="E576" t="s">
        <v>1855</v>
      </c>
      <c r="F576" t="s">
        <v>40</v>
      </c>
      <c r="G576" t="s">
        <v>41</v>
      </c>
      <c r="H576" t="s">
        <v>1856</v>
      </c>
      <c r="I576" t="s">
        <v>43</v>
      </c>
      <c r="J576">
        <v>2</v>
      </c>
      <c r="K576" t="s">
        <v>44</v>
      </c>
      <c r="L576" t="s">
        <v>45</v>
      </c>
      <c r="M576" t="s">
        <v>46</v>
      </c>
      <c r="N576" s="7">
        <v>1</v>
      </c>
      <c r="O576" s="8">
        <v>45649.738969907405</v>
      </c>
      <c r="P576" s="9">
        <v>45650</v>
      </c>
      <c r="Q576" t="s">
        <v>74</v>
      </c>
      <c r="R576" t="s">
        <v>48</v>
      </c>
      <c r="S576" t="s">
        <v>49</v>
      </c>
      <c r="T576" t="s">
        <v>90</v>
      </c>
      <c r="U576" t="s">
        <v>1857</v>
      </c>
      <c r="V576">
        <v>24000</v>
      </c>
      <c r="W576" t="s">
        <v>48</v>
      </c>
      <c r="X576" t="s">
        <v>77</v>
      </c>
      <c r="Y576" t="s">
        <v>54</v>
      </c>
      <c r="Z576" s="12">
        <f>IF(N576&lt;=1,9,9+0.8*ROUNDUP(N576-1,0))</f>
        <v>9</v>
      </c>
      <c r="AA576" s="11">
        <v>-2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24"/>
        <v>0.42</v>
      </c>
      <c r="AG576" s="11">
        <f t="shared" si="25"/>
        <v>7.42</v>
      </c>
      <c r="AH576" s="11">
        <v>0</v>
      </c>
      <c r="AI576" s="11">
        <f t="shared" si="26"/>
        <v>7.42</v>
      </c>
      <c r="AJ576" t="s">
        <v>62</v>
      </c>
    </row>
    <row r="577" spans="1:36" ht="15" customHeight="1" x14ac:dyDescent="0.35">
      <c r="A577">
        <v>10428918</v>
      </c>
      <c r="B577" t="s">
        <v>36</v>
      </c>
      <c r="C577" t="s">
        <v>37</v>
      </c>
      <c r="D577" s="6" t="s">
        <v>38</v>
      </c>
      <c r="E577" t="s">
        <v>1858</v>
      </c>
      <c r="F577" t="s">
        <v>40</v>
      </c>
      <c r="G577" t="s">
        <v>41</v>
      </c>
      <c r="H577" t="s">
        <v>1859</v>
      </c>
      <c r="I577" t="s">
        <v>43</v>
      </c>
      <c r="J577">
        <v>2</v>
      </c>
      <c r="K577" t="s">
        <v>44</v>
      </c>
      <c r="L577" t="s">
        <v>45</v>
      </c>
      <c r="M577" t="s">
        <v>46</v>
      </c>
      <c r="N577" s="7">
        <v>3</v>
      </c>
      <c r="O577" s="8">
        <v>45648.74728009259</v>
      </c>
      <c r="P577" s="9">
        <v>45650</v>
      </c>
      <c r="Q577" t="s">
        <v>74</v>
      </c>
      <c r="R577" t="s">
        <v>48</v>
      </c>
      <c r="S577" t="s">
        <v>49</v>
      </c>
      <c r="T577" t="s">
        <v>80</v>
      </c>
      <c r="U577" t="s">
        <v>1860</v>
      </c>
      <c r="V577">
        <v>5400</v>
      </c>
      <c r="W577" t="s">
        <v>48</v>
      </c>
      <c r="X577" t="s">
        <v>53</v>
      </c>
      <c r="Y577" t="s">
        <v>54</v>
      </c>
      <c r="Z577" s="12">
        <f>IF(N577&lt;=1,9,9+0.8*ROUNDUP(N577-1,0))</f>
        <v>10.6</v>
      </c>
      <c r="AA577" s="11">
        <v>-2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24"/>
        <v>0.51600000000000001</v>
      </c>
      <c r="AG577" s="11">
        <f t="shared" si="25"/>
        <v>9.1159999999999997</v>
      </c>
      <c r="AH577" s="11">
        <v>0</v>
      </c>
      <c r="AI577" s="11">
        <f t="shared" si="26"/>
        <v>9.1159999999999997</v>
      </c>
      <c r="AJ577" t="s">
        <v>62</v>
      </c>
    </row>
    <row r="578" spans="1:36" ht="15" customHeight="1" x14ac:dyDescent="0.35">
      <c r="A578">
        <v>10428918</v>
      </c>
      <c r="B578" t="s">
        <v>36</v>
      </c>
      <c r="C578" t="s">
        <v>37</v>
      </c>
      <c r="D578" s="6" t="s">
        <v>38</v>
      </c>
      <c r="E578" t="s">
        <v>1861</v>
      </c>
      <c r="F578" t="s">
        <v>40</v>
      </c>
      <c r="G578" t="s">
        <v>41</v>
      </c>
      <c r="H578" t="s">
        <v>1084</v>
      </c>
      <c r="I578" t="s">
        <v>43</v>
      </c>
      <c r="J578">
        <v>2</v>
      </c>
      <c r="K578" t="s">
        <v>44</v>
      </c>
      <c r="L578" t="s">
        <v>45</v>
      </c>
      <c r="M578" t="s">
        <v>46</v>
      </c>
      <c r="N578" s="7">
        <v>2</v>
      </c>
      <c r="O578" s="8">
        <v>45649.640497685185</v>
      </c>
      <c r="P578" s="9">
        <v>45650</v>
      </c>
      <c r="Q578" t="s">
        <v>74</v>
      </c>
      <c r="R578" t="s">
        <v>48</v>
      </c>
      <c r="S578" t="s">
        <v>49</v>
      </c>
      <c r="T578" t="s">
        <v>170</v>
      </c>
      <c r="U578" t="s">
        <v>1085</v>
      </c>
      <c r="V578">
        <v>50300</v>
      </c>
      <c r="W578" t="s">
        <v>48</v>
      </c>
      <c r="X578" t="s">
        <v>365</v>
      </c>
      <c r="Y578" t="s">
        <v>54</v>
      </c>
      <c r="Z578" s="12">
        <f>IF(N578&lt;=1,9,9+0.8*ROUNDUP(N578-1,0))</f>
        <v>9.8000000000000007</v>
      </c>
      <c r="AA578" s="11">
        <v>-2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ref="AF578:AF641" si="27">(Z578+AA578+AC578+AE578)*6%</f>
        <v>0.46800000000000003</v>
      </c>
      <c r="AG578" s="11">
        <f t="shared" ref="AG578:AG641" si="28">Z578+AA578+AC578+AE578+AF578</f>
        <v>8.2680000000000007</v>
      </c>
      <c r="AH578" s="11">
        <v>0</v>
      </c>
      <c r="AI578" s="11">
        <f t="shared" ref="AI578:AI641" si="29">AG578+AH578</f>
        <v>8.2680000000000007</v>
      </c>
      <c r="AJ578" t="s">
        <v>62</v>
      </c>
    </row>
    <row r="579" spans="1:36" ht="15" customHeight="1" x14ac:dyDescent="0.35">
      <c r="A579">
        <v>10428918</v>
      </c>
      <c r="B579" t="s">
        <v>36</v>
      </c>
      <c r="C579" t="s">
        <v>37</v>
      </c>
      <c r="D579" s="6" t="s">
        <v>38</v>
      </c>
      <c r="E579" t="s">
        <v>1862</v>
      </c>
      <c r="F579" t="s">
        <v>40</v>
      </c>
      <c r="G579" t="s">
        <v>41</v>
      </c>
      <c r="H579" t="s">
        <v>1863</v>
      </c>
      <c r="I579" t="s">
        <v>43</v>
      </c>
      <c r="J579">
        <v>2</v>
      </c>
      <c r="K579" t="s">
        <v>44</v>
      </c>
      <c r="L579" t="s">
        <v>45</v>
      </c>
      <c r="M579" t="s">
        <v>46</v>
      </c>
      <c r="N579" s="7">
        <v>1</v>
      </c>
      <c r="O579" s="8">
        <v>45647.808738425927</v>
      </c>
      <c r="P579" s="9">
        <v>45650</v>
      </c>
      <c r="Q579" t="s">
        <v>74</v>
      </c>
      <c r="R579" t="s">
        <v>48</v>
      </c>
      <c r="S579" t="s">
        <v>49</v>
      </c>
      <c r="T579" t="s">
        <v>80</v>
      </c>
      <c r="U579" t="s">
        <v>1864</v>
      </c>
      <c r="V579">
        <v>5150</v>
      </c>
      <c r="W579" t="s">
        <v>48</v>
      </c>
      <c r="X579" t="s">
        <v>53</v>
      </c>
      <c r="Y579" t="s">
        <v>54</v>
      </c>
      <c r="Z579" s="12">
        <f>IF(N579&lt;=1,9,9+0.8*ROUNDUP(N579-1,0))</f>
        <v>9</v>
      </c>
      <c r="AA579" s="11">
        <v>-2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27"/>
        <v>0.42</v>
      </c>
      <c r="AG579" s="11">
        <f t="shared" si="28"/>
        <v>7.42</v>
      </c>
      <c r="AH579" s="11">
        <v>0</v>
      </c>
      <c r="AI579" s="11">
        <f t="shared" si="29"/>
        <v>7.42</v>
      </c>
      <c r="AJ579" t="s">
        <v>62</v>
      </c>
    </row>
    <row r="580" spans="1:36" ht="15" customHeight="1" x14ac:dyDescent="0.35">
      <c r="A580">
        <v>10428918</v>
      </c>
      <c r="B580" t="s">
        <v>36</v>
      </c>
      <c r="C580" t="s">
        <v>37</v>
      </c>
      <c r="D580" s="6" t="s">
        <v>38</v>
      </c>
      <c r="E580" t="s">
        <v>1865</v>
      </c>
      <c r="F580" t="s">
        <v>40</v>
      </c>
      <c r="G580" t="s">
        <v>41</v>
      </c>
      <c r="H580" t="s">
        <v>1866</v>
      </c>
      <c r="I580" t="s">
        <v>43</v>
      </c>
      <c r="J580">
        <v>2</v>
      </c>
      <c r="K580" t="s">
        <v>44</v>
      </c>
      <c r="L580" t="s">
        <v>45</v>
      </c>
      <c r="M580" t="s">
        <v>46</v>
      </c>
      <c r="N580" s="7">
        <v>1</v>
      </c>
      <c r="O580" s="8">
        <v>45648.809687499997</v>
      </c>
      <c r="P580" s="9">
        <v>45650</v>
      </c>
      <c r="Q580" t="s">
        <v>74</v>
      </c>
      <c r="R580" t="s">
        <v>48</v>
      </c>
      <c r="S580" t="s">
        <v>49</v>
      </c>
      <c r="T580" t="s">
        <v>117</v>
      </c>
      <c r="U580" t="s">
        <v>1867</v>
      </c>
      <c r="V580">
        <v>43650</v>
      </c>
      <c r="W580" t="s">
        <v>48</v>
      </c>
      <c r="X580" t="s">
        <v>53</v>
      </c>
      <c r="Y580" t="s">
        <v>54</v>
      </c>
      <c r="Z580" s="12">
        <f>IF(N580&lt;=1,9,9+0.8*ROUNDUP(N580-1,0))</f>
        <v>9</v>
      </c>
      <c r="AA580" s="11">
        <v>-2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27"/>
        <v>0.42</v>
      </c>
      <c r="AG580" s="11">
        <f t="shared" si="28"/>
        <v>7.42</v>
      </c>
      <c r="AH580" s="11">
        <v>0</v>
      </c>
      <c r="AI580" s="11">
        <f t="shared" si="29"/>
        <v>7.42</v>
      </c>
      <c r="AJ580" t="s">
        <v>62</v>
      </c>
    </row>
    <row r="581" spans="1:36" ht="15" customHeight="1" x14ac:dyDescent="0.35">
      <c r="A581">
        <v>10428918</v>
      </c>
      <c r="B581" t="s">
        <v>36</v>
      </c>
      <c r="C581" t="s">
        <v>37</v>
      </c>
      <c r="D581" s="6" t="s">
        <v>38</v>
      </c>
      <c r="E581" t="s">
        <v>1868</v>
      </c>
      <c r="F581" t="s">
        <v>40</v>
      </c>
      <c r="G581" t="s">
        <v>41</v>
      </c>
      <c r="H581" t="s">
        <v>1869</v>
      </c>
      <c r="I581" t="s">
        <v>43</v>
      </c>
      <c r="J581">
        <v>2</v>
      </c>
      <c r="K581" t="s">
        <v>44</v>
      </c>
      <c r="L581" t="s">
        <v>45</v>
      </c>
      <c r="M581" t="s">
        <v>46</v>
      </c>
      <c r="N581" s="7">
        <v>2</v>
      </c>
      <c r="O581" s="8">
        <v>45643.629629629628</v>
      </c>
      <c r="P581" s="9">
        <v>45650</v>
      </c>
      <c r="Q581" t="s">
        <v>74</v>
      </c>
      <c r="R581" t="s">
        <v>48</v>
      </c>
      <c r="S581" t="s">
        <v>49</v>
      </c>
      <c r="T581" t="s">
        <v>50</v>
      </c>
      <c r="U581" t="s">
        <v>1870</v>
      </c>
      <c r="V581">
        <v>91100</v>
      </c>
      <c r="W581" t="s">
        <v>52</v>
      </c>
      <c r="X581" t="s">
        <v>53</v>
      </c>
      <c r="Y581" t="s">
        <v>54</v>
      </c>
      <c r="Z581" s="10">
        <f>IF(N581&lt;=1,13,IF(N581&lt;=2,23,IF(N581&lt;=3,35,IF(N581&lt;=4,43,IF(N581&lt;=5,53,IF(N581&lt;=6,63,IF(N581&lt;=7,71,IF(N581&lt;=8,79,IF(N581&lt;=9,87,IF(N581&lt;=10,95,IF(N581&lt;=11,105,IF(N581&lt;=12,114,IF(N581&lt;=13,119,IF(N581&lt;=14,127,IF(N581&lt;=15,135,IF(N581&lt;=16,143,IF(N581&lt;=17,153,IF(N581&lt;=18,163,IF(N581&lt;=19,171,IF(N581&lt;=20,185,IF(N581&lt;=21,193,IF(N581&lt;=22,201,IF(N581&lt;=23,210,IF(N581&lt;=24,220,IF(N581&lt;=25,230,IF(N581&lt;=26,240,IF(N581&lt;=27,250,IF(N581&lt;=28,260,IF(N581&lt;=29,270,IF(N581&lt;=30,280,280+10*ROUNDUP(N581-30,0)))))))))))))))))))))))))))))))</f>
        <v>23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27"/>
        <v>1.38</v>
      </c>
      <c r="AG581" s="11">
        <f t="shared" si="28"/>
        <v>24.38</v>
      </c>
      <c r="AH581" s="11">
        <v>0</v>
      </c>
      <c r="AI581" s="11">
        <f t="shared" si="29"/>
        <v>24.38</v>
      </c>
      <c r="AJ581" t="s">
        <v>55</v>
      </c>
    </row>
    <row r="582" spans="1:36" ht="15" customHeight="1" x14ac:dyDescent="0.35">
      <c r="A582">
        <v>10428918</v>
      </c>
      <c r="B582" t="s">
        <v>36</v>
      </c>
      <c r="C582" t="s">
        <v>37</v>
      </c>
      <c r="D582" s="6" t="s">
        <v>38</v>
      </c>
      <c r="E582" t="s">
        <v>1871</v>
      </c>
      <c r="F582" t="s">
        <v>40</v>
      </c>
      <c r="G582" t="s">
        <v>41</v>
      </c>
      <c r="H582" t="s">
        <v>1872</v>
      </c>
      <c r="I582" t="s">
        <v>43</v>
      </c>
      <c r="J582">
        <v>2</v>
      </c>
      <c r="K582" t="s">
        <v>44</v>
      </c>
      <c r="L582" t="s">
        <v>45</v>
      </c>
      <c r="M582" t="s">
        <v>46</v>
      </c>
      <c r="N582" s="7">
        <v>2</v>
      </c>
      <c r="O582" s="8">
        <v>45648.708680555559</v>
      </c>
      <c r="P582" s="9">
        <v>45650</v>
      </c>
      <c r="Q582" t="s">
        <v>74</v>
      </c>
      <c r="R582" t="s">
        <v>48</v>
      </c>
      <c r="S582" t="s">
        <v>49</v>
      </c>
      <c r="T582" t="s">
        <v>693</v>
      </c>
      <c r="U582" t="s">
        <v>1873</v>
      </c>
      <c r="V582">
        <v>1000</v>
      </c>
      <c r="W582" t="s">
        <v>48</v>
      </c>
      <c r="X582" t="s">
        <v>1874</v>
      </c>
      <c r="Y582" t="s">
        <v>54</v>
      </c>
      <c r="Z582" s="12">
        <f>IF(N582&lt;=1,9,9+0.8*ROUNDUP(N582-1,0))</f>
        <v>9.8000000000000007</v>
      </c>
      <c r="AA582" s="11">
        <v>-2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27"/>
        <v>0.46800000000000003</v>
      </c>
      <c r="AG582" s="11">
        <f t="shared" si="28"/>
        <v>8.2680000000000007</v>
      </c>
      <c r="AH582" s="11">
        <v>0</v>
      </c>
      <c r="AI582" s="11">
        <f t="shared" si="29"/>
        <v>8.2680000000000007</v>
      </c>
      <c r="AJ582" t="s">
        <v>62</v>
      </c>
    </row>
    <row r="583" spans="1:36" ht="15" customHeight="1" x14ac:dyDescent="0.35">
      <c r="A583">
        <v>10428918</v>
      </c>
      <c r="B583" t="s">
        <v>36</v>
      </c>
      <c r="C583" t="s">
        <v>37</v>
      </c>
      <c r="D583" s="6" t="s">
        <v>38</v>
      </c>
      <c r="E583" t="s">
        <v>1875</v>
      </c>
      <c r="F583" t="s">
        <v>40</v>
      </c>
      <c r="G583" t="s">
        <v>41</v>
      </c>
      <c r="H583" t="s">
        <v>1876</v>
      </c>
      <c r="I583" t="s">
        <v>43</v>
      </c>
      <c r="J583">
        <v>2</v>
      </c>
      <c r="K583" t="s">
        <v>44</v>
      </c>
      <c r="L583" t="s">
        <v>45</v>
      </c>
      <c r="M583" t="s">
        <v>46</v>
      </c>
      <c r="N583" s="7">
        <v>1</v>
      </c>
      <c r="O583" s="8">
        <v>45648.809664351851</v>
      </c>
      <c r="P583" s="9">
        <v>45650</v>
      </c>
      <c r="Q583" t="s">
        <v>74</v>
      </c>
      <c r="R583" t="s">
        <v>48</v>
      </c>
      <c r="S583" t="s">
        <v>49</v>
      </c>
      <c r="T583" t="s">
        <v>75</v>
      </c>
      <c r="U583" t="s">
        <v>1877</v>
      </c>
      <c r="V583">
        <v>27000</v>
      </c>
      <c r="W583" t="s">
        <v>48</v>
      </c>
      <c r="X583" t="s">
        <v>77</v>
      </c>
      <c r="Y583" t="s">
        <v>54</v>
      </c>
      <c r="Z583" s="12">
        <f>IF(N583&lt;=1,9,9+0.8*ROUNDUP(N583-1,0))</f>
        <v>9</v>
      </c>
      <c r="AA583" s="11">
        <v>-2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27"/>
        <v>0.42</v>
      </c>
      <c r="AG583" s="11">
        <f t="shared" si="28"/>
        <v>7.42</v>
      </c>
      <c r="AH583" s="11">
        <v>0</v>
      </c>
      <c r="AI583" s="11">
        <f t="shared" si="29"/>
        <v>7.42</v>
      </c>
      <c r="AJ583" t="s">
        <v>62</v>
      </c>
    </row>
    <row r="584" spans="1:36" ht="15" customHeight="1" x14ac:dyDescent="0.35">
      <c r="A584">
        <v>10428918</v>
      </c>
      <c r="B584" t="s">
        <v>36</v>
      </c>
      <c r="C584" t="s">
        <v>37</v>
      </c>
      <c r="D584" s="6" t="s">
        <v>38</v>
      </c>
      <c r="E584" t="s">
        <v>1878</v>
      </c>
      <c r="F584" t="s">
        <v>40</v>
      </c>
      <c r="G584" t="s">
        <v>41</v>
      </c>
      <c r="H584" t="s">
        <v>1879</v>
      </c>
      <c r="I584" t="s">
        <v>43</v>
      </c>
      <c r="J584">
        <v>2</v>
      </c>
      <c r="K584" t="s">
        <v>44</v>
      </c>
      <c r="L584" t="s">
        <v>45</v>
      </c>
      <c r="M584" t="s">
        <v>46</v>
      </c>
      <c r="N584" s="7">
        <v>1</v>
      </c>
      <c r="O584" s="8">
        <v>45649.705324074072</v>
      </c>
      <c r="P584" s="9">
        <v>45650</v>
      </c>
      <c r="Q584" t="s">
        <v>74</v>
      </c>
      <c r="R584" t="s">
        <v>48</v>
      </c>
      <c r="S584" t="s">
        <v>49</v>
      </c>
      <c r="T584" t="s">
        <v>90</v>
      </c>
      <c r="U584" t="s">
        <v>1880</v>
      </c>
      <c r="V584">
        <v>21200</v>
      </c>
      <c r="W584" t="s">
        <v>48</v>
      </c>
      <c r="X584" t="s">
        <v>92</v>
      </c>
      <c r="Y584" t="s">
        <v>54</v>
      </c>
      <c r="Z584" s="12">
        <f>IF(N584&lt;=1,9,9+0.8*ROUNDUP(N584-1,0))</f>
        <v>9</v>
      </c>
      <c r="AA584" s="11">
        <v>-2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27"/>
        <v>0.42</v>
      </c>
      <c r="AG584" s="11">
        <f t="shared" si="28"/>
        <v>7.42</v>
      </c>
      <c r="AH584" s="11">
        <v>0</v>
      </c>
      <c r="AI584" s="11">
        <f t="shared" si="29"/>
        <v>7.42</v>
      </c>
      <c r="AJ584" t="s">
        <v>62</v>
      </c>
    </row>
    <row r="585" spans="1:36" ht="15" customHeight="1" x14ac:dyDescent="0.35">
      <c r="A585">
        <v>10428918</v>
      </c>
      <c r="B585" t="s">
        <v>36</v>
      </c>
      <c r="C585" t="s">
        <v>37</v>
      </c>
      <c r="D585" s="6" t="s">
        <v>38</v>
      </c>
      <c r="E585" t="s">
        <v>1881</v>
      </c>
      <c r="F585" t="s">
        <v>40</v>
      </c>
      <c r="G585" t="s">
        <v>41</v>
      </c>
      <c r="H585" t="s">
        <v>1882</v>
      </c>
      <c r="I585" t="s">
        <v>43</v>
      </c>
      <c r="J585">
        <v>2</v>
      </c>
      <c r="K585" t="s">
        <v>44</v>
      </c>
      <c r="L585" t="s">
        <v>45</v>
      </c>
      <c r="M585" t="s">
        <v>46</v>
      </c>
      <c r="N585" s="7">
        <v>1</v>
      </c>
      <c r="O585" s="8">
        <v>45647.822835648149</v>
      </c>
      <c r="P585" s="9">
        <v>45650</v>
      </c>
      <c r="Q585" t="s">
        <v>74</v>
      </c>
      <c r="R585" t="s">
        <v>48</v>
      </c>
      <c r="S585" t="s">
        <v>49</v>
      </c>
      <c r="T585" t="s">
        <v>69</v>
      </c>
      <c r="U585" t="s">
        <v>1883</v>
      </c>
      <c r="V585">
        <v>81100</v>
      </c>
      <c r="W585" t="s">
        <v>48</v>
      </c>
      <c r="X585" t="s">
        <v>552</v>
      </c>
      <c r="Y585" t="s">
        <v>54</v>
      </c>
      <c r="Z585" s="12">
        <f>IF(N585&lt;=1,9,9+0.8*ROUNDUP(N585-1,0))</f>
        <v>9</v>
      </c>
      <c r="AA585" s="11">
        <v>-2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27"/>
        <v>0.42</v>
      </c>
      <c r="AG585" s="11">
        <f t="shared" si="28"/>
        <v>7.42</v>
      </c>
      <c r="AH585" s="11">
        <v>0</v>
      </c>
      <c r="AI585" s="11">
        <f t="shared" si="29"/>
        <v>7.42</v>
      </c>
      <c r="AJ585" t="s">
        <v>62</v>
      </c>
    </row>
    <row r="586" spans="1:36" ht="15" customHeight="1" x14ac:dyDescent="0.35">
      <c r="A586">
        <v>10428918</v>
      </c>
      <c r="B586" t="s">
        <v>36</v>
      </c>
      <c r="C586" t="s">
        <v>37</v>
      </c>
      <c r="D586" s="6" t="s">
        <v>38</v>
      </c>
      <c r="E586" t="s">
        <v>1884</v>
      </c>
      <c r="F586" t="s">
        <v>40</v>
      </c>
      <c r="G586" t="s">
        <v>41</v>
      </c>
      <c r="H586" t="s">
        <v>1885</v>
      </c>
      <c r="I586" t="s">
        <v>43</v>
      </c>
      <c r="J586">
        <v>2</v>
      </c>
      <c r="K586" t="s">
        <v>44</v>
      </c>
      <c r="L586" t="s">
        <v>45</v>
      </c>
      <c r="M586" t="s">
        <v>46</v>
      </c>
      <c r="N586" s="7">
        <v>1</v>
      </c>
      <c r="O586" s="8">
        <v>45648.746793981481</v>
      </c>
      <c r="P586" s="9">
        <v>45650</v>
      </c>
      <c r="Q586" t="s">
        <v>74</v>
      </c>
      <c r="R586" t="s">
        <v>48</v>
      </c>
      <c r="S586" t="s">
        <v>49</v>
      </c>
      <c r="T586" t="s">
        <v>117</v>
      </c>
      <c r="U586" t="s">
        <v>1886</v>
      </c>
      <c r="V586">
        <v>42100</v>
      </c>
      <c r="W586" t="s">
        <v>48</v>
      </c>
      <c r="X586" t="s">
        <v>623</v>
      </c>
      <c r="Y586" t="s">
        <v>54</v>
      </c>
      <c r="Z586" s="12">
        <f>IF(N586&lt;=1,9,9+0.8*ROUNDUP(N586-1,0))</f>
        <v>9</v>
      </c>
      <c r="AA586" s="11">
        <v>-2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27"/>
        <v>0.42</v>
      </c>
      <c r="AG586" s="11">
        <f t="shared" si="28"/>
        <v>7.42</v>
      </c>
      <c r="AH586" s="11">
        <v>0</v>
      </c>
      <c r="AI586" s="11">
        <f t="shared" si="29"/>
        <v>7.42</v>
      </c>
      <c r="AJ586" t="s">
        <v>62</v>
      </c>
    </row>
    <row r="587" spans="1:36" ht="15" customHeight="1" x14ac:dyDescent="0.35">
      <c r="A587">
        <v>10428918</v>
      </c>
      <c r="B587" t="s">
        <v>36</v>
      </c>
      <c r="C587" t="s">
        <v>37</v>
      </c>
      <c r="D587" s="6" t="s">
        <v>38</v>
      </c>
      <c r="E587" t="s">
        <v>1887</v>
      </c>
      <c r="F587" t="s">
        <v>40</v>
      </c>
      <c r="G587" t="s">
        <v>41</v>
      </c>
      <c r="H587" t="s">
        <v>1888</v>
      </c>
      <c r="I587" t="s">
        <v>43</v>
      </c>
      <c r="J587">
        <v>2</v>
      </c>
      <c r="K587" t="s">
        <v>44</v>
      </c>
      <c r="L587" t="s">
        <v>45</v>
      </c>
      <c r="M587" t="s">
        <v>46</v>
      </c>
      <c r="N587" s="7">
        <v>1</v>
      </c>
      <c r="O587" s="8">
        <v>45649.640497685185</v>
      </c>
      <c r="P587" s="9">
        <v>45650</v>
      </c>
      <c r="Q587" t="s">
        <v>74</v>
      </c>
      <c r="R587" t="s">
        <v>48</v>
      </c>
      <c r="S587" t="s">
        <v>49</v>
      </c>
      <c r="T587" t="s">
        <v>117</v>
      </c>
      <c r="U587" t="s">
        <v>1889</v>
      </c>
      <c r="V587">
        <v>43650</v>
      </c>
      <c r="W587" t="s">
        <v>48</v>
      </c>
      <c r="X587" t="s">
        <v>191</v>
      </c>
      <c r="Y587" t="s">
        <v>54</v>
      </c>
      <c r="Z587" s="12">
        <f>IF(N587&lt;=1,9,9+0.8*ROUNDUP(N587-1,0))</f>
        <v>9</v>
      </c>
      <c r="AA587" s="11">
        <v>-2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27"/>
        <v>0.42</v>
      </c>
      <c r="AG587" s="11">
        <f t="shared" si="28"/>
        <v>7.42</v>
      </c>
      <c r="AH587" s="11">
        <v>0</v>
      </c>
      <c r="AI587" s="11">
        <f t="shared" si="29"/>
        <v>7.42</v>
      </c>
      <c r="AJ587" t="s">
        <v>62</v>
      </c>
    </row>
    <row r="588" spans="1:36" ht="15" customHeight="1" x14ac:dyDescent="0.35">
      <c r="A588">
        <v>10428918</v>
      </c>
      <c r="B588" t="s">
        <v>36</v>
      </c>
      <c r="C588" t="s">
        <v>37</v>
      </c>
      <c r="D588" s="6" t="s">
        <v>38</v>
      </c>
      <c r="E588" t="s">
        <v>1890</v>
      </c>
      <c r="F588" t="s">
        <v>40</v>
      </c>
      <c r="G588" t="s">
        <v>41</v>
      </c>
      <c r="H588" t="s">
        <v>1147</v>
      </c>
      <c r="I588" t="s">
        <v>43</v>
      </c>
      <c r="J588">
        <v>2</v>
      </c>
      <c r="K588" t="s">
        <v>44</v>
      </c>
      <c r="L588" t="s">
        <v>45</v>
      </c>
      <c r="M588" t="s">
        <v>46</v>
      </c>
      <c r="N588" s="7">
        <v>1</v>
      </c>
      <c r="O588" s="8">
        <v>45648.686759259261</v>
      </c>
      <c r="P588" s="9">
        <v>45650</v>
      </c>
      <c r="Q588" t="s">
        <v>74</v>
      </c>
      <c r="R588" t="s">
        <v>48</v>
      </c>
      <c r="S588" t="s">
        <v>49</v>
      </c>
      <c r="T588" t="s">
        <v>69</v>
      </c>
      <c r="U588" t="s">
        <v>1891</v>
      </c>
      <c r="V588">
        <v>80350</v>
      </c>
      <c r="W588" t="s">
        <v>48</v>
      </c>
      <c r="X588" t="s">
        <v>761</v>
      </c>
      <c r="Y588" t="s">
        <v>54</v>
      </c>
      <c r="Z588" s="12">
        <f>IF(N588&lt;=1,9,9+0.8*ROUNDUP(N588-1,0))</f>
        <v>9</v>
      </c>
      <c r="AA588" s="11">
        <v>-2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27"/>
        <v>0.42</v>
      </c>
      <c r="AG588" s="11">
        <f t="shared" si="28"/>
        <v>7.42</v>
      </c>
      <c r="AH588" s="11">
        <v>0</v>
      </c>
      <c r="AI588" s="11">
        <f t="shared" si="29"/>
        <v>7.42</v>
      </c>
      <c r="AJ588" t="s">
        <v>62</v>
      </c>
    </row>
    <row r="589" spans="1:36" ht="15" customHeight="1" x14ac:dyDescent="0.35">
      <c r="A589">
        <v>10428918</v>
      </c>
      <c r="B589" t="s">
        <v>36</v>
      </c>
      <c r="C589" t="s">
        <v>37</v>
      </c>
      <c r="D589" s="6" t="s">
        <v>38</v>
      </c>
      <c r="E589" t="s">
        <v>1892</v>
      </c>
      <c r="F589" t="s">
        <v>40</v>
      </c>
      <c r="G589" t="s">
        <v>41</v>
      </c>
      <c r="H589" t="s">
        <v>1893</v>
      </c>
      <c r="I589" t="s">
        <v>43</v>
      </c>
      <c r="J589">
        <v>2</v>
      </c>
      <c r="K589" t="s">
        <v>44</v>
      </c>
      <c r="L589" t="s">
        <v>45</v>
      </c>
      <c r="M589" t="s">
        <v>46</v>
      </c>
      <c r="N589" s="7">
        <v>1</v>
      </c>
      <c r="O589" s="8">
        <v>45648.809675925928</v>
      </c>
      <c r="P589" s="9">
        <v>45650</v>
      </c>
      <c r="Q589" t="s">
        <v>74</v>
      </c>
      <c r="R589" t="s">
        <v>48</v>
      </c>
      <c r="S589" t="s">
        <v>49</v>
      </c>
      <c r="T589" t="s">
        <v>59</v>
      </c>
      <c r="U589" t="s">
        <v>1894</v>
      </c>
      <c r="V589">
        <v>16800</v>
      </c>
      <c r="W589" t="s">
        <v>48</v>
      </c>
      <c r="X589" t="s">
        <v>61</v>
      </c>
      <c r="Y589" t="s">
        <v>54</v>
      </c>
      <c r="Z589" s="12">
        <f>IF(N589&lt;=1,9,9+0.8*ROUNDUP(N589-1,0))</f>
        <v>9</v>
      </c>
      <c r="AA589" s="11">
        <v>-2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27"/>
        <v>0.42</v>
      </c>
      <c r="AG589" s="11">
        <f t="shared" si="28"/>
        <v>7.42</v>
      </c>
      <c r="AH589" s="11">
        <v>0</v>
      </c>
      <c r="AI589" s="11">
        <f t="shared" si="29"/>
        <v>7.42</v>
      </c>
      <c r="AJ589" t="s">
        <v>62</v>
      </c>
    </row>
    <row r="590" spans="1:36" ht="15" customHeight="1" x14ac:dyDescent="0.35">
      <c r="A590">
        <v>10428918</v>
      </c>
      <c r="B590" t="s">
        <v>36</v>
      </c>
      <c r="C590" t="s">
        <v>37</v>
      </c>
      <c r="D590" s="6" t="s">
        <v>38</v>
      </c>
      <c r="E590" t="s">
        <v>1895</v>
      </c>
      <c r="F590" t="s">
        <v>40</v>
      </c>
      <c r="G590" t="s">
        <v>41</v>
      </c>
      <c r="H590" t="s">
        <v>1896</v>
      </c>
      <c r="I590" t="s">
        <v>43</v>
      </c>
      <c r="J590">
        <v>2</v>
      </c>
      <c r="K590" t="s">
        <v>44</v>
      </c>
      <c r="L590" t="s">
        <v>45</v>
      </c>
      <c r="M590" t="s">
        <v>46</v>
      </c>
      <c r="N590" s="7">
        <v>2</v>
      </c>
      <c r="O590" s="8">
        <v>45649.630358796298</v>
      </c>
      <c r="P590" s="9">
        <v>45650</v>
      </c>
      <c r="Q590" t="s">
        <v>74</v>
      </c>
      <c r="R590" t="s">
        <v>48</v>
      </c>
      <c r="S590" t="s">
        <v>49</v>
      </c>
      <c r="T590" t="s">
        <v>117</v>
      </c>
      <c r="U590" t="s">
        <v>1897</v>
      </c>
      <c r="V590">
        <v>47500</v>
      </c>
      <c r="W590" t="s">
        <v>48</v>
      </c>
      <c r="X590" t="s">
        <v>473</v>
      </c>
      <c r="Y590" t="s">
        <v>54</v>
      </c>
      <c r="Z590" s="12">
        <f>IF(N590&lt;=1,9,9+0.8*ROUNDUP(N590-1,0))</f>
        <v>9.8000000000000007</v>
      </c>
      <c r="AA590" s="11">
        <v>-2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27"/>
        <v>0.46800000000000003</v>
      </c>
      <c r="AG590" s="11">
        <f t="shared" si="28"/>
        <v>8.2680000000000007</v>
      </c>
      <c r="AH590" s="11">
        <v>0</v>
      </c>
      <c r="AI590" s="11">
        <f t="shared" si="29"/>
        <v>8.2680000000000007</v>
      </c>
      <c r="AJ590" t="s">
        <v>62</v>
      </c>
    </row>
    <row r="591" spans="1:36" ht="15" customHeight="1" x14ac:dyDescent="0.35">
      <c r="A591">
        <v>10428918</v>
      </c>
      <c r="B591" t="s">
        <v>36</v>
      </c>
      <c r="C591" t="s">
        <v>37</v>
      </c>
      <c r="D591" s="6" t="s">
        <v>38</v>
      </c>
      <c r="E591" t="s">
        <v>1898</v>
      </c>
      <c r="F591" t="s">
        <v>40</v>
      </c>
      <c r="G591" t="s">
        <v>41</v>
      </c>
      <c r="H591" t="s">
        <v>1899</v>
      </c>
      <c r="I591" t="s">
        <v>43</v>
      </c>
      <c r="J591">
        <v>2</v>
      </c>
      <c r="K591" t="s">
        <v>44</v>
      </c>
      <c r="L591" t="s">
        <v>45</v>
      </c>
      <c r="M591" t="s">
        <v>46</v>
      </c>
      <c r="N591" s="7">
        <v>1</v>
      </c>
      <c r="O591" s="8">
        <v>45648.588460648149</v>
      </c>
      <c r="P591" s="9">
        <v>45650</v>
      </c>
      <c r="Q591" t="s">
        <v>74</v>
      </c>
      <c r="R591" t="s">
        <v>48</v>
      </c>
      <c r="S591" t="s">
        <v>49</v>
      </c>
      <c r="T591" t="s">
        <v>69</v>
      </c>
      <c r="U591" t="s">
        <v>1900</v>
      </c>
      <c r="V591">
        <v>81300</v>
      </c>
      <c r="W591" t="s">
        <v>48</v>
      </c>
      <c r="X591" t="s">
        <v>394</v>
      </c>
      <c r="Y591" t="s">
        <v>54</v>
      </c>
      <c r="Z591" s="12">
        <f>IF(N591&lt;=1,9,9+0.8*ROUNDUP(N591-1,0))</f>
        <v>9</v>
      </c>
      <c r="AA591" s="11">
        <v>-2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27"/>
        <v>0.42</v>
      </c>
      <c r="AG591" s="11">
        <f t="shared" si="28"/>
        <v>7.42</v>
      </c>
      <c r="AH591" s="11">
        <v>0</v>
      </c>
      <c r="AI591" s="11">
        <f t="shared" si="29"/>
        <v>7.42</v>
      </c>
      <c r="AJ591" t="s">
        <v>62</v>
      </c>
    </row>
    <row r="592" spans="1:36" ht="15" customHeight="1" x14ac:dyDescent="0.35">
      <c r="A592">
        <v>10428918</v>
      </c>
      <c r="B592" t="s">
        <v>36</v>
      </c>
      <c r="C592" t="s">
        <v>37</v>
      </c>
      <c r="D592" s="6" t="s">
        <v>38</v>
      </c>
      <c r="E592" t="s">
        <v>1901</v>
      </c>
      <c r="F592" t="s">
        <v>40</v>
      </c>
      <c r="G592" t="s">
        <v>41</v>
      </c>
      <c r="H592" t="s">
        <v>1902</v>
      </c>
      <c r="I592" t="s">
        <v>43</v>
      </c>
      <c r="J592">
        <v>2</v>
      </c>
      <c r="K592" t="s">
        <v>44</v>
      </c>
      <c r="L592" t="s">
        <v>45</v>
      </c>
      <c r="M592" t="s">
        <v>46</v>
      </c>
      <c r="N592" s="7">
        <v>1</v>
      </c>
      <c r="O592" s="8">
        <v>45648.809675925928</v>
      </c>
      <c r="P592" s="9">
        <v>45650</v>
      </c>
      <c r="Q592" t="s">
        <v>74</v>
      </c>
      <c r="R592" t="s">
        <v>48</v>
      </c>
      <c r="S592" t="s">
        <v>49</v>
      </c>
      <c r="T592" t="s">
        <v>59</v>
      </c>
      <c r="U592" t="s">
        <v>1903</v>
      </c>
      <c r="V592">
        <v>17500</v>
      </c>
      <c r="W592" t="s">
        <v>48</v>
      </c>
      <c r="X592" t="s">
        <v>61</v>
      </c>
      <c r="Y592" t="s">
        <v>54</v>
      </c>
      <c r="Z592" s="12">
        <f>IF(N592&lt;=1,9,9+0.8*ROUNDUP(N592-1,0))</f>
        <v>9</v>
      </c>
      <c r="AA592" s="11">
        <v>-2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27"/>
        <v>0.42</v>
      </c>
      <c r="AG592" s="11">
        <f t="shared" si="28"/>
        <v>7.42</v>
      </c>
      <c r="AH592" s="11">
        <v>0</v>
      </c>
      <c r="AI592" s="11">
        <f t="shared" si="29"/>
        <v>7.42</v>
      </c>
      <c r="AJ592" t="s">
        <v>62</v>
      </c>
    </row>
    <row r="593" spans="1:36" ht="15" customHeight="1" x14ac:dyDescent="0.35">
      <c r="A593">
        <v>10428918</v>
      </c>
      <c r="B593" t="s">
        <v>36</v>
      </c>
      <c r="C593" t="s">
        <v>37</v>
      </c>
      <c r="D593" s="6" t="s">
        <v>38</v>
      </c>
      <c r="E593" t="s">
        <v>1904</v>
      </c>
      <c r="F593" t="s">
        <v>40</v>
      </c>
      <c r="G593" t="s">
        <v>41</v>
      </c>
      <c r="H593" t="s">
        <v>1905</v>
      </c>
      <c r="I593" t="s">
        <v>43</v>
      </c>
      <c r="J593">
        <v>2</v>
      </c>
      <c r="K593" t="s">
        <v>44</v>
      </c>
      <c r="L593" t="s">
        <v>45</v>
      </c>
      <c r="M593" t="s">
        <v>46</v>
      </c>
      <c r="N593" s="7">
        <v>1</v>
      </c>
      <c r="O593" s="8">
        <v>45648.809687499997</v>
      </c>
      <c r="P593" s="9">
        <v>45650</v>
      </c>
      <c r="Q593" t="s">
        <v>74</v>
      </c>
      <c r="R593" t="s">
        <v>48</v>
      </c>
      <c r="S593" t="s">
        <v>49</v>
      </c>
      <c r="T593" t="s">
        <v>59</v>
      </c>
      <c r="U593" t="s">
        <v>1906</v>
      </c>
      <c r="V593">
        <v>15100</v>
      </c>
      <c r="W593" t="s">
        <v>48</v>
      </c>
      <c r="X593" t="s">
        <v>61</v>
      </c>
      <c r="Y593" t="s">
        <v>54</v>
      </c>
      <c r="Z593" s="12">
        <f>IF(N593&lt;=1,9,9+0.8*ROUNDUP(N593-1,0))</f>
        <v>9</v>
      </c>
      <c r="AA593" s="11">
        <v>-2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27"/>
        <v>0.42</v>
      </c>
      <c r="AG593" s="11">
        <f t="shared" si="28"/>
        <v>7.42</v>
      </c>
      <c r="AH593" s="11">
        <v>0</v>
      </c>
      <c r="AI593" s="11">
        <f t="shared" si="29"/>
        <v>7.42</v>
      </c>
      <c r="AJ593" t="s">
        <v>62</v>
      </c>
    </row>
    <row r="594" spans="1:36" ht="15" customHeight="1" x14ac:dyDescent="0.35">
      <c r="A594">
        <v>10428918</v>
      </c>
      <c r="B594" t="s">
        <v>36</v>
      </c>
      <c r="C594" t="s">
        <v>37</v>
      </c>
      <c r="D594" s="6" t="s">
        <v>38</v>
      </c>
      <c r="E594" t="s">
        <v>1907</v>
      </c>
      <c r="F594" t="s">
        <v>40</v>
      </c>
      <c r="G594" t="s">
        <v>41</v>
      </c>
      <c r="H594" t="s">
        <v>1908</v>
      </c>
      <c r="I594" t="s">
        <v>43</v>
      </c>
      <c r="J594">
        <v>2</v>
      </c>
      <c r="K594" t="s">
        <v>44</v>
      </c>
      <c r="L594" t="s">
        <v>45</v>
      </c>
      <c r="M594" t="s">
        <v>46</v>
      </c>
      <c r="N594" s="7">
        <v>2</v>
      </c>
      <c r="O594" s="8">
        <v>45648.710729166669</v>
      </c>
      <c r="P594" s="9">
        <v>45650</v>
      </c>
      <c r="Q594" t="s">
        <v>74</v>
      </c>
      <c r="R594" t="s">
        <v>48</v>
      </c>
      <c r="S594" t="s">
        <v>49</v>
      </c>
      <c r="T594" t="s">
        <v>101</v>
      </c>
      <c r="U594" t="s">
        <v>1909</v>
      </c>
      <c r="V594">
        <v>32020</v>
      </c>
      <c r="W594" t="s">
        <v>48</v>
      </c>
      <c r="X594" t="s">
        <v>1120</v>
      </c>
      <c r="Y594" t="s">
        <v>54</v>
      </c>
      <c r="Z594" s="12">
        <f>IF(N594&lt;=1,9,9+0.8*ROUNDUP(N594-1,0))</f>
        <v>9.8000000000000007</v>
      </c>
      <c r="AA594" s="11">
        <v>-2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27"/>
        <v>0.46800000000000003</v>
      </c>
      <c r="AG594" s="11">
        <f t="shared" si="28"/>
        <v>8.2680000000000007</v>
      </c>
      <c r="AH594" s="11">
        <v>0</v>
      </c>
      <c r="AI594" s="11">
        <f t="shared" si="29"/>
        <v>8.2680000000000007</v>
      </c>
      <c r="AJ594" t="s">
        <v>62</v>
      </c>
    </row>
    <row r="595" spans="1:36" ht="15" customHeight="1" x14ac:dyDescent="0.35">
      <c r="A595">
        <v>10428918</v>
      </c>
      <c r="B595" t="s">
        <v>36</v>
      </c>
      <c r="C595" t="s">
        <v>37</v>
      </c>
      <c r="D595" s="6" t="s">
        <v>38</v>
      </c>
      <c r="E595" t="s">
        <v>1910</v>
      </c>
      <c r="F595" t="s">
        <v>40</v>
      </c>
      <c r="G595" t="s">
        <v>41</v>
      </c>
      <c r="H595" t="s">
        <v>1911</v>
      </c>
      <c r="I595" t="s">
        <v>43</v>
      </c>
      <c r="J595">
        <v>2</v>
      </c>
      <c r="K595" t="s">
        <v>44</v>
      </c>
      <c r="L595" t="s">
        <v>45</v>
      </c>
      <c r="M595" t="s">
        <v>46</v>
      </c>
      <c r="N595" s="7">
        <v>1</v>
      </c>
      <c r="O595" s="8">
        <v>45648.798946759256</v>
      </c>
      <c r="P595" s="9">
        <v>45650</v>
      </c>
      <c r="Q595" t="s">
        <v>74</v>
      </c>
      <c r="R595" t="s">
        <v>48</v>
      </c>
      <c r="S595" t="s">
        <v>49</v>
      </c>
      <c r="T595" t="s">
        <v>59</v>
      </c>
      <c r="U595" t="s">
        <v>1912</v>
      </c>
      <c r="V595">
        <v>16450</v>
      </c>
      <c r="W595" t="s">
        <v>48</v>
      </c>
      <c r="X595" t="s">
        <v>61</v>
      </c>
      <c r="Y595" t="s">
        <v>54</v>
      </c>
      <c r="Z595" s="12">
        <f>IF(N595&lt;=1,9,9+0.8*ROUNDUP(N595-1,0))</f>
        <v>9</v>
      </c>
      <c r="AA595" s="11">
        <v>-2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27"/>
        <v>0.42</v>
      </c>
      <c r="AG595" s="11">
        <f t="shared" si="28"/>
        <v>7.42</v>
      </c>
      <c r="AH595" s="11">
        <v>0</v>
      </c>
      <c r="AI595" s="11">
        <f t="shared" si="29"/>
        <v>7.42</v>
      </c>
      <c r="AJ595" t="s">
        <v>62</v>
      </c>
    </row>
    <row r="596" spans="1:36" ht="15" customHeight="1" x14ac:dyDescent="0.35">
      <c r="A596">
        <v>10428918</v>
      </c>
      <c r="B596" t="s">
        <v>36</v>
      </c>
      <c r="C596" t="s">
        <v>37</v>
      </c>
      <c r="D596" s="6" t="s">
        <v>38</v>
      </c>
      <c r="E596" t="s">
        <v>1913</v>
      </c>
      <c r="F596" t="s">
        <v>40</v>
      </c>
      <c r="G596" t="s">
        <v>41</v>
      </c>
      <c r="H596" t="s">
        <v>1914</v>
      </c>
      <c r="I596" t="s">
        <v>43</v>
      </c>
      <c r="J596">
        <v>2</v>
      </c>
      <c r="K596" t="s">
        <v>44</v>
      </c>
      <c r="L596" t="s">
        <v>45</v>
      </c>
      <c r="M596" t="s">
        <v>46</v>
      </c>
      <c r="N596" s="7">
        <v>4</v>
      </c>
      <c r="O596" s="8">
        <v>45649.684525462966</v>
      </c>
      <c r="P596" s="9">
        <v>45650</v>
      </c>
      <c r="Q596" t="s">
        <v>74</v>
      </c>
      <c r="R596" t="s">
        <v>48</v>
      </c>
      <c r="S596" t="s">
        <v>49</v>
      </c>
      <c r="T596" t="s">
        <v>117</v>
      </c>
      <c r="U596" t="s">
        <v>1915</v>
      </c>
      <c r="V596">
        <v>41050</v>
      </c>
      <c r="W596" t="s">
        <v>48</v>
      </c>
      <c r="X596" t="s">
        <v>53</v>
      </c>
      <c r="Y596" t="s">
        <v>54</v>
      </c>
      <c r="Z596" s="12">
        <f>IF(N596&lt;=1,9,9+0.8*ROUNDUP(N596-1,0))</f>
        <v>11.4</v>
      </c>
      <c r="AA596" s="11">
        <v>-2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27"/>
        <v>0.56399999999999995</v>
      </c>
      <c r="AG596" s="11">
        <f t="shared" si="28"/>
        <v>9.9640000000000004</v>
      </c>
      <c r="AH596" s="11">
        <v>0</v>
      </c>
      <c r="AI596" s="11">
        <f t="shared" si="29"/>
        <v>9.9640000000000004</v>
      </c>
      <c r="AJ596" t="s">
        <v>62</v>
      </c>
    </row>
    <row r="597" spans="1:36" ht="15" customHeight="1" x14ac:dyDescent="0.35">
      <c r="A597">
        <v>10428918</v>
      </c>
      <c r="B597" t="s">
        <v>36</v>
      </c>
      <c r="C597" t="s">
        <v>37</v>
      </c>
      <c r="D597" s="6" t="s">
        <v>38</v>
      </c>
      <c r="E597" t="s">
        <v>1916</v>
      </c>
      <c r="F597" t="s">
        <v>40</v>
      </c>
      <c r="G597" t="s">
        <v>41</v>
      </c>
      <c r="H597" t="s">
        <v>1917</v>
      </c>
      <c r="I597" t="s">
        <v>43</v>
      </c>
      <c r="J597">
        <v>2</v>
      </c>
      <c r="K597" t="s">
        <v>44</v>
      </c>
      <c r="L597" t="s">
        <v>45</v>
      </c>
      <c r="M597" t="s">
        <v>46</v>
      </c>
      <c r="N597" s="7">
        <v>1</v>
      </c>
      <c r="O597" s="8">
        <v>45647.779444444444</v>
      </c>
      <c r="P597" s="9">
        <v>45650</v>
      </c>
      <c r="Q597" t="s">
        <v>74</v>
      </c>
      <c r="R597" t="s">
        <v>48</v>
      </c>
      <c r="S597" t="s">
        <v>49</v>
      </c>
      <c r="T597" t="s">
        <v>80</v>
      </c>
      <c r="U597" t="s">
        <v>1918</v>
      </c>
      <c r="V597">
        <v>8000</v>
      </c>
      <c r="W597" t="s">
        <v>48</v>
      </c>
      <c r="X597" t="s">
        <v>145</v>
      </c>
      <c r="Y597" t="s">
        <v>54</v>
      </c>
      <c r="Z597" s="12">
        <f>IF(N597&lt;=1,9,9+0.8*ROUNDUP(N597-1,0))</f>
        <v>9</v>
      </c>
      <c r="AA597" s="11">
        <v>-2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27"/>
        <v>0.42</v>
      </c>
      <c r="AG597" s="11">
        <f t="shared" si="28"/>
        <v>7.42</v>
      </c>
      <c r="AH597" s="11">
        <v>0</v>
      </c>
      <c r="AI597" s="11">
        <f t="shared" si="29"/>
        <v>7.42</v>
      </c>
      <c r="AJ597" t="s">
        <v>62</v>
      </c>
    </row>
    <row r="598" spans="1:36" ht="15" customHeight="1" x14ac:dyDescent="0.35">
      <c r="A598">
        <v>10428918</v>
      </c>
      <c r="B598" t="s">
        <v>36</v>
      </c>
      <c r="C598" t="s">
        <v>37</v>
      </c>
      <c r="D598" s="6" t="s">
        <v>38</v>
      </c>
      <c r="E598" t="s">
        <v>1919</v>
      </c>
      <c r="F598" t="s">
        <v>40</v>
      </c>
      <c r="G598" t="s">
        <v>41</v>
      </c>
      <c r="H598" t="s">
        <v>1920</v>
      </c>
      <c r="I598" t="s">
        <v>43</v>
      </c>
      <c r="J598">
        <v>2</v>
      </c>
      <c r="K598" t="s">
        <v>44</v>
      </c>
      <c r="L598" t="s">
        <v>45</v>
      </c>
      <c r="M598" t="s">
        <v>46</v>
      </c>
      <c r="N598" s="7">
        <v>4</v>
      </c>
      <c r="O598" s="8">
        <v>45648.607604166667</v>
      </c>
      <c r="P598" s="9">
        <v>45650</v>
      </c>
      <c r="Q598" t="s">
        <v>74</v>
      </c>
      <c r="R598" t="s">
        <v>48</v>
      </c>
      <c r="S598" t="s">
        <v>49</v>
      </c>
      <c r="T598" t="s">
        <v>69</v>
      </c>
      <c r="U598" t="s">
        <v>1921</v>
      </c>
      <c r="V598">
        <v>83700</v>
      </c>
      <c r="W598" t="s">
        <v>48</v>
      </c>
      <c r="X598" t="s">
        <v>410</v>
      </c>
      <c r="Y598" t="s">
        <v>54</v>
      </c>
      <c r="Z598" s="12">
        <f>IF(N598&lt;=1,9,9+0.8*ROUNDUP(N598-1,0))</f>
        <v>11.4</v>
      </c>
      <c r="AA598" s="11">
        <v>-2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27"/>
        <v>0.56399999999999995</v>
      </c>
      <c r="AG598" s="11">
        <f t="shared" si="28"/>
        <v>9.9640000000000004</v>
      </c>
      <c r="AH598" s="11">
        <v>0</v>
      </c>
      <c r="AI598" s="11">
        <f t="shared" si="29"/>
        <v>9.9640000000000004</v>
      </c>
      <c r="AJ598" t="s">
        <v>62</v>
      </c>
    </row>
    <row r="599" spans="1:36" ht="15" customHeight="1" x14ac:dyDescent="0.35">
      <c r="A599">
        <v>10428918</v>
      </c>
      <c r="B599" t="s">
        <v>36</v>
      </c>
      <c r="C599" t="s">
        <v>37</v>
      </c>
      <c r="D599" s="6" t="s">
        <v>38</v>
      </c>
      <c r="E599" t="s">
        <v>1922</v>
      </c>
      <c r="F599" t="s">
        <v>40</v>
      </c>
      <c r="G599" t="s">
        <v>41</v>
      </c>
      <c r="H599" t="s">
        <v>1923</v>
      </c>
      <c r="I599" t="s">
        <v>43</v>
      </c>
      <c r="J599">
        <v>2</v>
      </c>
      <c r="K599" t="s">
        <v>44</v>
      </c>
      <c r="L599" t="s">
        <v>45</v>
      </c>
      <c r="M599" t="s">
        <v>46</v>
      </c>
      <c r="N599" s="7">
        <v>1</v>
      </c>
      <c r="O599" s="8">
        <v>45648.584409722222</v>
      </c>
      <c r="P599" s="9">
        <v>45650</v>
      </c>
      <c r="Q599" t="s">
        <v>74</v>
      </c>
      <c r="R599" t="s">
        <v>48</v>
      </c>
      <c r="S599" t="s">
        <v>49</v>
      </c>
      <c r="T599" t="s">
        <v>117</v>
      </c>
      <c r="U599" t="s">
        <v>1924</v>
      </c>
      <c r="V599">
        <v>43000</v>
      </c>
      <c r="W599" t="s">
        <v>48</v>
      </c>
      <c r="X599" t="s">
        <v>330</v>
      </c>
      <c r="Y599" t="s">
        <v>54</v>
      </c>
      <c r="Z599" s="12">
        <f>IF(N599&lt;=1,9,9+0.8*ROUNDUP(N599-1,0))</f>
        <v>9</v>
      </c>
      <c r="AA599" s="11">
        <v>-2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27"/>
        <v>0.42</v>
      </c>
      <c r="AG599" s="11">
        <f t="shared" si="28"/>
        <v>7.42</v>
      </c>
      <c r="AH599" s="11">
        <v>0</v>
      </c>
      <c r="AI599" s="11">
        <f t="shared" si="29"/>
        <v>7.42</v>
      </c>
      <c r="AJ599" t="s">
        <v>62</v>
      </c>
    </row>
    <row r="600" spans="1:36" ht="15" customHeight="1" x14ac:dyDescent="0.35">
      <c r="A600">
        <v>10428918</v>
      </c>
      <c r="B600" t="s">
        <v>36</v>
      </c>
      <c r="C600" t="s">
        <v>37</v>
      </c>
      <c r="D600" s="6" t="s">
        <v>38</v>
      </c>
      <c r="E600" t="s">
        <v>1925</v>
      </c>
      <c r="F600" t="s">
        <v>40</v>
      </c>
      <c r="G600" t="s">
        <v>41</v>
      </c>
      <c r="H600" t="s">
        <v>1926</v>
      </c>
      <c r="I600" t="s">
        <v>43</v>
      </c>
      <c r="J600">
        <v>2</v>
      </c>
      <c r="K600" t="s">
        <v>44</v>
      </c>
      <c r="L600" t="s">
        <v>45</v>
      </c>
      <c r="M600" t="s">
        <v>46</v>
      </c>
      <c r="N600" s="7">
        <v>1</v>
      </c>
      <c r="O600" s="8">
        <v>45647.822835648149</v>
      </c>
      <c r="P600" s="9">
        <v>45650</v>
      </c>
      <c r="Q600" t="s">
        <v>74</v>
      </c>
      <c r="R600" t="s">
        <v>48</v>
      </c>
      <c r="S600" t="s">
        <v>49</v>
      </c>
      <c r="T600" t="s">
        <v>80</v>
      </c>
      <c r="U600" t="s">
        <v>1927</v>
      </c>
      <c r="V600">
        <v>9100</v>
      </c>
      <c r="W600" t="s">
        <v>48</v>
      </c>
      <c r="X600" t="s">
        <v>53</v>
      </c>
      <c r="Y600" t="s">
        <v>54</v>
      </c>
      <c r="Z600" s="12">
        <f>IF(N600&lt;=1,9,9+0.8*ROUNDUP(N600-1,0))</f>
        <v>9</v>
      </c>
      <c r="AA600" s="11">
        <v>-2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27"/>
        <v>0.42</v>
      </c>
      <c r="AG600" s="11">
        <f t="shared" si="28"/>
        <v>7.42</v>
      </c>
      <c r="AH600" s="11">
        <v>0</v>
      </c>
      <c r="AI600" s="11">
        <f t="shared" si="29"/>
        <v>7.42</v>
      </c>
      <c r="AJ600" t="s">
        <v>62</v>
      </c>
    </row>
    <row r="601" spans="1:36" ht="15" customHeight="1" x14ac:dyDescent="0.35">
      <c r="A601">
        <v>10428918</v>
      </c>
      <c r="B601" t="s">
        <v>36</v>
      </c>
      <c r="C601" t="s">
        <v>37</v>
      </c>
      <c r="D601" s="6" t="s">
        <v>38</v>
      </c>
      <c r="E601" t="s">
        <v>1928</v>
      </c>
      <c r="F601" t="s">
        <v>40</v>
      </c>
      <c r="G601" t="s">
        <v>41</v>
      </c>
      <c r="H601" t="s">
        <v>1929</v>
      </c>
      <c r="I601" t="s">
        <v>43</v>
      </c>
      <c r="J601">
        <v>2</v>
      </c>
      <c r="K601" t="s">
        <v>44</v>
      </c>
      <c r="L601" t="s">
        <v>45</v>
      </c>
      <c r="M601" t="s">
        <v>46</v>
      </c>
      <c r="N601" s="7">
        <v>1</v>
      </c>
      <c r="O601" s="8">
        <v>45647.80872685185</v>
      </c>
      <c r="P601" s="9">
        <v>45650</v>
      </c>
      <c r="Q601" t="s">
        <v>74</v>
      </c>
      <c r="R601" t="s">
        <v>48</v>
      </c>
      <c r="S601" t="s">
        <v>49</v>
      </c>
      <c r="T601" t="s">
        <v>117</v>
      </c>
      <c r="U601" t="s">
        <v>1930</v>
      </c>
      <c r="V601">
        <v>45600</v>
      </c>
      <c r="W601" t="s">
        <v>48</v>
      </c>
      <c r="X601" t="s">
        <v>53</v>
      </c>
      <c r="Y601" t="s">
        <v>54</v>
      </c>
      <c r="Z601" s="12">
        <f>IF(N601&lt;=1,9,9+0.8*ROUNDUP(N601-1,0))</f>
        <v>9</v>
      </c>
      <c r="AA601" s="11">
        <v>-2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27"/>
        <v>0.42</v>
      </c>
      <c r="AG601" s="11">
        <f t="shared" si="28"/>
        <v>7.42</v>
      </c>
      <c r="AH601" s="11">
        <v>0</v>
      </c>
      <c r="AI601" s="11">
        <f t="shared" si="29"/>
        <v>7.42</v>
      </c>
      <c r="AJ601" t="s">
        <v>62</v>
      </c>
    </row>
    <row r="602" spans="1:36" ht="15" customHeight="1" x14ac:dyDescent="0.35">
      <c r="A602">
        <v>10428918</v>
      </c>
      <c r="B602" t="s">
        <v>36</v>
      </c>
      <c r="C602" t="s">
        <v>37</v>
      </c>
      <c r="D602" s="6" t="s">
        <v>38</v>
      </c>
      <c r="E602" t="s">
        <v>1931</v>
      </c>
      <c r="F602" t="s">
        <v>40</v>
      </c>
      <c r="G602" t="s">
        <v>41</v>
      </c>
      <c r="H602" t="s">
        <v>1932</v>
      </c>
      <c r="I602" t="s">
        <v>43</v>
      </c>
      <c r="J602">
        <v>2</v>
      </c>
      <c r="K602" t="s">
        <v>44</v>
      </c>
      <c r="L602" t="s">
        <v>45</v>
      </c>
      <c r="M602" t="s">
        <v>46</v>
      </c>
      <c r="N602" s="7">
        <v>24</v>
      </c>
      <c r="O602" s="8">
        <v>45643.676238425927</v>
      </c>
      <c r="P602" s="9">
        <v>45650</v>
      </c>
      <c r="Q602" t="s">
        <v>74</v>
      </c>
      <c r="R602" t="s">
        <v>48</v>
      </c>
      <c r="S602" t="s">
        <v>49</v>
      </c>
      <c r="T602" t="s">
        <v>161</v>
      </c>
      <c r="U602" t="s">
        <v>1933</v>
      </c>
      <c r="V602">
        <v>11800</v>
      </c>
      <c r="W602" t="s">
        <v>48</v>
      </c>
      <c r="X602" t="s">
        <v>53</v>
      </c>
      <c r="Y602" t="s">
        <v>54</v>
      </c>
      <c r="Z602" s="12">
        <f>IF(N602&lt;=1,9,9+0.8*ROUNDUP(N602-1,0))</f>
        <v>27.400000000000002</v>
      </c>
      <c r="AA602" s="11">
        <v>-2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27"/>
        <v>1.524</v>
      </c>
      <c r="AG602" s="11">
        <f t="shared" si="28"/>
        <v>26.924000000000003</v>
      </c>
      <c r="AH602" s="11">
        <v>0</v>
      </c>
      <c r="AI602" s="11">
        <f t="shared" si="29"/>
        <v>26.924000000000003</v>
      </c>
      <c r="AJ602" t="s">
        <v>62</v>
      </c>
    </row>
    <row r="603" spans="1:36" ht="15" customHeight="1" x14ac:dyDescent="0.35">
      <c r="A603">
        <v>10428918</v>
      </c>
      <c r="B603" t="s">
        <v>36</v>
      </c>
      <c r="C603" t="s">
        <v>37</v>
      </c>
      <c r="D603" s="6" t="s">
        <v>38</v>
      </c>
      <c r="E603" t="s">
        <v>1934</v>
      </c>
      <c r="F603" t="s">
        <v>40</v>
      </c>
      <c r="G603" t="s">
        <v>41</v>
      </c>
      <c r="H603" t="s">
        <v>1935</v>
      </c>
      <c r="I603" t="s">
        <v>43</v>
      </c>
      <c r="J603">
        <v>2</v>
      </c>
      <c r="K603" t="s">
        <v>44</v>
      </c>
      <c r="L603" t="s">
        <v>45</v>
      </c>
      <c r="M603" t="s">
        <v>46</v>
      </c>
      <c r="N603" s="7">
        <v>2</v>
      </c>
      <c r="O603" s="8">
        <v>45648.607604166667</v>
      </c>
      <c r="P603" s="9">
        <v>45650</v>
      </c>
      <c r="Q603" t="s">
        <v>74</v>
      </c>
      <c r="R603" t="s">
        <v>48</v>
      </c>
      <c r="S603" t="s">
        <v>49</v>
      </c>
      <c r="T603" t="s">
        <v>69</v>
      </c>
      <c r="U603" t="s">
        <v>1936</v>
      </c>
      <c r="V603">
        <v>81200</v>
      </c>
      <c r="W603" t="s">
        <v>48</v>
      </c>
      <c r="X603" t="s">
        <v>771</v>
      </c>
      <c r="Y603" t="s">
        <v>54</v>
      </c>
      <c r="Z603" s="12">
        <f>IF(N603&lt;=1,9,9+0.8*ROUNDUP(N603-1,0))</f>
        <v>9.8000000000000007</v>
      </c>
      <c r="AA603" s="11">
        <v>-2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27"/>
        <v>0.46800000000000003</v>
      </c>
      <c r="AG603" s="11">
        <f t="shared" si="28"/>
        <v>8.2680000000000007</v>
      </c>
      <c r="AH603" s="11">
        <v>0</v>
      </c>
      <c r="AI603" s="11">
        <f t="shared" si="29"/>
        <v>8.2680000000000007</v>
      </c>
      <c r="AJ603" t="s">
        <v>62</v>
      </c>
    </row>
    <row r="604" spans="1:36" ht="15" customHeight="1" x14ac:dyDescent="0.35">
      <c r="A604">
        <v>10428918</v>
      </c>
      <c r="B604" t="s">
        <v>36</v>
      </c>
      <c r="C604" t="s">
        <v>37</v>
      </c>
      <c r="D604" s="6" t="s">
        <v>38</v>
      </c>
      <c r="E604" t="s">
        <v>1937</v>
      </c>
      <c r="F604" t="s">
        <v>40</v>
      </c>
      <c r="G604" t="s">
        <v>41</v>
      </c>
      <c r="H604" t="s">
        <v>1938</v>
      </c>
      <c r="I604" t="s">
        <v>43</v>
      </c>
      <c r="J604">
        <v>2</v>
      </c>
      <c r="K604" t="s">
        <v>44</v>
      </c>
      <c r="L604" t="s">
        <v>45</v>
      </c>
      <c r="M604" t="s">
        <v>46</v>
      </c>
      <c r="N604" s="7">
        <v>2</v>
      </c>
      <c r="O604" s="8">
        <v>45648.809664351851</v>
      </c>
      <c r="P604" s="9">
        <v>45650</v>
      </c>
      <c r="Q604" t="s">
        <v>74</v>
      </c>
      <c r="R604" t="s">
        <v>48</v>
      </c>
      <c r="S604" t="s">
        <v>49</v>
      </c>
      <c r="T604" t="s">
        <v>90</v>
      </c>
      <c r="U604" t="s">
        <v>1939</v>
      </c>
      <c r="V604">
        <v>24300</v>
      </c>
      <c r="W604" t="s">
        <v>48</v>
      </c>
      <c r="X604" t="s">
        <v>92</v>
      </c>
      <c r="Y604" t="s">
        <v>54</v>
      </c>
      <c r="Z604" s="12">
        <f>IF(N604&lt;=1,9,9+0.8*ROUNDUP(N604-1,0))</f>
        <v>9.8000000000000007</v>
      </c>
      <c r="AA604" s="11">
        <v>-2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27"/>
        <v>0.46800000000000003</v>
      </c>
      <c r="AG604" s="11">
        <f t="shared" si="28"/>
        <v>8.2680000000000007</v>
      </c>
      <c r="AH604" s="11">
        <v>0</v>
      </c>
      <c r="AI604" s="11">
        <f t="shared" si="29"/>
        <v>8.2680000000000007</v>
      </c>
      <c r="AJ604" t="s">
        <v>62</v>
      </c>
    </row>
    <row r="605" spans="1:36" ht="15" customHeight="1" x14ac:dyDescent="0.35">
      <c r="A605">
        <v>10428918</v>
      </c>
      <c r="B605" t="s">
        <v>36</v>
      </c>
      <c r="C605" t="s">
        <v>37</v>
      </c>
      <c r="D605" s="6" t="s">
        <v>38</v>
      </c>
      <c r="E605" t="s">
        <v>1940</v>
      </c>
      <c r="F605" t="s">
        <v>40</v>
      </c>
      <c r="G605" t="s">
        <v>41</v>
      </c>
      <c r="H605" t="s">
        <v>1941</v>
      </c>
      <c r="I605" t="s">
        <v>43</v>
      </c>
      <c r="J605">
        <v>2</v>
      </c>
      <c r="K605" t="s">
        <v>44</v>
      </c>
      <c r="L605" t="s">
        <v>45</v>
      </c>
      <c r="M605" t="s">
        <v>46</v>
      </c>
      <c r="N605" s="7">
        <v>1</v>
      </c>
      <c r="O605" s="8">
        <v>45647.822835648149</v>
      </c>
      <c r="P605" s="9">
        <v>45650</v>
      </c>
      <c r="Q605" t="s">
        <v>74</v>
      </c>
      <c r="R605" t="s">
        <v>48</v>
      </c>
      <c r="S605" t="s">
        <v>49</v>
      </c>
      <c r="T605" t="s">
        <v>69</v>
      </c>
      <c r="U605" t="s">
        <v>1942</v>
      </c>
      <c r="V605">
        <v>81900</v>
      </c>
      <c r="W605" t="s">
        <v>48</v>
      </c>
      <c r="X605" t="s">
        <v>53</v>
      </c>
      <c r="Y605" t="s">
        <v>54</v>
      </c>
      <c r="Z605" s="12">
        <f>IF(N605&lt;=1,9,9+0.8*ROUNDUP(N605-1,0))</f>
        <v>9</v>
      </c>
      <c r="AA605" s="11">
        <v>-2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27"/>
        <v>0.42</v>
      </c>
      <c r="AG605" s="11">
        <f t="shared" si="28"/>
        <v>7.42</v>
      </c>
      <c r="AH605" s="11">
        <v>0</v>
      </c>
      <c r="AI605" s="11">
        <f t="shared" si="29"/>
        <v>7.42</v>
      </c>
      <c r="AJ605" t="s">
        <v>62</v>
      </c>
    </row>
    <row r="606" spans="1:36" ht="15" customHeight="1" x14ac:dyDescent="0.35">
      <c r="A606">
        <v>10428918</v>
      </c>
      <c r="B606" t="s">
        <v>36</v>
      </c>
      <c r="C606" t="s">
        <v>37</v>
      </c>
      <c r="D606" s="6" t="s">
        <v>38</v>
      </c>
      <c r="E606" t="s">
        <v>1943</v>
      </c>
      <c r="F606" t="s">
        <v>40</v>
      </c>
      <c r="G606" t="s">
        <v>41</v>
      </c>
      <c r="H606" t="s">
        <v>1944</v>
      </c>
      <c r="I606" t="s">
        <v>43</v>
      </c>
      <c r="J606">
        <v>2</v>
      </c>
      <c r="K606" t="s">
        <v>44</v>
      </c>
      <c r="L606" t="s">
        <v>45</v>
      </c>
      <c r="M606" t="s">
        <v>46</v>
      </c>
      <c r="N606" s="7">
        <v>2</v>
      </c>
      <c r="O606" s="8">
        <v>45648.809675925928</v>
      </c>
      <c r="P606" s="9">
        <v>45650</v>
      </c>
      <c r="Q606" t="s">
        <v>74</v>
      </c>
      <c r="R606" t="s">
        <v>48</v>
      </c>
      <c r="S606" t="s">
        <v>49</v>
      </c>
      <c r="T606" t="s">
        <v>117</v>
      </c>
      <c r="U606" t="s">
        <v>1945</v>
      </c>
      <c r="V606">
        <v>41200</v>
      </c>
      <c r="W606" t="s">
        <v>48</v>
      </c>
      <c r="X606" t="s">
        <v>591</v>
      </c>
      <c r="Y606" t="s">
        <v>54</v>
      </c>
      <c r="Z606" s="12">
        <f>IF(N606&lt;=1,9,9+0.8*ROUNDUP(N606-1,0))</f>
        <v>9.8000000000000007</v>
      </c>
      <c r="AA606" s="11">
        <v>-2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27"/>
        <v>0.46800000000000003</v>
      </c>
      <c r="AG606" s="11">
        <f t="shared" si="28"/>
        <v>8.2680000000000007</v>
      </c>
      <c r="AH606" s="11">
        <v>0</v>
      </c>
      <c r="AI606" s="11">
        <f t="shared" si="29"/>
        <v>8.2680000000000007</v>
      </c>
      <c r="AJ606" t="s">
        <v>62</v>
      </c>
    </row>
    <row r="607" spans="1:36" ht="15" customHeight="1" x14ac:dyDescent="0.35">
      <c r="A607">
        <v>10428918</v>
      </c>
      <c r="B607" t="s">
        <v>36</v>
      </c>
      <c r="C607" t="s">
        <v>37</v>
      </c>
      <c r="D607" s="6" t="s">
        <v>38</v>
      </c>
      <c r="E607" t="s">
        <v>1946</v>
      </c>
      <c r="F607" t="s">
        <v>40</v>
      </c>
      <c r="G607" t="s">
        <v>41</v>
      </c>
      <c r="H607" t="s">
        <v>1947</v>
      </c>
      <c r="I607" t="s">
        <v>43</v>
      </c>
      <c r="J607">
        <v>2</v>
      </c>
      <c r="K607" t="s">
        <v>44</v>
      </c>
      <c r="L607" t="s">
        <v>45</v>
      </c>
      <c r="M607" t="s">
        <v>46</v>
      </c>
      <c r="N607" s="7">
        <v>2</v>
      </c>
      <c r="O607" s="8">
        <v>45649.418252314812</v>
      </c>
      <c r="P607" s="9">
        <v>45650</v>
      </c>
      <c r="Q607" t="s">
        <v>74</v>
      </c>
      <c r="R607" t="s">
        <v>48</v>
      </c>
      <c r="S607" t="s">
        <v>49</v>
      </c>
      <c r="T607" t="s">
        <v>117</v>
      </c>
      <c r="U607" t="s">
        <v>1948</v>
      </c>
      <c r="V607">
        <v>42700</v>
      </c>
      <c r="W607" t="s">
        <v>48</v>
      </c>
      <c r="X607" t="s">
        <v>901</v>
      </c>
      <c r="Y607" t="s">
        <v>54</v>
      </c>
      <c r="Z607" s="12">
        <f>IF(N607&lt;=1,9,9+0.8*ROUNDUP(N607-1,0))</f>
        <v>9.8000000000000007</v>
      </c>
      <c r="AA607" s="11">
        <v>-2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27"/>
        <v>0.46800000000000003</v>
      </c>
      <c r="AG607" s="11">
        <f t="shared" si="28"/>
        <v>8.2680000000000007</v>
      </c>
      <c r="AH607" s="11">
        <v>0</v>
      </c>
      <c r="AI607" s="11">
        <f t="shared" si="29"/>
        <v>8.2680000000000007</v>
      </c>
      <c r="AJ607" t="s">
        <v>62</v>
      </c>
    </row>
    <row r="608" spans="1:36" ht="15" customHeight="1" x14ac:dyDescent="0.35">
      <c r="A608">
        <v>10428918</v>
      </c>
      <c r="B608" t="s">
        <v>36</v>
      </c>
      <c r="C608" t="s">
        <v>37</v>
      </c>
      <c r="D608" s="6" t="s">
        <v>38</v>
      </c>
      <c r="E608" t="s">
        <v>1949</v>
      </c>
      <c r="F608" t="s">
        <v>40</v>
      </c>
      <c r="G608" t="s">
        <v>41</v>
      </c>
      <c r="H608" t="s">
        <v>1950</v>
      </c>
      <c r="I608" t="s">
        <v>43</v>
      </c>
      <c r="J608">
        <v>2</v>
      </c>
      <c r="K608" t="s">
        <v>44</v>
      </c>
      <c r="L608" t="s">
        <v>45</v>
      </c>
      <c r="M608" t="s">
        <v>46</v>
      </c>
      <c r="N608" s="7">
        <v>1</v>
      </c>
      <c r="O608" s="8">
        <v>45648.809687499997</v>
      </c>
      <c r="P608" s="9">
        <v>45650</v>
      </c>
      <c r="Q608" t="s">
        <v>74</v>
      </c>
      <c r="R608" t="s">
        <v>48</v>
      </c>
      <c r="S608" t="s">
        <v>49</v>
      </c>
      <c r="T608" t="s">
        <v>117</v>
      </c>
      <c r="U608" t="s">
        <v>1951</v>
      </c>
      <c r="V608">
        <v>43500</v>
      </c>
      <c r="W608" t="s">
        <v>48</v>
      </c>
      <c r="X608" t="s">
        <v>53</v>
      </c>
      <c r="Y608" t="s">
        <v>54</v>
      </c>
      <c r="Z608" s="12">
        <f>IF(N608&lt;=1,9,9+0.8*ROUNDUP(N608-1,0))</f>
        <v>9</v>
      </c>
      <c r="AA608" s="11">
        <v>-2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27"/>
        <v>0.42</v>
      </c>
      <c r="AG608" s="11">
        <f t="shared" si="28"/>
        <v>7.42</v>
      </c>
      <c r="AH608" s="11">
        <v>0</v>
      </c>
      <c r="AI608" s="11">
        <f t="shared" si="29"/>
        <v>7.42</v>
      </c>
      <c r="AJ608" t="s">
        <v>62</v>
      </c>
    </row>
    <row r="609" spans="1:36" ht="15" customHeight="1" x14ac:dyDescent="0.35">
      <c r="A609">
        <v>10428918</v>
      </c>
      <c r="B609" t="s">
        <v>36</v>
      </c>
      <c r="C609" t="s">
        <v>37</v>
      </c>
      <c r="D609" s="6" t="s">
        <v>38</v>
      </c>
      <c r="E609" t="s">
        <v>1952</v>
      </c>
      <c r="F609" t="s">
        <v>40</v>
      </c>
      <c r="G609" t="s">
        <v>41</v>
      </c>
      <c r="H609" t="s">
        <v>1953</v>
      </c>
      <c r="I609" t="s">
        <v>43</v>
      </c>
      <c r="J609">
        <v>2</v>
      </c>
      <c r="K609" t="s">
        <v>44</v>
      </c>
      <c r="L609" t="s">
        <v>45</v>
      </c>
      <c r="M609" t="s">
        <v>46</v>
      </c>
      <c r="N609" s="7">
        <v>2</v>
      </c>
      <c r="O609" s="8">
        <v>45647.80872685185</v>
      </c>
      <c r="P609" s="9">
        <v>45650</v>
      </c>
      <c r="Q609" t="s">
        <v>74</v>
      </c>
      <c r="R609" t="s">
        <v>48</v>
      </c>
      <c r="S609" t="s">
        <v>49</v>
      </c>
      <c r="T609" t="s">
        <v>161</v>
      </c>
      <c r="U609" t="s">
        <v>1954</v>
      </c>
      <c r="V609">
        <v>11950</v>
      </c>
      <c r="W609" t="s">
        <v>48</v>
      </c>
      <c r="X609" t="s">
        <v>53</v>
      </c>
      <c r="Y609" t="s">
        <v>54</v>
      </c>
      <c r="Z609" s="12">
        <f>IF(N609&lt;=1,9,9+0.8*ROUNDUP(N609-1,0))</f>
        <v>9.8000000000000007</v>
      </c>
      <c r="AA609" s="11">
        <v>-2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27"/>
        <v>0.46800000000000003</v>
      </c>
      <c r="AG609" s="11">
        <f t="shared" si="28"/>
        <v>8.2680000000000007</v>
      </c>
      <c r="AH609" s="11">
        <v>0</v>
      </c>
      <c r="AI609" s="11">
        <f t="shared" si="29"/>
        <v>8.2680000000000007</v>
      </c>
      <c r="AJ609" t="s">
        <v>62</v>
      </c>
    </row>
    <row r="610" spans="1:36" ht="15" customHeight="1" x14ac:dyDescent="0.35">
      <c r="A610">
        <v>10428918</v>
      </c>
      <c r="B610" t="s">
        <v>36</v>
      </c>
      <c r="C610" t="s">
        <v>37</v>
      </c>
      <c r="D610" s="6" t="s">
        <v>38</v>
      </c>
      <c r="E610" t="s">
        <v>1955</v>
      </c>
      <c r="F610" t="s">
        <v>40</v>
      </c>
      <c r="G610" t="s">
        <v>41</v>
      </c>
      <c r="H610" t="s">
        <v>1956</v>
      </c>
      <c r="I610" t="s">
        <v>43</v>
      </c>
      <c r="J610">
        <v>2</v>
      </c>
      <c r="K610" t="s">
        <v>44</v>
      </c>
      <c r="L610" t="s">
        <v>45</v>
      </c>
      <c r="M610" t="s">
        <v>46</v>
      </c>
      <c r="N610" s="7">
        <v>2</v>
      </c>
      <c r="O610" s="8">
        <v>45647.822835648149</v>
      </c>
      <c r="P610" s="9">
        <v>45650</v>
      </c>
      <c r="Q610" t="s">
        <v>74</v>
      </c>
      <c r="R610" t="s">
        <v>48</v>
      </c>
      <c r="S610" t="s">
        <v>49</v>
      </c>
      <c r="T610" t="s">
        <v>101</v>
      </c>
      <c r="U610" t="s">
        <v>1957</v>
      </c>
      <c r="V610">
        <v>32200</v>
      </c>
      <c r="W610" t="s">
        <v>48</v>
      </c>
      <c r="X610" t="s">
        <v>1120</v>
      </c>
      <c r="Y610" t="s">
        <v>54</v>
      </c>
      <c r="Z610" s="12">
        <f>IF(N610&lt;=1,9,9+0.8*ROUNDUP(N610-1,0))</f>
        <v>9.8000000000000007</v>
      </c>
      <c r="AA610" s="11">
        <v>-2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27"/>
        <v>0.46800000000000003</v>
      </c>
      <c r="AG610" s="11">
        <f t="shared" si="28"/>
        <v>8.2680000000000007</v>
      </c>
      <c r="AH610" s="11">
        <v>0</v>
      </c>
      <c r="AI610" s="11">
        <f t="shared" si="29"/>
        <v>8.2680000000000007</v>
      </c>
      <c r="AJ610" t="s">
        <v>62</v>
      </c>
    </row>
    <row r="611" spans="1:36" ht="15" customHeight="1" x14ac:dyDescent="0.35">
      <c r="A611">
        <v>10428918</v>
      </c>
      <c r="B611" t="s">
        <v>36</v>
      </c>
      <c r="C611" t="s">
        <v>37</v>
      </c>
      <c r="D611" s="6" t="s">
        <v>38</v>
      </c>
      <c r="E611" t="s">
        <v>1958</v>
      </c>
      <c r="F611" t="s">
        <v>40</v>
      </c>
      <c r="G611" t="s">
        <v>41</v>
      </c>
      <c r="H611" t="s">
        <v>1959</v>
      </c>
      <c r="I611" t="s">
        <v>43</v>
      </c>
      <c r="J611">
        <v>2</v>
      </c>
      <c r="K611" t="s">
        <v>44</v>
      </c>
      <c r="L611" t="s">
        <v>45</v>
      </c>
      <c r="M611" t="s">
        <v>46</v>
      </c>
      <c r="N611" s="7">
        <v>1</v>
      </c>
      <c r="O611" s="8">
        <v>45647.816828703704</v>
      </c>
      <c r="P611" s="9">
        <v>45650</v>
      </c>
      <c r="Q611" t="s">
        <v>74</v>
      </c>
      <c r="R611" t="s">
        <v>48</v>
      </c>
      <c r="S611" t="s">
        <v>49</v>
      </c>
      <c r="T611" t="s">
        <v>75</v>
      </c>
      <c r="U611" t="s">
        <v>1960</v>
      </c>
      <c r="V611">
        <v>25200</v>
      </c>
      <c r="W611" t="s">
        <v>48</v>
      </c>
      <c r="X611" t="s">
        <v>77</v>
      </c>
      <c r="Y611" t="s">
        <v>54</v>
      </c>
      <c r="Z611" s="12">
        <f>IF(N611&lt;=1,9,9+0.8*ROUNDUP(N611-1,0))</f>
        <v>9</v>
      </c>
      <c r="AA611" s="11">
        <v>-2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27"/>
        <v>0.42</v>
      </c>
      <c r="AG611" s="11">
        <f t="shared" si="28"/>
        <v>7.42</v>
      </c>
      <c r="AH611" s="11">
        <v>0</v>
      </c>
      <c r="AI611" s="11">
        <f t="shared" si="29"/>
        <v>7.42</v>
      </c>
      <c r="AJ611" t="s">
        <v>62</v>
      </c>
    </row>
    <row r="612" spans="1:36" ht="15" customHeight="1" x14ac:dyDescent="0.35">
      <c r="A612">
        <v>10428918</v>
      </c>
      <c r="B612" t="s">
        <v>36</v>
      </c>
      <c r="C612" t="s">
        <v>37</v>
      </c>
      <c r="D612" s="6" t="s">
        <v>38</v>
      </c>
      <c r="E612" t="s">
        <v>1961</v>
      </c>
      <c r="F612" t="s">
        <v>40</v>
      </c>
      <c r="G612" t="s">
        <v>41</v>
      </c>
      <c r="H612" t="s">
        <v>1962</v>
      </c>
      <c r="I612" t="s">
        <v>43</v>
      </c>
      <c r="J612">
        <v>2</v>
      </c>
      <c r="K612" t="s">
        <v>44</v>
      </c>
      <c r="L612" t="s">
        <v>45</v>
      </c>
      <c r="M612" t="s">
        <v>46</v>
      </c>
      <c r="N612" s="7">
        <v>1</v>
      </c>
      <c r="O612" s="8">
        <v>45649.705324074072</v>
      </c>
      <c r="P612" s="9">
        <v>45650</v>
      </c>
      <c r="Q612" t="s">
        <v>74</v>
      </c>
      <c r="R612" t="s">
        <v>48</v>
      </c>
      <c r="S612" t="s">
        <v>49</v>
      </c>
      <c r="T612" t="s">
        <v>59</v>
      </c>
      <c r="U612" t="s">
        <v>1963</v>
      </c>
      <c r="V612">
        <v>15200</v>
      </c>
      <c r="W612" t="s">
        <v>48</v>
      </c>
      <c r="X612" t="s">
        <v>61</v>
      </c>
      <c r="Y612" t="s">
        <v>54</v>
      </c>
      <c r="Z612" s="12">
        <f>IF(N612&lt;=1,9,9+0.8*ROUNDUP(N612-1,0))</f>
        <v>9</v>
      </c>
      <c r="AA612" s="11">
        <v>-2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27"/>
        <v>0.42</v>
      </c>
      <c r="AG612" s="11">
        <f t="shared" si="28"/>
        <v>7.42</v>
      </c>
      <c r="AH612" s="11">
        <v>0</v>
      </c>
      <c r="AI612" s="11">
        <f t="shared" si="29"/>
        <v>7.42</v>
      </c>
      <c r="AJ612" t="s">
        <v>62</v>
      </c>
    </row>
    <row r="613" spans="1:36" ht="15" customHeight="1" x14ac:dyDescent="0.35">
      <c r="A613">
        <v>10428918</v>
      </c>
      <c r="B613" t="s">
        <v>36</v>
      </c>
      <c r="C613" t="s">
        <v>37</v>
      </c>
      <c r="D613" s="6" t="s">
        <v>38</v>
      </c>
      <c r="E613" t="s">
        <v>1964</v>
      </c>
      <c r="F613" t="s">
        <v>40</v>
      </c>
      <c r="G613" t="s">
        <v>41</v>
      </c>
      <c r="H613" t="s">
        <v>1965</v>
      </c>
      <c r="I613" t="s">
        <v>43</v>
      </c>
      <c r="J613">
        <v>2</v>
      </c>
      <c r="K613" t="s">
        <v>44</v>
      </c>
      <c r="L613" t="s">
        <v>45</v>
      </c>
      <c r="M613" t="s">
        <v>46</v>
      </c>
      <c r="N613" s="7">
        <v>1</v>
      </c>
      <c r="O613" s="8">
        <v>45649.652488425927</v>
      </c>
      <c r="P613" s="9">
        <v>45650</v>
      </c>
      <c r="Q613" t="s">
        <v>74</v>
      </c>
      <c r="R613" t="s">
        <v>48</v>
      </c>
      <c r="S613" t="s">
        <v>49</v>
      </c>
      <c r="T613" t="s">
        <v>559</v>
      </c>
      <c r="U613" t="s">
        <v>1966</v>
      </c>
      <c r="V613">
        <v>62502</v>
      </c>
      <c r="W613" t="s">
        <v>48</v>
      </c>
      <c r="X613" t="s">
        <v>53</v>
      </c>
      <c r="Y613" t="s">
        <v>54</v>
      </c>
      <c r="Z613" s="12">
        <f>IF(N613&lt;=1,9,9+0.8*ROUNDUP(N613-1,0))</f>
        <v>9</v>
      </c>
      <c r="AA613" s="11">
        <v>-2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27"/>
        <v>0.42</v>
      </c>
      <c r="AG613" s="11">
        <f t="shared" si="28"/>
        <v>7.42</v>
      </c>
      <c r="AH613" s="11">
        <v>0</v>
      </c>
      <c r="AI613" s="11">
        <f t="shared" si="29"/>
        <v>7.42</v>
      </c>
      <c r="AJ613" t="s">
        <v>62</v>
      </c>
    </row>
    <row r="614" spans="1:36" ht="15" customHeight="1" x14ac:dyDescent="0.35">
      <c r="A614">
        <v>10428918</v>
      </c>
      <c r="B614" t="s">
        <v>36</v>
      </c>
      <c r="C614" t="s">
        <v>37</v>
      </c>
      <c r="D614" s="6" t="s">
        <v>38</v>
      </c>
      <c r="E614" t="s">
        <v>1967</v>
      </c>
      <c r="F614" t="s">
        <v>40</v>
      </c>
      <c r="G614" t="s">
        <v>41</v>
      </c>
      <c r="H614" t="s">
        <v>1968</v>
      </c>
      <c r="I614" t="s">
        <v>43</v>
      </c>
      <c r="J614">
        <v>2</v>
      </c>
      <c r="K614" t="s">
        <v>44</v>
      </c>
      <c r="L614" t="s">
        <v>45</v>
      </c>
      <c r="M614" t="s">
        <v>46</v>
      </c>
      <c r="N614" s="7">
        <v>2</v>
      </c>
      <c r="O614" s="8">
        <v>45648.607604166667</v>
      </c>
      <c r="P614" s="9">
        <v>45650</v>
      </c>
      <c r="Q614" t="s">
        <v>74</v>
      </c>
      <c r="R614" t="s">
        <v>48</v>
      </c>
      <c r="S614" t="s">
        <v>49</v>
      </c>
      <c r="T614" t="s">
        <v>161</v>
      </c>
      <c r="U614" t="s">
        <v>1969</v>
      </c>
      <c r="V614">
        <v>14020</v>
      </c>
      <c r="W614" t="s">
        <v>48</v>
      </c>
      <c r="X614" t="s">
        <v>666</v>
      </c>
      <c r="Y614" t="s">
        <v>54</v>
      </c>
      <c r="Z614" s="12">
        <f>IF(N614&lt;=1,9,9+0.8*ROUNDUP(N614-1,0))</f>
        <v>9.8000000000000007</v>
      </c>
      <c r="AA614" s="11">
        <v>-2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27"/>
        <v>0.46800000000000003</v>
      </c>
      <c r="AG614" s="11">
        <f t="shared" si="28"/>
        <v>8.2680000000000007</v>
      </c>
      <c r="AH614" s="11">
        <v>0</v>
      </c>
      <c r="AI614" s="11">
        <f t="shared" si="29"/>
        <v>8.2680000000000007</v>
      </c>
      <c r="AJ614" t="s">
        <v>62</v>
      </c>
    </row>
    <row r="615" spans="1:36" ht="15" customHeight="1" x14ac:dyDescent="0.35">
      <c r="A615">
        <v>10428918</v>
      </c>
      <c r="B615" t="s">
        <v>36</v>
      </c>
      <c r="C615" t="s">
        <v>37</v>
      </c>
      <c r="D615" s="6" t="s">
        <v>38</v>
      </c>
      <c r="E615" t="s">
        <v>1970</v>
      </c>
      <c r="F615" t="s">
        <v>40</v>
      </c>
      <c r="G615" t="s">
        <v>41</v>
      </c>
      <c r="H615" t="s">
        <v>1971</v>
      </c>
      <c r="I615" t="s">
        <v>43</v>
      </c>
      <c r="J615">
        <v>2</v>
      </c>
      <c r="K615" t="s">
        <v>44</v>
      </c>
      <c r="L615" t="s">
        <v>45</v>
      </c>
      <c r="M615" t="s">
        <v>46</v>
      </c>
      <c r="N615" s="7">
        <v>2</v>
      </c>
      <c r="O615" s="8">
        <v>45647.496863425928</v>
      </c>
      <c r="P615" s="9">
        <v>45650</v>
      </c>
      <c r="Q615" t="s">
        <v>74</v>
      </c>
      <c r="R615" t="s">
        <v>48</v>
      </c>
      <c r="S615" t="s">
        <v>49</v>
      </c>
      <c r="T615" t="s">
        <v>161</v>
      </c>
      <c r="U615" t="s">
        <v>1972</v>
      </c>
      <c r="V615">
        <v>11500</v>
      </c>
      <c r="W615" t="s">
        <v>48</v>
      </c>
      <c r="X615" t="s">
        <v>1973</v>
      </c>
      <c r="Y615" t="s">
        <v>54</v>
      </c>
      <c r="Z615" s="12">
        <f>IF(N615&lt;=1,9,9+0.8*ROUNDUP(N615-1,0))</f>
        <v>9.8000000000000007</v>
      </c>
      <c r="AA615" s="11">
        <v>-2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27"/>
        <v>0.46800000000000003</v>
      </c>
      <c r="AG615" s="11">
        <f t="shared" si="28"/>
        <v>8.2680000000000007</v>
      </c>
      <c r="AH615" s="11">
        <v>0</v>
      </c>
      <c r="AI615" s="11">
        <f t="shared" si="29"/>
        <v>8.2680000000000007</v>
      </c>
      <c r="AJ615" t="s">
        <v>62</v>
      </c>
    </row>
    <row r="616" spans="1:36" ht="15" customHeight="1" x14ac:dyDescent="0.35">
      <c r="A616">
        <v>10428918</v>
      </c>
      <c r="B616" t="s">
        <v>36</v>
      </c>
      <c r="C616" t="s">
        <v>37</v>
      </c>
      <c r="D616" s="6" t="s">
        <v>38</v>
      </c>
      <c r="E616" t="s">
        <v>1974</v>
      </c>
      <c r="F616" t="s">
        <v>40</v>
      </c>
      <c r="G616" t="s">
        <v>41</v>
      </c>
      <c r="H616" t="s">
        <v>1975</v>
      </c>
      <c r="I616" t="s">
        <v>43</v>
      </c>
      <c r="J616">
        <v>2</v>
      </c>
      <c r="K616" t="s">
        <v>44</v>
      </c>
      <c r="L616" t="s">
        <v>45</v>
      </c>
      <c r="M616" t="s">
        <v>46</v>
      </c>
      <c r="N616" s="7">
        <v>1</v>
      </c>
      <c r="O616" s="8">
        <v>45647.822835648149</v>
      </c>
      <c r="P616" s="9">
        <v>45650</v>
      </c>
      <c r="Q616" t="s">
        <v>74</v>
      </c>
      <c r="R616" t="s">
        <v>48</v>
      </c>
      <c r="S616" t="s">
        <v>49</v>
      </c>
      <c r="T616" t="s">
        <v>170</v>
      </c>
      <c r="U616" t="s">
        <v>1976</v>
      </c>
      <c r="V616">
        <v>56000</v>
      </c>
      <c r="W616" t="s">
        <v>48</v>
      </c>
      <c r="X616" t="s">
        <v>53</v>
      </c>
      <c r="Y616" t="s">
        <v>54</v>
      </c>
      <c r="Z616" s="12">
        <f>IF(N616&lt;=1,9,9+0.8*ROUNDUP(N616-1,0))</f>
        <v>9</v>
      </c>
      <c r="AA616" s="11">
        <v>-2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si="27"/>
        <v>0.42</v>
      </c>
      <c r="AG616" s="11">
        <f t="shared" si="28"/>
        <v>7.42</v>
      </c>
      <c r="AH616" s="11">
        <v>0</v>
      </c>
      <c r="AI616" s="11">
        <f t="shared" si="29"/>
        <v>7.42</v>
      </c>
      <c r="AJ616" t="s">
        <v>62</v>
      </c>
    </row>
    <row r="617" spans="1:36" ht="15" customHeight="1" x14ac:dyDescent="0.35">
      <c r="A617">
        <v>10428918</v>
      </c>
      <c r="B617" t="s">
        <v>36</v>
      </c>
      <c r="C617" t="s">
        <v>37</v>
      </c>
      <c r="D617" s="6" t="s">
        <v>38</v>
      </c>
      <c r="E617" t="s">
        <v>1977</v>
      </c>
      <c r="F617" t="s">
        <v>40</v>
      </c>
      <c r="G617" t="s">
        <v>41</v>
      </c>
      <c r="H617" t="s">
        <v>1978</v>
      </c>
      <c r="I617" t="s">
        <v>43</v>
      </c>
      <c r="J617">
        <v>2</v>
      </c>
      <c r="K617" t="s">
        <v>44</v>
      </c>
      <c r="L617" t="s">
        <v>45</v>
      </c>
      <c r="M617" t="s">
        <v>46</v>
      </c>
      <c r="N617" s="7">
        <v>1</v>
      </c>
      <c r="O617" s="8">
        <v>45649.705324074072</v>
      </c>
      <c r="P617" s="9">
        <v>45652</v>
      </c>
      <c r="Q617" t="s">
        <v>74</v>
      </c>
      <c r="R617" t="s">
        <v>48</v>
      </c>
      <c r="S617" t="s">
        <v>49</v>
      </c>
      <c r="T617" t="s">
        <v>80</v>
      </c>
      <c r="U617" t="s">
        <v>1979</v>
      </c>
      <c r="V617">
        <v>9100</v>
      </c>
      <c r="W617" t="s">
        <v>48</v>
      </c>
      <c r="X617" t="s">
        <v>1388</v>
      </c>
      <c r="Y617" t="s">
        <v>54</v>
      </c>
      <c r="Z617" s="12">
        <f>IF(N617&lt;=1,9,9+0.8*ROUNDUP(N617-1,0))</f>
        <v>9</v>
      </c>
      <c r="AA617" s="11">
        <v>-2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27"/>
        <v>0.42</v>
      </c>
      <c r="AG617" s="11">
        <f t="shared" si="28"/>
        <v>7.42</v>
      </c>
      <c r="AH617" s="11">
        <v>0</v>
      </c>
      <c r="AI617" s="11">
        <f t="shared" si="29"/>
        <v>7.42</v>
      </c>
      <c r="AJ617" t="s">
        <v>62</v>
      </c>
    </row>
    <row r="618" spans="1:36" ht="15" customHeight="1" x14ac:dyDescent="0.35">
      <c r="A618">
        <v>10428918</v>
      </c>
      <c r="B618" t="s">
        <v>36</v>
      </c>
      <c r="C618" t="s">
        <v>37</v>
      </c>
      <c r="D618" s="6" t="s">
        <v>38</v>
      </c>
      <c r="E618" t="s">
        <v>1980</v>
      </c>
      <c r="F618" t="s">
        <v>40</v>
      </c>
      <c r="G618" t="s">
        <v>41</v>
      </c>
      <c r="H618" t="s">
        <v>1074</v>
      </c>
      <c r="I618" t="s">
        <v>43</v>
      </c>
      <c r="J618">
        <v>2</v>
      </c>
      <c r="K618" t="s">
        <v>44</v>
      </c>
      <c r="L618" t="s">
        <v>45</v>
      </c>
      <c r="M618" t="s">
        <v>46</v>
      </c>
      <c r="N618" s="7">
        <v>1</v>
      </c>
      <c r="O618" s="8">
        <v>45649.546770833331</v>
      </c>
      <c r="P618" s="9">
        <v>45652</v>
      </c>
      <c r="Q618" t="s">
        <v>74</v>
      </c>
      <c r="R618" t="s">
        <v>48</v>
      </c>
      <c r="S618" t="s">
        <v>49</v>
      </c>
      <c r="T618" t="s">
        <v>65</v>
      </c>
      <c r="U618" t="s">
        <v>1075</v>
      </c>
      <c r="V618">
        <v>75250</v>
      </c>
      <c r="W618" t="s">
        <v>48</v>
      </c>
      <c r="X618" t="s">
        <v>406</v>
      </c>
      <c r="Y618" t="s">
        <v>54</v>
      </c>
      <c r="Z618" s="12">
        <f>IF(N618&lt;=1,9,9+0.8*ROUNDUP(N618-1,0))</f>
        <v>9</v>
      </c>
      <c r="AA618" s="11">
        <v>-2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27"/>
        <v>0.42</v>
      </c>
      <c r="AG618" s="11">
        <f t="shared" si="28"/>
        <v>7.42</v>
      </c>
      <c r="AH618" s="11">
        <v>0</v>
      </c>
      <c r="AI618" s="11">
        <f t="shared" si="29"/>
        <v>7.42</v>
      </c>
      <c r="AJ618" t="s">
        <v>62</v>
      </c>
    </row>
    <row r="619" spans="1:36" ht="15" customHeight="1" x14ac:dyDescent="0.35">
      <c r="A619">
        <v>10428918</v>
      </c>
      <c r="B619" t="s">
        <v>36</v>
      </c>
      <c r="C619" t="s">
        <v>37</v>
      </c>
      <c r="D619" s="6" t="s">
        <v>38</v>
      </c>
      <c r="E619" t="s">
        <v>1981</v>
      </c>
      <c r="F619" t="s">
        <v>40</v>
      </c>
      <c r="G619" t="s">
        <v>41</v>
      </c>
      <c r="H619" t="s">
        <v>1982</v>
      </c>
      <c r="I619" t="s">
        <v>43</v>
      </c>
      <c r="J619">
        <v>2</v>
      </c>
      <c r="K619" t="s">
        <v>44</v>
      </c>
      <c r="L619" t="s">
        <v>45</v>
      </c>
      <c r="M619" t="s">
        <v>46</v>
      </c>
      <c r="N619" s="7">
        <v>2</v>
      </c>
      <c r="O619" s="8">
        <v>45648.809675925928</v>
      </c>
      <c r="P619" s="9">
        <v>45652</v>
      </c>
      <c r="Q619" t="s">
        <v>74</v>
      </c>
      <c r="R619" t="s">
        <v>48</v>
      </c>
      <c r="S619" t="s">
        <v>49</v>
      </c>
      <c r="T619" t="s">
        <v>85</v>
      </c>
      <c r="U619" t="s">
        <v>1983</v>
      </c>
      <c r="V619">
        <v>71400</v>
      </c>
      <c r="W619" t="s">
        <v>48</v>
      </c>
      <c r="X619" t="s">
        <v>114</v>
      </c>
      <c r="Y619" t="s">
        <v>54</v>
      </c>
      <c r="Z619" s="12">
        <f>IF(N619&lt;=1,9,9+0.8*ROUNDUP(N619-1,0))</f>
        <v>9.8000000000000007</v>
      </c>
      <c r="AA619" s="11">
        <v>-2</v>
      </c>
      <c r="AB619" s="11">
        <v>0</v>
      </c>
      <c r="AC619" s="11">
        <v>0</v>
      </c>
      <c r="AD619" s="11">
        <v>0</v>
      </c>
      <c r="AE619" s="11">
        <v>0</v>
      </c>
      <c r="AF619" s="11">
        <f t="shared" si="27"/>
        <v>0.46800000000000003</v>
      </c>
      <c r="AG619" s="11">
        <f t="shared" si="28"/>
        <v>8.2680000000000007</v>
      </c>
      <c r="AH619" s="11">
        <v>0</v>
      </c>
      <c r="AI619" s="11">
        <f t="shared" si="29"/>
        <v>8.2680000000000007</v>
      </c>
      <c r="AJ619" t="s">
        <v>62</v>
      </c>
    </row>
    <row r="620" spans="1:36" ht="15" customHeight="1" x14ac:dyDescent="0.35">
      <c r="A620">
        <v>10428918</v>
      </c>
      <c r="B620" t="s">
        <v>36</v>
      </c>
      <c r="C620" t="s">
        <v>37</v>
      </c>
      <c r="D620" s="6" t="s">
        <v>38</v>
      </c>
      <c r="E620" t="s">
        <v>1984</v>
      </c>
      <c r="F620" t="s">
        <v>40</v>
      </c>
      <c r="G620" t="s">
        <v>41</v>
      </c>
      <c r="H620" t="s">
        <v>1985</v>
      </c>
      <c r="I620" t="s">
        <v>43</v>
      </c>
      <c r="J620">
        <v>2</v>
      </c>
      <c r="K620" t="s">
        <v>44</v>
      </c>
      <c r="L620" t="s">
        <v>45</v>
      </c>
      <c r="M620" t="s">
        <v>46</v>
      </c>
      <c r="N620" s="7">
        <v>1</v>
      </c>
      <c r="O620" s="8">
        <v>45647.816828703704</v>
      </c>
      <c r="P620" s="9">
        <v>45652</v>
      </c>
      <c r="Q620" t="s">
        <v>74</v>
      </c>
      <c r="R620" t="s">
        <v>48</v>
      </c>
      <c r="S620" t="s">
        <v>49</v>
      </c>
      <c r="T620" t="s">
        <v>80</v>
      </c>
      <c r="U620" t="s">
        <v>1986</v>
      </c>
      <c r="V620">
        <v>7000</v>
      </c>
      <c r="W620" t="s">
        <v>48</v>
      </c>
      <c r="X620" t="s">
        <v>53</v>
      </c>
      <c r="Y620" t="s">
        <v>54</v>
      </c>
      <c r="Z620" s="12">
        <f>IF(N620&lt;=1,9,9+0.8*ROUNDUP(N620-1,0))</f>
        <v>9</v>
      </c>
      <c r="AA620" s="11">
        <v>-2</v>
      </c>
      <c r="AB620" s="11">
        <v>0</v>
      </c>
      <c r="AC620" s="11">
        <v>0</v>
      </c>
      <c r="AD620" s="11">
        <v>0</v>
      </c>
      <c r="AE620" s="11">
        <v>0</v>
      </c>
      <c r="AF620" s="11">
        <f t="shared" si="27"/>
        <v>0.42</v>
      </c>
      <c r="AG620" s="11">
        <f t="shared" si="28"/>
        <v>7.42</v>
      </c>
      <c r="AH620" s="11">
        <v>0</v>
      </c>
      <c r="AI620" s="11">
        <f t="shared" si="29"/>
        <v>7.42</v>
      </c>
      <c r="AJ620" t="s">
        <v>62</v>
      </c>
    </row>
    <row r="621" spans="1:36" ht="15" customHeight="1" x14ac:dyDescent="0.35">
      <c r="A621">
        <v>10428918</v>
      </c>
      <c r="B621" t="s">
        <v>36</v>
      </c>
      <c r="C621" t="s">
        <v>37</v>
      </c>
      <c r="D621" s="6" t="s">
        <v>38</v>
      </c>
      <c r="E621" t="s">
        <v>1987</v>
      </c>
      <c r="F621" t="s">
        <v>40</v>
      </c>
      <c r="G621" t="s">
        <v>41</v>
      </c>
      <c r="H621" t="s">
        <v>1988</v>
      </c>
      <c r="I621" t="s">
        <v>43</v>
      </c>
      <c r="J621">
        <v>2</v>
      </c>
      <c r="K621" t="s">
        <v>44</v>
      </c>
      <c r="L621" t="s">
        <v>45</v>
      </c>
      <c r="M621" t="s">
        <v>46</v>
      </c>
      <c r="N621" s="7">
        <v>1</v>
      </c>
      <c r="O621" s="8">
        <v>45651.609085648146</v>
      </c>
      <c r="P621" s="9">
        <v>45652</v>
      </c>
      <c r="Q621" t="s">
        <v>74</v>
      </c>
      <c r="R621" t="s">
        <v>48</v>
      </c>
      <c r="S621" t="s">
        <v>49</v>
      </c>
      <c r="T621" t="s">
        <v>170</v>
      </c>
      <c r="U621" t="s">
        <v>1989</v>
      </c>
      <c r="V621">
        <v>50586</v>
      </c>
      <c r="W621" t="s">
        <v>48</v>
      </c>
      <c r="X621" t="s">
        <v>365</v>
      </c>
      <c r="Y621" t="s">
        <v>54</v>
      </c>
      <c r="Z621" s="12">
        <f>IF(N621&lt;=1,9,9+0.8*ROUNDUP(N621-1,0))</f>
        <v>9</v>
      </c>
      <c r="AA621" s="11">
        <v>-2</v>
      </c>
      <c r="AB621" s="11">
        <v>0</v>
      </c>
      <c r="AC621" s="11">
        <v>0</v>
      </c>
      <c r="AD621" s="11">
        <v>0</v>
      </c>
      <c r="AE621" s="11">
        <v>0</v>
      </c>
      <c r="AF621" s="11">
        <f t="shared" si="27"/>
        <v>0.42</v>
      </c>
      <c r="AG621" s="11">
        <f t="shared" si="28"/>
        <v>7.42</v>
      </c>
      <c r="AH621" s="11">
        <v>0</v>
      </c>
      <c r="AI621" s="11">
        <f t="shared" si="29"/>
        <v>7.42</v>
      </c>
      <c r="AJ621" t="s">
        <v>62</v>
      </c>
    </row>
    <row r="622" spans="1:36" ht="15" customHeight="1" x14ac:dyDescent="0.35">
      <c r="A622">
        <v>10428918</v>
      </c>
      <c r="B622" t="s">
        <v>36</v>
      </c>
      <c r="C622" t="s">
        <v>37</v>
      </c>
      <c r="D622" s="6" t="s">
        <v>38</v>
      </c>
      <c r="E622" t="s">
        <v>1990</v>
      </c>
      <c r="F622" t="s">
        <v>40</v>
      </c>
      <c r="G622" t="s">
        <v>41</v>
      </c>
      <c r="H622" t="s">
        <v>1991</v>
      </c>
      <c r="I622" t="s">
        <v>43</v>
      </c>
      <c r="J622">
        <v>2</v>
      </c>
      <c r="K622" t="s">
        <v>44</v>
      </c>
      <c r="L622" t="s">
        <v>45</v>
      </c>
      <c r="M622" t="s">
        <v>46</v>
      </c>
      <c r="N622" s="7">
        <v>1</v>
      </c>
      <c r="O622" s="8">
        <v>45649.530960648146</v>
      </c>
      <c r="P622" s="9">
        <v>45652</v>
      </c>
      <c r="Q622" t="s">
        <v>74</v>
      </c>
      <c r="R622" t="s">
        <v>48</v>
      </c>
      <c r="S622" t="s">
        <v>49</v>
      </c>
      <c r="T622" t="s">
        <v>69</v>
      </c>
      <c r="U622" t="s">
        <v>1992</v>
      </c>
      <c r="V622">
        <v>83100</v>
      </c>
      <c r="W622" t="s">
        <v>48</v>
      </c>
      <c r="X622" t="s">
        <v>71</v>
      </c>
      <c r="Y622" t="s">
        <v>54</v>
      </c>
      <c r="Z622" s="12">
        <f>IF(N622&lt;=1,9,9+0.8*ROUNDUP(N622-1,0))</f>
        <v>9</v>
      </c>
      <c r="AA622" s="11">
        <v>-2</v>
      </c>
      <c r="AB622" s="11">
        <v>0</v>
      </c>
      <c r="AC622" s="11">
        <v>0</v>
      </c>
      <c r="AD622" s="11">
        <v>0</v>
      </c>
      <c r="AE622" s="11">
        <v>0</v>
      </c>
      <c r="AF622" s="11">
        <f t="shared" si="27"/>
        <v>0.42</v>
      </c>
      <c r="AG622" s="11">
        <f t="shared" si="28"/>
        <v>7.42</v>
      </c>
      <c r="AH622" s="11">
        <v>0</v>
      </c>
      <c r="AI622" s="11">
        <f t="shared" si="29"/>
        <v>7.42</v>
      </c>
      <c r="AJ622" t="s">
        <v>62</v>
      </c>
    </row>
    <row r="623" spans="1:36" ht="15" customHeight="1" x14ac:dyDescent="0.35">
      <c r="A623">
        <v>10428918</v>
      </c>
      <c r="B623" t="s">
        <v>36</v>
      </c>
      <c r="C623" t="s">
        <v>37</v>
      </c>
      <c r="D623" s="6" t="s">
        <v>38</v>
      </c>
      <c r="E623" t="s">
        <v>1993</v>
      </c>
      <c r="F623" t="s">
        <v>40</v>
      </c>
      <c r="G623" t="s">
        <v>41</v>
      </c>
      <c r="H623" t="s">
        <v>1994</v>
      </c>
      <c r="I623" t="s">
        <v>43</v>
      </c>
      <c r="J623">
        <v>2</v>
      </c>
      <c r="K623" t="s">
        <v>44</v>
      </c>
      <c r="L623" t="s">
        <v>45</v>
      </c>
      <c r="M623" t="s">
        <v>46</v>
      </c>
      <c r="N623" s="7">
        <v>2</v>
      </c>
      <c r="O623" s="8">
        <v>45649.792974537035</v>
      </c>
      <c r="P623" s="9">
        <v>45652</v>
      </c>
      <c r="Q623" t="s">
        <v>74</v>
      </c>
      <c r="R623" t="s">
        <v>48</v>
      </c>
      <c r="S623" t="s">
        <v>49</v>
      </c>
      <c r="T623" t="s">
        <v>80</v>
      </c>
      <c r="U623" t="s">
        <v>1995</v>
      </c>
      <c r="V623">
        <v>8100</v>
      </c>
      <c r="W623" t="s">
        <v>48</v>
      </c>
      <c r="X623" t="s">
        <v>141</v>
      </c>
      <c r="Y623" t="s">
        <v>54</v>
      </c>
      <c r="Z623" s="12">
        <f>IF(N623&lt;=1,9,9+0.8*ROUNDUP(N623-1,0))</f>
        <v>9.8000000000000007</v>
      </c>
      <c r="AA623" s="11">
        <v>-2</v>
      </c>
      <c r="AB623" s="11">
        <v>0</v>
      </c>
      <c r="AC623" s="11">
        <v>0</v>
      </c>
      <c r="AD623" s="11">
        <v>0</v>
      </c>
      <c r="AE623" s="11">
        <v>0</v>
      </c>
      <c r="AF623" s="11">
        <f t="shared" si="27"/>
        <v>0.46800000000000003</v>
      </c>
      <c r="AG623" s="11">
        <f t="shared" si="28"/>
        <v>8.2680000000000007</v>
      </c>
      <c r="AH623" s="11">
        <v>0</v>
      </c>
      <c r="AI623" s="11">
        <f t="shared" si="29"/>
        <v>8.2680000000000007</v>
      </c>
      <c r="AJ623" t="s">
        <v>62</v>
      </c>
    </row>
    <row r="624" spans="1:36" ht="15" customHeight="1" x14ac:dyDescent="0.35">
      <c r="A624">
        <v>10428918</v>
      </c>
      <c r="B624" t="s">
        <v>36</v>
      </c>
      <c r="C624" t="s">
        <v>37</v>
      </c>
      <c r="D624" s="6" t="s">
        <v>38</v>
      </c>
      <c r="E624" t="s">
        <v>1996</v>
      </c>
      <c r="F624" t="s">
        <v>40</v>
      </c>
      <c r="G624" t="s">
        <v>41</v>
      </c>
      <c r="H624" t="s">
        <v>1997</v>
      </c>
      <c r="I624" t="s">
        <v>43</v>
      </c>
      <c r="J624">
        <v>2</v>
      </c>
      <c r="K624" t="s">
        <v>44</v>
      </c>
      <c r="L624" t="s">
        <v>45</v>
      </c>
      <c r="M624" t="s">
        <v>46</v>
      </c>
      <c r="N624" s="7">
        <v>1</v>
      </c>
      <c r="O624" s="8">
        <v>45651.427499999998</v>
      </c>
      <c r="P624" s="9">
        <v>45652</v>
      </c>
      <c r="Q624" t="s">
        <v>74</v>
      </c>
      <c r="R624" t="s">
        <v>48</v>
      </c>
      <c r="S624" t="s">
        <v>49</v>
      </c>
      <c r="T624" t="s">
        <v>117</v>
      </c>
      <c r="U624" t="s">
        <v>1998</v>
      </c>
      <c r="V624">
        <v>43700</v>
      </c>
      <c r="W624" t="s">
        <v>48</v>
      </c>
      <c r="X624" t="s">
        <v>398</v>
      </c>
      <c r="Y624" t="s">
        <v>54</v>
      </c>
      <c r="Z624" s="12">
        <f>IF(N624&lt;=1,9,9+0.8*ROUNDUP(N624-1,0))</f>
        <v>9</v>
      </c>
      <c r="AA624" s="11">
        <v>-2</v>
      </c>
      <c r="AB624" s="11">
        <v>0</v>
      </c>
      <c r="AC624" s="11">
        <v>0</v>
      </c>
      <c r="AD624" s="11">
        <v>0</v>
      </c>
      <c r="AE624" s="11">
        <v>0</v>
      </c>
      <c r="AF624" s="11">
        <f t="shared" si="27"/>
        <v>0.42</v>
      </c>
      <c r="AG624" s="11">
        <f t="shared" si="28"/>
        <v>7.42</v>
      </c>
      <c r="AH624" s="11">
        <v>0</v>
      </c>
      <c r="AI624" s="11">
        <f t="shared" si="29"/>
        <v>7.42</v>
      </c>
      <c r="AJ624" t="s">
        <v>62</v>
      </c>
    </row>
    <row r="625" spans="1:36" ht="15" customHeight="1" x14ac:dyDescent="0.35">
      <c r="A625">
        <v>10428918</v>
      </c>
      <c r="B625" t="s">
        <v>36</v>
      </c>
      <c r="C625" t="s">
        <v>37</v>
      </c>
      <c r="D625" s="6" t="s">
        <v>38</v>
      </c>
      <c r="E625" t="s">
        <v>1999</v>
      </c>
      <c r="F625" t="s">
        <v>40</v>
      </c>
      <c r="G625" t="s">
        <v>41</v>
      </c>
      <c r="H625" t="s">
        <v>2000</v>
      </c>
      <c r="I625" t="s">
        <v>43</v>
      </c>
      <c r="J625">
        <v>2</v>
      </c>
      <c r="K625" t="s">
        <v>44</v>
      </c>
      <c r="L625" t="s">
        <v>45</v>
      </c>
      <c r="M625" t="s">
        <v>46</v>
      </c>
      <c r="N625" s="7">
        <v>1</v>
      </c>
      <c r="O625" s="8">
        <v>45649.708564814813</v>
      </c>
      <c r="P625" s="9">
        <v>45652</v>
      </c>
      <c r="Q625" t="s">
        <v>74</v>
      </c>
      <c r="R625" t="s">
        <v>48</v>
      </c>
      <c r="S625" t="s">
        <v>49</v>
      </c>
      <c r="T625" t="s">
        <v>80</v>
      </c>
      <c r="U625" t="s">
        <v>2001</v>
      </c>
      <c r="V625">
        <v>9600</v>
      </c>
      <c r="W625" t="s">
        <v>48</v>
      </c>
      <c r="X625" t="s">
        <v>690</v>
      </c>
      <c r="Y625" t="s">
        <v>54</v>
      </c>
      <c r="Z625" s="12">
        <f>IF(N625&lt;=1,9,9+0.8*ROUNDUP(N625-1,0))</f>
        <v>9</v>
      </c>
      <c r="AA625" s="11">
        <v>-2</v>
      </c>
      <c r="AB625" s="11">
        <v>0</v>
      </c>
      <c r="AC625" s="11">
        <v>0</v>
      </c>
      <c r="AD625" s="11">
        <v>0</v>
      </c>
      <c r="AE625" s="11">
        <v>0</v>
      </c>
      <c r="AF625" s="11">
        <f t="shared" si="27"/>
        <v>0.42</v>
      </c>
      <c r="AG625" s="11">
        <f t="shared" si="28"/>
        <v>7.42</v>
      </c>
      <c r="AH625" s="11">
        <v>0</v>
      </c>
      <c r="AI625" s="11">
        <f t="shared" si="29"/>
        <v>7.42</v>
      </c>
      <c r="AJ625" t="s">
        <v>62</v>
      </c>
    </row>
    <row r="626" spans="1:36" ht="15" customHeight="1" x14ac:dyDescent="0.35">
      <c r="A626">
        <v>10428918</v>
      </c>
      <c r="B626" t="s">
        <v>36</v>
      </c>
      <c r="C626" t="s">
        <v>37</v>
      </c>
      <c r="D626" s="6" t="s">
        <v>38</v>
      </c>
      <c r="E626" t="s">
        <v>2002</v>
      </c>
      <c r="F626" t="s">
        <v>40</v>
      </c>
      <c r="G626" t="s">
        <v>41</v>
      </c>
      <c r="H626" t="s">
        <v>2003</v>
      </c>
      <c r="I626" t="s">
        <v>43</v>
      </c>
      <c r="J626">
        <v>2</v>
      </c>
      <c r="K626" t="s">
        <v>44</v>
      </c>
      <c r="L626" t="s">
        <v>45</v>
      </c>
      <c r="M626" t="s">
        <v>46</v>
      </c>
      <c r="N626" s="7">
        <v>1</v>
      </c>
      <c r="O626" s="8">
        <v>45649.453043981484</v>
      </c>
      <c r="P626" s="9">
        <v>45652</v>
      </c>
      <c r="Q626" t="s">
        <v>74</v>
      </c>
      <c r="R626" t="s">
        <v>48</v>
      </c>
      <c r="S626" t="s">
        <v>49</v>
      </c>
      <c r="T626" t="s">
        <v>101</v>
      </c>
      <c r="U626" t="s">
        <v>2004</v>
      </c>
      <c r="V626">
        <v>35800</v>
      </c>
      <c r="W626" t="s">
        <v>48</v>
      </c>
      <c r="X626" t="s">
        <v>1485</v>
      </c>
      <c r="Y626" t="s">
        <v>54</v>
      </c>
      <c r="Z626" s="12">
        <f>IF(N626&lt;=1,9,9+0.8*ROUNDUP(N626-1,0))</f>
        <v>9</v>
      </c>
      <c r="AA626" s="11">
        <v>-2</v>
      </c>
      <c r="AB626" s="11">
        <v>0</v>
      </c>
      <c r="AC626" s="11">
        <v>0</v>
      </c>
      <c r="AD626" s="11">
        <v>0</v>
      </c>
      <c r="AE626" s="11">
        <v>0</v>
      </c>
      <c r="AF626" s="11">
        <f t="shared" si="27"/>
        <v>0.42</v>
      </c>
      <c r="AG626" s="11">
        <f t="shared" si="28"/>
        <v>7.42</v>
      </c>
      <c r="AH626" s="11">
        <v>0</v>
      </c>
      <c r="AI626" s="11">
        <f t="shared" si="29"/>
        <v>7.42</v>
      </c>
      <c r="AJ626" t="s">
        <v>62</v>
      </c>
    </row>
    <row r="627" spans="1:36" ht="15" customHeight="1" x14ac:dyDescent="0.35">
      <c r="A627">
        <v>10428918</v>
      </c>
      <c r="B627" t="s">
        <v>36</v>
      </c>
      <c r="C627" t="s">
        <v>37</v>
      </c>
      <c r="D627" s="6" t="s">
        <v>38</v>
      </c>
      <c r="E627" t="s">
        <v>2005</v>
      </c>
      <c r="F627" t="s">
        <v>40</v>
      </c>
      <c r="G627" t="s">
        <v>41</v>
      </c>
      <c r="H627" t="s">
        <v>2006</v>
      </c>
      <c r="I627" t="s">
        <v>43</v>
      </c>
      <c r="J627">
        <v>2</v>
      </c>
      <c r="K627" t="s">
        <v>44</v>
      </c>
      <c r="L627" t="s">
        <v>45</v>
      </c>
      <c r="M627" t="s">
        <v>46</v>
      </c>
      <c r="N627" s="7">
        <v>1</v>
      </c>
      <c r="O627" s="8">
        <v>45648.809675925928</v>
      </c>
      <c r="P627" s="9">
        <v>45652</v>
      </c>
      <c r="Q627" t="s">
        <v>74</v>
      </c>
      <c r="R627" t="s">
        <v>48</v>
      </c>
      <c r="S627" t="s">
        <v>49</v>
      </c>
      <c r="T627" t="s">
        <v>101</v>
      </c>
      <c r="U627" t="s">
        <v>2007</v>
      </c>
      <c r="V627">
        <v>31200</v>
      </c>
      <c r="W627" t="s">
        <v>48</v>
      </c>
      <c r="X627" t="s">
        <v>53</v>
      </c>
      <c r="Y627" t="s">
        <v>54</v>
      </c>
      <c r="Z627" s="12">
        <f>IF(N627&lt;=1,9,9+0.8*ROUNDUP(N627-1,0))</f>
        <v>9</v>
      </c>
      <c r="AA627" s="11">
        <v>-2</v>
      </c>
      <c r="AB627" s="11">
        <v>0</v>
      </c>
      <c r="AC627" s="11">
        <v>0</v>
      </c>
      <c r="AD627" s="11">
        <v>0</v>
      </c>
      <c r="AE627" s="11">
        <v>0</v>
      </c>
      <c r="AF627" s="11">
        <f t="shared" si="27"/>
        <v>0.42</v>
      </c>
      <c r="AG627" s="11">
        <f t="shared" si="28"/>
        <v>7.42</v>
      </c>
      <c r="AH627" s="11">
        <v>0</v>
      </c>
      <c r="AI627" s="11">
        <f t="shared" si="29"/>
        <v>7.42</v>
      </c>
      <c r="AJ627" t="s">
        <v>62</v>
      </c>
    </row>
    <row r="628" spans="1:36" ht="15" customHeight="1" x14ac:dyDescent="0.35">
      <c r="A628">
        <v>10428918</v>
      </c>
      <c r="B628" t="s">
        <v>36</v>
      </c>
      <c r="C628" t="s">
        <v>37</v>
      </c>
      <c r="D628" s="6" t="s">
        <v>38</v>
      </c>
      <c r="E628" t="s">
        <v>2008</v>
      </c>
      <c r="F628" t="s">
        <v>40</v>
      </c>
      <c r="G628" t="s">
        <v>41</v>
      </c>
      <c r="H628" t="s">
        <v>2009</v>
      </c>
      <c r="I628" t="s">
        <v>43</v>
      </c>
      <c r="J628">
        <v>2</v>
      </c>
      <c r="K628" t="s">
        <v>44</v>
      </c>
      <c r="L628" t="s">
        <v>45</v>
      </c>
      <c r="M628" t="s">
        <v>46</v>
      </c>
      <c r="N628" s="7">
        <v>2</v>
      </c>
      <c r="O628" s="8">
        <v>45641.50922453704</v>
      </c>
      <c r="P628" s="9">
        <v>45652</v>
      </c>
      <c r="Q628" t="s">
        <v>74</v>
      </c>
      <c r="R628" t="s">
        <v>48</v>
      </c>
      <c r="S628" t="s">
        <v>49</v>
      </c>
      <c r="T628" t="s">
        <v>50</v>
      </c>
      <c r="U628" t="s">
        <v>2010</v>
      </c>
      <c r="V628">
        <v>91100</v>
      </c>
      <c r="W628" t="s">
        <v>52</v>
      </c>
      <c r="X628" t="s">
        <v>53</v>
      </c>
      <c r="Y628" t="s">
        <v>54</v>
      </c>
      <c r="Z628" s="10">
        <f>IF(N628&lt;=1,13,IF(N628&lt;=2,23,IF(N628&lt;=3,35,IF(N628&lt;=4,43,IF(N628&lt;=5,53,IF(N628&lt;=6,63,IF(N628&lt;=7,71,IF(N628&lt;=8,79,IF(N628&lt;=9,87,IF(N628&lt;=10,95,IF(N628&lt;=11,105,IF(N628&lt;=12,114,IF(N628&lt;=13,119,IF(N628&lt;=14,127,IF(N628&lt;=15,135,IF(N628&lt;=16,143,IF(N628&lt;=17,153,IF(N628&lt;=18,163,IF(N628&lt;=19,171,IF(N628&lt;=20,185,IF(N628&lt;=21,193,IF(N628&lt;=22,201,IF(N628&lt;=23,210,IF(N628&lt;=24,220,IF(N628&lt;=25,230,IF(N628&lt;=26,240,IF(N628&lt;=27,250,IF(N628&lt;=28,260,IF(N628&lt;=29,270,IF(N628&lt;=30,280,280+10*ROUNDUP(N628-30,0)))))))))))))))))))))))))))))))</f>
        <v>23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f t="shared" si="27"/>
        <v>1.38</v>
      </c>
      <c r="AG628" s="11">
        <f t="shared" si="28"/>
        <v>24.38</v>
      </c>
      <c r="AH628" s="11">
        <v>0</v>
      </c>
      <c r="AI628" s="11">
        <f t="shared" si="29"/>
        <v>24.38</v>
      </c>
      <c r="AJ628" t="s">
        <v>55</v>
      </c>
    </row>
    <row r="629" spans="1:36" ht="15" customHeight="1" x14ac:dyDescent="0.35">
      <c r="A629">
        <v>10428918</v>
      </c>
      <c r="B629" t="s">
        <v>36</v>
      </c>
      <c r="C629" t="s">
        <v>37</v>
      </c>
      <c r="D629" s="6" t="s">
        <v>38</v>
      </c>
      <c r="E629" t="s">
        <v>2011</v>
      </c>
      <c r="F629" t="s">
        <v>40</v>
      </c>
      <c r="G629" t="s">
        <v>41</v>
      </c>
      <c r="H629" t="s">
        <v>2012</v>
      </c>
      <c r="I629" t="s">
        <v>43</v>
      </c>
      <c r="J629">
        <v>2</v>
      </c>
      <c r="K629" t="s">
        <v>44</v>
      </c>
      <c r="L629" t="s">
        <v>45</v>
      </c>
      <c r="M629" t="s">
        <v>46</v>
      </c>
      <c r="N629" s="7">
        <v>1</v>
      </c>
      <c r="O629" s="8">
        <v>45649.708553240744</v>
      </c>
      <c r="P629" s="9">
        <v>45652</v>
      </c>
      <c r="Q629" t="s">
        <v>74</v>
      </c>
      <c r="R629" t="s">
        <v>48</v>
      </c>
      <c r="S629" t="s">
        <v>49</v>
      </c>
      <c r="T629" t="s">
        <v>90</v>
      </c>
      <c r="U629" t="s">
        <v>2013</v>
      </c>
      <c r="V629">
        <v>22200</v>
      </c>
      <c r="W629" t="s">
        <v>48</v>
      </c>
      <c r="X629" t="s">
        <v>61</v>
      </c>
      <c r="Y629" t="s">
        <v>54</v>
      </c>
      <c r="Z629" s="12">
        <f>IF(N629&lt;=1,9,9+0.8*ROUNDUP(N629-1,0))</f>
        <v>9</v>
      </c>
      <c r="AA629" s="11">
        <v>-2</v>
      </c>
      <c r="AB629" s="11">
        <v>0</v>
      </c>
      <c r="AC629" s="11">
        <v>0</v>
      </c>
      <c r="AD629" s="11">
        <v>0</v>
      </c>
      <c r="AE629" s="11">
        <v>0</v>
      </c>
      <c r="AF629" s="11">
        <f t="shared" si="27"/>
        <v>0.42</v>
      </c>
      <c r="AG629" s="11">
        <f t="shared" si="28"/>
        <v>7.42</v>
      </c>
      <c r="AH629" s="11">
        <v>0</v>
      </c>
      <c r="AI629" s="11">
        <f t="shared" si="29"/>
        <v>7.42</v>
      </c>
      <c r="AJ629" t="s">
        <v>62</v>
      </c>
    </row>
    <row r="630" spans="1:36" ht="15" customHeight="1" x14ac:dyDescent="0.35">
      <c r="A630">
        <v>10428918</v>
      </c>
      <c r="B630" t="s">
        <v>36</v>
      </c>
      <c r="C630" t="s">
        <v>37</v>
      </c>
      <c r="D630" s="6" t="s">
        <v>38</v>
      </c>
      <c r="E630" t="s">
        <v>2014</v>
      </c>
      <c r="F630" t="s">
        <v>40</v>
      </c>
      <c r="G630" t="s">
        <v>41</v>
      </c>
      <c r="H630" t="s">
        <v>2015</v>
      </c>
      <c r="I630" t="s">
        <v>43</v>
      </c>
      <c r="J630">
        <v>2</v>
      </c>
      <c r="K630" t="s">
        <v>44</v>
      </c>
      <c r="L630" t="s">
        <v>45</v>
      </c>
      <c r="M630" t="s">
        <v>46</v>
      </c>
      <c r="N630" s="7">
        <v>1</v>
      </c>
      <c r="O630" s="8">
        <v>45649.792974537035</v>
      </c>
      <c r="P630" s="9">
        <v>45652</v>
      </c>
      <c r="Q630" t="s">
        <v>74</v>
      </c>
      <c r="R630" t="s">
        <v>48</v>
      </c>
      <c r="S630" t="s">
        <v>49</v>
      </c>
      <c r="T630" t="s">
        <v>80</v>
      </c>
      <c r="U630" t="s">
        <v>2016</v>
      </c>
      <c r="V630">
        <v>9200</v>
      </c>
      <c r="W630" t="s">
        <v>48</v>
      </c>
      <c r="X630" t="s">
        <v>1388</v>
      </c>
      <c r="Y630" t="s">
        <v>54</v>
      </c>
      <c r="Z630" s="12">
        <f>IF(N630&lt;=1,9,9+0.8*ROUNDUP(N630-1,0))</f>
        <v>9</v>
      </c>
      <c r="AA630" s="11">
        <v>-2</v>
      </c>
      <c r="AB630" s="11">
        <v>0</v>
      </c>
      <c r="AC630" s="11">
        <v>0</v>
      </c>
      <c r="AD630" s="11">
        <v>0</v>
      </c>
      <c r="AE630" s="11">
        <v>0</v>
      </c>
      <c r="AF630" s="11">
        <f t="shared" si="27"/>
        <v>0.42</v>
      </c>
      <c r="AG630" s="11">
        <f t="shared" si="28"/>
        <v>7.42</v>
      </c>
      <c r="AH630" s="11">
        <v>0</v>
      </c>
      <c r="AI630" s="11">
        <f t="shared" si="29"/>
        <v>7.42</v>
      </c>
      <c r="AJ630" t="s">
        <v>62</v>
      </c>
    </row>
    <row r="631" spans="1:36" ht="15" customHeight="1" x14ac:dyDescent="0.35">
      <c r="A631">
        <v>10428918</v>
      </c>
      <c r="B631" t="s">
        <v>36</v>
      </c>
      <c r="C631" t="s">
        <v>37</v>
      </c>
      <c r="D631" s="6" t="s">
        <v>38</v>
      </c>
      <c r="E631" t="s">
        <v>2017</v>
      </c>
      <c r="F631" t="s">
        <v>40</v>
      </c>
      <c r="G631" t="s">
        <v>41</v>
      </c>
      <c r="H631" t="s">
        <v>2018</v>
      </c>
      <c r="I631" t="s">
        <v>43</v>
      </c>
      <c r="J631">
        <v>2</v>
      </c>
      <c r="K631" t="s">
        <v>44</v>
      </c>
      <c r="L631" t="s">
        <v>45</v>
      </c>
      <c r="M631" t="s">
        <v>46</v>
      </c>
      <c r="N631" s="7">
        <v>1</v>
      </c>
      <c r="O631" s="8">
        <v>45650.767407407409</v>
      </c>
      <c r="P631" s="9">
        <v>45652</v>
      </c>
      <c r="Q631" t="s">
        <v>74</v>
      </c>
      <c r="R631" t="s">
        <v>48</v>
      </c>
      <c r="S631" t="s">
        <v>49</v>
      </c>
      <c r="T631" t="s">
        <v>59</v>
      </c>
      <c r="U631" t="s">
        <v>2019</v>
      </c>
      <c r="V631">
        <v>16300</v>
      </c>
      <c r="W631" t="s">
        <v>48</v>
      </c>
      <c r="X631" t="s">
        <v>77</v>
      </c>
      <c r="Y631" t="s">
        <v>54</v>
      </c>
      <c r="Z631" s="12">
        <f>IF(N631&lt;=1,9,9+0.8*ROUNDUP(N631-1,0))</f>
        <v>9</v>
      </c>
      <c r="AA631" s="11">
        <v>-2</v>
      </c>
      <c r="AB631" s="11">
        <v>0</v>
      </c>
      <c r="AC631" s="11">
        <v>0</v>
      </c>
      <c r="AD631" s="11">
        <v>0</v>
      </c>
      <c r="AE631" s="11">
        <v>0</v>
      </c>
      <c r="AF631" s="11">
        <f t="shared" si="27"/>
        <v>0.42</v>
      </c>
      <c r="AG631" s="11">
        <f t="shared" si="28"/>
        <v>7.42</v>
      </c>
      <c r="AH631" s="11">
        <v>0</v>
      </c>
      <c r="AI631" s="11">
        <f t="shared" si="29"/>
        <v>7.42</v>
      </c>
      <c r="AJ631" t="s">
        <v>62</v>
      </c>
    </row>
    <row r="632" spans="1:36" ht="15" customHeight="1" x14ac:dyDescent="0.35">
      <c r="A632">
        <v>10428918</v>
      </c>
      <c r="B632" t="s">
        <v>36</v>
      </c>
      <c r="C632" t="s">
        <v>37</v>
      </c>
      <c r="D632" s="6" t="s">
        <v>38</v>
      </c>
      <c r="E632" t="s">
        <v>2020</v>
      </c>
      <c r="F632" t="s">
        <v>40</v>
      </c>
      <c r="G632" t="s">
        <v>41</v>
      </c>
      <c r="H632" t="s">
        <v>2021</v>
      </c>
      <c r="I632" t="s">
        <v>43</v>
      </c>
      <c r="J632">
        <v>2</v>
      </c>
      <c r="K632" t="s">
        <v>44</v>
      </c>
      <c r="L632" t="s">
        <v>45</v>
      </c>
      <c r="M632" t="s">
        <v>46</v>
      </c>
      <c r="N632" s="7">
        <v>2</v>
      </c>
      <c r="O632" s="8">
        <v>45649.792974537035</v>
      </c>
      <c r="P632" s="9">
        <v>45652</v>
      </c>
      <c r="Q632" t="s">
        <v>74</v>
      </c>
      <c r="R632" t="s">
        <v>48</v>
      </c>
      <c r="S632" t="s">
        <v>49</v>
      </c>
      <c r="T632" t="s">
        <v>85</v>
      </c>
      <c r="U632" t="s">
        <v>2022</v>
      </c>
      <c r="V632">
        <v>71800</v>
      </c>
      <c r="W632" t="s">
        <v>48</v>
      </c>
      <c r="X632" t="s">
        <v>53</v>
      </c>
      <c r="Y632" t="s">
        <v>54</v>
      </c>
      <c r="Z632" s="12">
        <f>IF(N632&lt;=1,9,9+0.8*ROUNDUP(N632-1,0))</f>
        <v>9.8000000000000007</v>
      </c>
      <c r="AA632" s="11">
        <v>-2</v>
      </c>
      <c r="AB632" s="11">
        <v>0</v>
      </c>
      <c r="AC632" s="11">
        <v>0</v>
      </c>
      <c r="AD632" s="11">
        <v>0</v>
      </c>
      <c r="AE632" s="11">
        <v>0</v>
      </c>
      <c r="AF632" s="11">
        <f t="shared" si="27"/>
        <v>0.46800000000000003</v>
      </c>
      <c r="AG632" s="11">
        <f t="shared" si="28"/>
        <v>8.2680000000000007</v>
      </c>
      <c r="AH632" s="11">
        <v>0</v>
      </c>
      <c r="AI632" s="11">
        <f t="shared" si="29"/>
        <v>8.2680000000000007</v>
      </c>
      <c r="AJ632" t="s">
        <v>62</v>
      </c>
    </row>
    <row r="633" spans="1:36" ht="15" customHeight="1" x14ac:dyDescent="0.35">
      <c r="A633">
        <v>10428918</v>
      </c>
      <c r="B633" t="s">
        <v>36</v>
      </c>
      <c r="C633" t="s">
        <v>37</v>
      </c>
      <c r="D633" s="6" t="s">
        <v>38</v>
      </c>
      <c r="E633" t="s">
        <v>2023</v>
      </c>
      <c r="F633" t="s">
        <v>40</v>
      </c>
      <c r="G633" t="s">
        <v>41</v>
      </c>
      <c r="H633" t="s">
        <v>2024</v>
      </c>
      <c r="I633" t="s">
        <v>43</v>
      </c>
      <c r="J633">
        <v>2</v>
      </c>
      <c r="K633" t="s">
        <v>44</v>
      </c>
      <c r="L633" t="s">
        <v>45</v>
      </c>
      <c r="M633" t="s">
        <v>46</v>
      </c>
      <c r="N633" s="7">
        <v>1</v>
      </c>
      <c r="O633" s="8">
        <v>45649.800300925926</v>
      </c>
      <c r="P633" s="9">
        <v>45652</v>
      </c>
      <c r="Q633" t="s">
        <v>74</v>
      </c>
      <c r="R633" t="s">
        <v>48</v>
      </c>
      <c r="S633" t="s">
        <v>49</v>
      </c>
      <c r="T633" t="s">
        <v>117</v>
      </c>
      <c r="U633" t="s">
        <v>2025</v>
      </c>
      <c r="V633">
        <v>53100</v>
      </c>
      <c r="W633" t="s">
        <v>48</v>
      </c>
      <c r="X633" t="s">
        <v>53</v>
      </c>
      <c r="Y633" t="s">
        <v>54</v>
      </c>
      <c r="Z633" s="12">
        <f>IF(N633&lt;=1,9,9+0.8*ROUNDUP(N633-1,0))</f>
        <v>9</v>
      </c>
      <c r="AA633" s="11">
        <v>-2</v>
      </c>
      <c r="AB633" s="11">
        <v>0</v>
      </c>
      <c r="AC633" s="11">
        <v>0</v>
      </c>
      <c r="AD633" s="11">
        <v>0</v>
      </c>
      <c r="AE633" s="11">
        <v>0</v>
      </c>
      <c r="AF633" s="11">
        <f t="shared" si="27"/>
        <v>0.42</v>
      </c>
      <c r="AG633" s="11">
        <f t="shared" si="28"/>
        <v>7.42</v>
      </c>
      <c r="AH633" s="11">
        <v>0</v>
      </c>
      <c r="AI633" s="11">
        <f t="shared" si="29"/>
        <v>7.42</v>
      </c>
      <c r="AJ633" t="s">
        <v>62</v>
      </c>
    </row>
    <row r="634" spans="1:36" ht="15" customHeight="1" x14ac:dyDescent="0.35">
      <c r="A634">
        <v>10428918</v>
      </c>
      <c r="B634" t="s">
        <v>36</v>
      </c>
      <c r="C634" t="s">
        <v>37</v>
      </c>
      <c r="D634" s="6" t="s">
        <v>38</v>
      </c>
      <c r="E634" t="s">
        <v>2026</v>
      </c>
      <c r="F634" t="s">
        <v>40</v>
      </c>
      <c r="G634" t="s">
        <v>41</v>
      </c>
      <c r="H634" t="s">
        <v>2027</v>
      </c>
      <c r="I634" t="s">
        <v>43</v>
      </c>
      <c r="J634">
        <v>2</v>
      </c>
      <c r="K634" t="s">
        <v>44</v>
      </c>
      <c r="L634" t="s">
        <v>45</v>
      </c>
      <c r="M634" t="s">
        <v>46</v>
      </c>
      <c r="N634" s="7">
        <v>1</v>
      </c>
      <c r="O634" s="8">
        <v>45650.759814814817</v>
      </c>
      <c r="P634" s="9">
        <v>45652</v>
      </c>
      <c r="Q634" t="s">
        <v>74</v>
      </c>
      <c r="R634" t="s">
        <v>48</v>
      </c>
      <c r="S634" t="s">
        <v>49</v>
      </c>
      <c r="T634" t="s">
        <v>85</v>
      </c>
      <c r="U634" t="s">
        <v>2028</v>
      </c>
      <c r="V634">
        <v>71450</v>
      </c>
      <c r="W634" t="s">
        <v>48</v>
      </c>
      <c r="X634" t="s">
        <v>114</v>
      </c>
      <c r="Y634" t="s">
        <v>54</v>
      </c>
      <c r="Z634" s="12">
        <f>IF(N634&lt;=1,9,9+0.8*ROUNDUP(N634-1,0))</f>
        <v>9</v>
      </c>
      <c r="AA634" s="11">
        <v>-2</v>
      </c>
      <c r="AB634" s="11">
        <v>0</v>
      </c>
      <c r="AC634" s="11">
        <v>0</v>
      </c>
      <c r="AD634" s="11">
        <v>0</v>
      </c>
      <c r="AE634" s="11">
        <v>0</v>
      </c>
      <c r="AF634" s="11">
        <f t="shared" si="27"/>
        <v>0.42</v>
      </c>
      <c r="AG634" s="11">
        <f t="shared" si="28"/>
        <v>7.42</v>
      </c>
      <c r="AH634" s="11">
        <v>0</v>
      </c>
      <c r="AI634" s="11">
        <f t="shared" si="29"/>
        <v>7.42</v>
      </c>
      <c r="AJ634" t="s">
        <v>62</v>
      </c>
    </row>
    <row r="635" spans="1:36" ht="15" customHeight="1" x14ac:dyDescent="0.35">
      <c r="A635">
        <v>10428918</v>
      </c>
      <c r="B635" t="s">
        <v>36</v>
      </c>
      <c r="C635" t="s">
        <v>37</v>
      </c>
      <c r="D635" s="6" t="s">
        <v>38</v>
      </c>
      <c r="E635" t="s">
        <v>2029</v>
      </c>
      <c r="F635" t="s">
        <v>40</v>
      </c>
      <c r="G635" t="s">
        <v>41</v>
      </c>
      <c r="H635" t="s">
        <v>2030</v>
      </c>
      <c r="I635" t="s">
        <v>43</v>
      </c>
      <c r="J635">
        <v>2</v>
      </c>
      <c r="K635" t="s">
        <v>44</v>
      </c>
      <c r="L635" t="s">
        <v>45</v>
      </c>
      <c r="M635" t="s">
        <v>46</v>
      </c>
      <c r="N635" s="7">
        <v>1</v>
      </c>
      <c r="O635" s="8">
        <v>45651.455636574072</v>
      </c>
      <c r="P635" s="9">
        <v>45652</v>
      </c>
      <c r="Q635" t="s">
        <v>74</v>
      </c>
      <c r="R635" t="s">
        <v>48</v>
      </c>
      <c r="S635" t="s">
        <v>49</v>
      </c>
      <c r="T635" t="s">
        <v>117</v>
      </c>
      <c r="U635" t="s">
        <v>2031</v>
      </c>
      <c r="V635">
        <v>42700</v>
      </c>
      <c r="W635" t="s">
        <v>48</v>
      </c>
      <c r="X635" t="s">
        <v>53</v>
      </c>
      <c r="Y635" t="s">
        <v>54</v>
      </c>
      <c r="Z635" s="12">
        <f>IF(N635&lt;=1,9,9+0.8*ROUNDUP(N635-1,0))</f>
        <v>9</v>
      </c>
      <c r="AA635" s="11">
        <v>-2</v>
      </c>
      <c r="AB635" s="11">
        <v>0</v>
      </c>
      <c r="AC635" s="11">
        <v>0</v>
      </c>
      <c r="AD635" s="11">
        <v>0</v>
      </c>
      <c r="AE635" s="11">
        <v>0</v>
      </c>
      <c r="AF635" s="11">
        <f t="shared" si="27"/>
        <v>0.42</v>
      </c>
      <c r="AG635" s="11">
        <f t="shared" si="28"/>
        <v>7.42</v>
      </c>
      <c r="AH635" s="11">
        <v>0</v>
      </c>
      <c r="AI635" s="11">
        <f t="shared" si="29"/>
        <v>7.42</v>
      </c>
      <c r="AJ635" t="s">
        <v>62</v>
      </c>
    </row>
    <row r="636" spans="1:36" ht="15" customHeight="1" x14ac:dyDescent="0.35">
      <c r="A636">
        <v>10428918</v>
      </c>
      <c r="B636" t="s">
        <v>36</v>
      </c>
      <c r="C636" t="s">
        <v>37</v>
      </c>
      <c r="D636" s="6" t="s">
        <v>38</v>
      </c>
      <c r="E636" t="s">
        <v>2032</v>
      </c>
      <c r="F636" t="s">
        <v>40</v>
      </c>
      <c r="G636" t="s">
        <v>41</v>
      </c>
      <c r="H636" t="s">
        <v>2033</v>
      </c>
      <c r="I636" t="s">
        <v>43</v>
      </c>
      <c r="J636">
        <v>2</v>
      </c>
      <c r="K636" t="s">
        <v>44</v>
      </c>
      <c r="L636" t="s">
        <v>45</v>
      </c>
      <c r="M636" t="s">
        <v>46</v>
      </c>
      <c r="N636" s="7">
        <v>1</v>
      </c>
      <c r="O636" s="8">
        <v>45649.792986111112</v>
      </c>
      <c r="P636" s="9">
        <v>45652</v>
      </c>
      <c r="Q636" t="s">
        <v>74</v>
      </c>
      <c r="R636" t="s">
        <v>48</v>
      </c>
      <c r="S636" t="s">
        <v>49</v>
      </c>
      <c r="T636" t="s">
        <v>65</v>
      </c>
      <c r="U636" t="s">
        <v>2034</v>
      </c>
      <c r="V636">
        <v>76450</v>
      </c>
      <c r="W636" t="s">
        <v>48</v>
      </c>
      <c r="X636" t="s">
        <v>53</v>
      </c>
      <c r="Y636" t="s">
        <v>54</v>
      </c>
      <c r="Z636" s="12">
        <f>IF(N636&lt;=1,9,9+0.8*ROUNDUP(N636-1,0))</f>
        <v>9</v>
      </c>
      <c r="AA636" s="11">
        <v>-2</v>
      </c>
      <c r="AB636" s="11">
        <v>0</v>
      </c>
      <c r="AC636" s="11">
        <v>0</v>
      </c>
      <c r="AD636" s="11">
        <v>0</v>
      </c>
      <c r="AE636" s="11">
        <v>0</v>
      </c>
      <c r="AF636" s="11">
        <f t="shared" si="27"/>
        <v>0.42</v>
      </c>
      <c r="AG636" s="11">
        <f t="shared" si="28"/>
        <v>7.42</v>
      </c>
      <c r="AH636" s="11">
        <v>0</v>
      </c>
      <c r="AI636" s="11">
        <f t="shared" si="29"/>
        <v>7.42</v>
      </c>
      <c r="AJ636" t="s">
        <v>62</v>
      </c>
    </row>
    <row r="637" spans="1:36" ht="15" customHeight="1" x14ac:dyDescent="0.35">
      <c r="A637">
        <v>10428918</v>
      </c>
      <c r="B637" t="s">
        <v>36</v>
      </c>
      <c r="C637" t="s">
        <v>37</v>
      </c>
      <c r="D637" s="6" t="s">
        <v>38</v>
      </c>
      <c r="E637" t="s">
        <v>2035</v>
      </c>
      <c r="F637" t="s">
        <v>40</v>
      </c>
      <c r="G637" t="s">
        <v>41</v>
      </c>
      <c r="H637" t="s">
        <v>2036</v>
      </c>
      <c r="I637" t="s">
        <v>43</v>
      </c>
      <c r="J637">
        <v>2</v>
      </c>
      <c r="K637" t="s">
        <v>44</v>
      </c>
      <c r="L637" t="s">
        <v>45</v>
      </c>
      <c r="M637" t="s">
        <v>46</v>
      </c>
      <c r="N637" s="7">
        <v>2</v>
      </c>
      <c r="O637" s="8">
        <v>45648.809687499997</v>
      </c>
      <c r="P637" s="9">
        <v>45652</v>
      </c>
      <c r="Q637" t="s">
        <v>74</v>
      </c>
      <c r="R637" t="s">
        <v>48</v>
      </c>
      <c r="S637" t="s">
        <v>49</v>
      </c>
      <c r="T637" t="s">
        <v>69</v>
      </c>
      <c r="U637" t="s">
        <v>2037</v>
      </c>
      <c r="V637">
        <v>83700</v>
      </c>
      <c r="W637" t="s">
        <v>48</v>
      </c>
      <c r="X637" t="s">
        <v>71</v>
      </c>
      <c r="Y637" t="s">
        <v>54</v>
      </c>
      <c r="Z637" s="12">
        <f>IF(N637&lt;=1,9,9+0.8*ROUNDUP(N637-1,0))</f>
        <v>9.8000000000000007</v>
      </c>
      <c r="AA637" s="11">
        <v>-2</v>
      </c>
      <c r="AB637" s="11">
        <v>0</v>
      </c>
      <c r="AC637" s="11">
        <v>0</v>
      </c>
      <c r="AD637" s="11">
        <v>0</v>
      </c>
      <c r="AE637" s="11">
        <v>0</v>
      </c>
      <c r="AF637" s="11">
        <f t="shared" si="27"/>
        <v>0.46800000000000003</v>
      </c>
      <c r="AG637" s="11">
        <f t="shared" si="28"/>
        <v>8.2680000000000007</v>
      </c>
      <c r="AH637" s="11">
        <v>0</v>
      </c>
      <c r="AI637" s="11">
        <f t="shared" si="29"/>
        <v>8.2680000000000007</v>
      </c>
      <c r="AJ637" t="s">
        <v>62</v>
      </c>
    </row>
    <row r="638" spans="1:36" ht="15" customHeight="1" x14ac:dyDescent="0.35">
      <c r="A638">
        <v>10428918</v>
      </c>
      <c r="B638" t="s">
        <v>36</v>
      </c>
      <c r="C638" t="s">
        <v>37</v>
      </c>
      <c r="D638" s="6" t="s">
        <v>38</v>
      </c>
      <c r="E638" t="s">
        <v>2038</v>
      </c>
      <c r="F638" t="s">
        <v>40</v>
      </c>
      <c r="G638" t="s">
        <v>41</v>
      </c>
      <c r="H638" t="s">
        <v>2039</v>
      </c>
      <c r="I638" t="s">
        <v>43</v>
      </c>
      <c r="J638">
        <v>2</v>
      </c>
      <c r="K638" t="s">
        <v>44</v>
      </c>
      <c r="L638" t="s">
        <v>45</v>
      </c>
      <c r="M638" t="s">
        <v>46</v>
      </c>
      <c r="N638" s="7">
        <v>3</v>
      </c>
      <c r="O638" s="8">
        <v>45651.505115740743</v>
      </c>
      <c r="P638" s="9">
        <v>45652</v>
      </c>
      <c r="Q638" t="s">
        <v>74</v>
      </c>
      <c r="R638" t="s">
        <v>48</v>
      </c>
      <c r="S638" t="s">
        <v>49</v>
      </c>
      <c r="T638" t="s">
        <v>65</v>
      </c>
      <c r="U638" t="s">
        <v>2040</v>
      </c>
      <c r="V638">
        <v>75450</v>
      </c>
      <c r="W638" t="s">
        <v>48</v>
      </c>
      <c r="X638" t="s">
        <v>480</v>
      </c>
      <c r="Y638" t="s">
        <v>54</v>
      </c>
      <c r="Z638" s="12">
        <f>IF(N638&lt;=1,9,9+0.8*ROUNDUP(N638-1,0))</f>
        <v>10.6</v>
      </c>
      <c r="AA638" s="11">
        <v>-2</v>
      </c>
      <c r="AB638" s="11">
        <v>0</v>
      </c>
      <c r="AC638" s="11">
        <v>0</v>
      </c>
      <c r="AD638" s="11">
        <v>0</v>
      </c>
      <c r="AE638" s="11">
        <v>0</v>
      </c>
      <c r="AF638" s="11">
        <f t="shared" si="27"/>
        <v>0.51600000000000001</v>
      </c>
      <c r="AG638" s="11">
        <f t="shared" si="28"/>
        <v>9.1159999999999997</v>
      </c>
      <c r="AH638" s="11">
        <v>0</v>
      </c>
      <c r="AI638" s="11">
        <f t="shared" si="29"/>
        <v>9.1159999999999997</v>
      </c>
      <c r="AJ638" t="s">
        <v>62</v>
      </c>
    </row>
    <row r="639" spans="1:36" ht="15" customHeight="1" x14ac:dyDescent="0.35">
      <c r="A639">
        <v>10428918</v>
      </c>
      <c r="B639" t="s">
        <v>36</v>
      </c>
      <c r="C639" t="s">
        <v>37</v>
      </c>
      <c r="D639" s="6" t="s">
        <v>38</v>
      </c>
      <c r="E639" t="s">
        <v>2041</v>
      </c>
      <c r="F639" t="s">
        <v>40</v>
      </c>
      <c r="G639" t="s">
        <v>41</v>
      </c>
      <c r="H639" t="s">
        <v>2042</v>
      </c>
      <c r="I639" t="s">
        <v>43</v>
      </c>
      <c r="J639">
        <v>2</v>
      </c>
      <c r="K639" t="s">
        <v>44</v>
      </c>
      <c r="L639" t="s">
        <v>45</v>
      </c>
      <c r="M639" t="s">
        <v>46</v>
      </c>
      <c r="N639" s="7">
        <v>2</v>
      </c>
      <c r="O639" s="8">
        <v>45649.792974537035</v>
      </c>
      <c r="P639" s="9">
        <v>45652</v>
      </c>
      <c r="Q639" t="s">
        <v>74</v>
      </c>
      <c r="R639" t="s">
        <v>48</v>
      </c>
      <c r="S639" t="s">
        <v>49</v>
      </c>
      <c r="T639" t="s">
        <v>80</v>
      </c>
      <c r="U639" t="s">
        <v>2043</v>
      </c>
      <c r="V639">
        <v>8800</v>
      </c>
      <c r="W639" t="s">
        <v>48</v>
      </c>
      <c r="X639" t="s">
        <v>141</v>
      </c>
      <c r="Y639" t="s">
        <v>54</v>
      </c>
      <c r="Z639" s="12">
        <f>IF(N639&lt;=1,9,9+0.8*ROUNDUP(N639-1,0))</f>
        <v>9.8000000000000007</v>
      </c>
      <c r="AA639" s="11">
        <v>-2</v>
      </c>
      <c r="AB639" s="11">
        <v>0</v>
      </c>
      <c r="AC639" s="11">
        <v>0</v>
      </c>
      <c r="AD639" s="11">
        <v>0</v>
      </c>
      <c r="AE639" s="11">
        <v>0</v>
      </c>
      <c r="AF639" s="11">
        <f t="shared" si="27"/>
        <v>0.46800000000000003</v>
      </c>
      <c r="AG639" s="11">
        <f t="shared" si="28"/>
        <v>8.2680000000000007</v>
      </c>
      <c r="AH639" s="11">
        <v>0</v>
      </c>
      <c r="AI639" s="11">
        <f t="shared" si="29"/>
        <v>8.2680000000000007</v>
      </c>
      <c r="AJ639" t="s">
        <v>62</v>
      </c>
    </row>
    <row r="640" spans="1:36" ht="15" customHeight="1" x14ac:dyDescent="0.35">
      <c r="A640">
        <v>10428918</v>
      </c>
      <c r="B640" t="s">
        <v>36</v>
      </c>
      <c r="C640" t="s">
        <v>37</v>
      </c>
      <c r="D640" s="6" t="s">
        <v>38</v>
      </c>
      <c r="E640" t="s">
        <v>2044</v>
      </c>
      <c r="F640" t="s">
        <v>40</v>
      </c>
      <c r="G640" t="s">
        <v>41</v>
      </c>
      <c r="H640" t="s">
        <v>2045</v>
      </c>
      <c r="I640" t="s">
        <v>43</v>
      </c>
      <c r="J640">
        <v>2</v>
      </c>
      <c r="K640" t="s">
        <v>44</v>
      </c>
      <c r="L640" t="s">
        <v>45</v>
      </c>
      <c r="M640" t="s">
        <v>46</v>
      </c>
      <c r="N640" s="7">
        <v>1</v>
      </c>
      <c r="O640" s="8">
        <v>45649.792974537035</v>
      </c>
      <c r="P640" s="9">
        <v>45652</v>
      </c>
      <c r="Q640" t="s">
        <v>74</v>
      </c>
      <c r="R640" t="s">
        <v>48</v>
      </c>
      <c r="S640" t="s">
        <v>49</v>
      </c>
      <c r="T640" t="s">
        <v>69</v>
      </c>
      <c r="U640" t="s">
        <v>2046</v>
      </c>
      <c r="V640">
        <v>81900</v>
      </c>
      <c r="W640" t="s">
        <v>48</v>
      </c>
      <c r="X640" t="s">
        <v>53</v>
      </c>
      <c r="Y640" t="s">
        <v>54</v>
      </c>
      <c r="Z640" s="12">
        <f>IF(N640&lt;=1,9,9+0.8*ROUNDUP(N640-1,0))</f>
        <v>9</v>
      </c>
      <c r="AA640" s="11">
        <v>-2</v>
      </c>
      <c r="AB640" s="11">
        <v>0</v>
      </c>
      <c r="AC640" s="11">
        <v>0</v>
      </c>
      <c r="AD640" s="11">
        <v>0</v>
      </c>
      <c r="AE640" s="11">
        <v>0</v>
      </c>
      <c r="AF640" s="11">
        <f t="shared" si="27"/>
        <v>0.42</v>
      </c>
      <c r="AG640" s="11">
        <f t="shared" si="28"/>
        <v>7.42</v>
      </c>
      <c r="AH640" s="11">
        <v>0</v>
      </c>
      <c r="AI640" s="11">
        <f t="shared" si="29"/>
        <v>7.42</v>
      </c>
      <c r="AJ640" t="s">
        <v>62</v>
      </c>
    </row>
    <row r="641" spans="1:36" ht="15" customHeight="1" x14ac:dyDescent="0.35">
      <c r="A641">
        <v>10428918</v>
      </c>
      <c r="B641" t="s">
        <v>36</v>
      </c>
      <c r="C641" t="s">
        <v>37</v>
      </c>
      <c r="D641" s="6" t="s">
        <v>38</v>
      </c>
      <c r="E641" t="s">
        <v>2047</v>
      </c>
      <c r="F641" t="s">
        <v>40</v>
      </c>
      <c r="G641" t="s">
        <v>41</v>
      </c>
      <c r="H641" t="s">
        <v>2048</v>
      </c>
      <c r="I641" t="s">
        <v>43</v>
      </c>
      <c r="J641">
        <v>2</v>
      </c>
      <c r="K641" t="s">
        <v>44</v>
      </c>
      <c r="L641" t="s">
        <v>45</v>
      </c>
      <c r="M641" t="s">
        <v>46</v>
      </c>
      <c r="N641" s="7">
        <v>1</v>
      </c>
      <c r="O641" s="8">
        <v>45650.739733796298</v>
      </c>
      <c r="P641" s="9">
        <v>45652</v>
      </c>
      <c r="Q641" t="s">
        <v>74</v>
      </c>
      <c r="R641" t="s">
        <v>48</v>
      </c>
      <c r="S641" t="s">
        <v>49</v>
      </c>
      <c r="T641" t="s">
        <v>117</v>
      </c>
      <c r="U641" t="s">
        <v>2049</v>
      </c>
      <c r="V641">
        <v>40200</v>
      </c>
      <c r="W641" t="s">
        <v>48</v>
      </c>
      <c r="X641" t="s">
        <v>921</v>
      </c>
      <c r="Y641" t="s">
        <v>54</v>
      </c>
      <c r="Z641" s="12">
        <f>IF(N641&lt;=1,9,9+0.8*ROUNDUP(N641-1,0))</f>
        <v>9</v>
      </c>
      <c r="AA641" s="11">
        <v>-2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27"/>
        <v>0.42</v>
      </c>
      <c r="AG641" s="11">
        <f t="shared" si="28"/>
        <v>7.42</v>
      </c>
      <c r="AH641" s="11">
        <v>0</v>
      </c>
      <c r="AI641" s="11">
        <f t="shared" si="29"/>
        <v>7.42</v>
      </c>
      <c r="AJ641" t="s">
        <v>62</v>
      </c>
    </row>
    <row r="642" spans="1:36" ht="15" customHeight="1" x14ac:dyDescent="0.35">
      <c r="A642">
        <v>10428918</v>
      </c>
      <c r="B642" t="s">
        <v>36</v>
      </c>
      <c r="C642" t="s">
        <v>37</v>
      </c>
      <c r="D642" s="6" t="s">
        <v>38</v>
      </c>
      <c r="E642" t="s">
        <v>2050</v>
      </c>
      <c r="F642" t="s">
        <v>40</v>
      </c>
      <c r="G642" t="s">
        <v>41</v>
      </c>
      <c r="H642" t="s">
        <v>2051</v>
      </c>
      <c r="I642" t="s">
        <v>43</v>
      </c>
      <c r="J642">
        <v>2</v>
      </c>
      <c r="K642" t="s">
        <v>44</v>
      </c>
      <c r="L642" t="s">
        <v>45</v>
      </c>
      <c r="M642" t="s">
        <v>46</v>
      </c>
      <c r="N642" s="7">
        <v>1</v>
      </c>
      <c r="O642" s="8">
        <v>45648.809687499997</v>
      </c>
      <c r="P642" s="9">
        <v>45652</v>
      </c>
      <c r="Q642" t="s">
        <v>74</v>
      </c>
      <c r="R642" t="s">
        <v>48</v>
      </c>
      <c r="S642" t="s">
        <v>49</v>
      </c>
      <c r="T642" t="s">
        <v>80</v>
      </c>
      <c r="U642" t="s">
        <v>2052</v>
      </c>
      <c r="V642">
        <v>5300</v>
      </c>
      <c r="W642" t="s">
        <v>48</v>
      </c>
      <c r="X642" t="s">
        <v>137</v>
      </c>
      <c r="Y642" t="s">
        <v>54</v>
      </c>
      <c r="Z642" s="12">
        <f>IF(N642&lt;=1,9,9+0.8*ROUNDUP(N642-1,0))</f>
        <v>9</v>
      </c>
      <c r="AA642" s="11">
        <v>-2</v>
      </c>
      <c r="AB642" s="11">
        <v>0</v>
      </c>
      <c r="AC642" s="11">
        <v>0</v>
      </c>
      <c r="AD642" s="11">
        <v>0</v>
      </c>
      <c r="AE642" s="11">
        <v>0</v>
      </c>
      <c r="AF642" s="11">
        <f t="shared" ref="AF642:AF705" si="30">(Z642+AA642+AC642+AE642)*6%</f>
        <v>0.42</v>
      </c>
      <c r="AG642" s="11">
        <f t="shared" ref="AG642:AG705" si="31">Z642+AA642+AC642+AE642+AF642</f>
        <v>7.42</v>
      </c>
      <c r="AH642" s="11">
        <v>0</v>
      </c>
      <c r="AI642" s="11">
        <f t="shared" ref="AI642:AI705" si="32">AG642+AH642</f>
        <v>7.42</v>
      </c>
      <c r="AJ642" t="s">
        <v>62</v>
      </c>
    </row>
    <row r="643" spans="1:36" ht="15" customHeight="1" x14ac:dyDescent="0.35">
      <c r="A643">
        <v>10428918</v>
      </c>
      <c r="B643" t="s">
        <v>36</v>
      </c>
      <c r="C643" t="s">
        <v>37</v>
      </c>
      <c r="D643" s="6" t="s">
        <v>38</v>
      </c>
      <c r="E643" t="s">
        <v>2053</v>
      </c>
      <c r="F643" t="s">
        <v>40</v>
      </c>
      <c r="G643" t="s">
        <v>41</v>
      </c>
      <c r="H643" t="s">
        <v>2054</v>
      </c>
      <c r="I643" t="s">
        <v>43</v>
      </c>
      <c r="J643">
        <v>2</v>
      </c>
      <c r="K643" t="s">
        <v>44</v>
      </c>
      <c r="L643" t="s">
        <v>45</v>
      </c>
      <c r="M643" t="s">
        <v>46</v>
      </c>
      <c r="N643" s="7">
        <v>8</v>
      </c>
      <c r="O643" s="8">
        <v>45647.614085648151</v>
      </c>
      <c r="P643" s="9">
        <v>45652</v>
      </c>
      <c r="Q643" t="s">
        <v>74</v>
      </c>
      <c r="R643" t="s">
        <v>48</v>
      </c>
      <c r="S643" t="s">
        <v>49</v>
      </c>
      <c r="T643" t="s">
        <v>50</v>
      </c>
      <c r="U643" t="s">
        <v>2055</v>
      </c>
      <c r="V643">
        <v>91111</v>
      </c>
      <c r="W643" t="s">
        <v>52</v>
      </c>
      <c r="X643" t="s">
        <v>2056</v>
      </c>
      <c r="Y643" t="s">
        <v>54</v>
      </c>
      <c r="Z643" s="10">
        <f>IF(N643&lt;=1,13,IF(N643&lt;=2,23,IF(N643&lt;=3,35,IF(N643&lt;=4,43,IF(N643&lt;=5,53,IF(N643&lt;=6,63,IF(N643&lt;=7,71,IF(N643&lt;=8,79,IF(N643&lt;=9,87,IF(N643&lt;=10,95,IF(N643&lt;=11,105,IF(N643&lt;=12,114,IF(N643&lt;=13,119,IF(N643&lt;=14,127,IF(N643&lt;=15,135,IF(N643&lt;=16,143,IF(N643&lt;=17,153,IF(N643&lt;=18,163,IF(N643&lt;=19,171,IF(N643&lt;=20,185,IF(N643&lt;=21,193,IF(N643&lt;=22,201,IF(N643&lt;=23,210,IF(N643&lt;=24,220,IF(N643&lt;=25,230,IF(N643&lt;=26,240,IF(N643&lt;=27,250,IF(N643&lt;=28,260,IF(N643&lt;=29,270,IF(N643&lt;=30,280,280+10*ROUNDUP(N643-30,0)))))))))))))))))))))))))))))))</f>
        <v>79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f t="shared" si="30"/>
        <v>4.74</v>
      </c>
      <c r="AG643" s="11">
        <f t="shared" si="31"/>
        <v>83.74</v>
      </c>
      <c r="AH643" s="11">
        <v>0</v>
      </c>
      <c r="AI643" s="11">
        <f t="shared" si="32"/>
        <v>83.74</v>
      </c>
      <c r="AJ643" t="s">
        <v>55</v>
      </c>
    </row>
    <row r="644" spans="1:36" ht="15" customHeight="1" x14ac:dyDescent="0.35">
      <c r="A644">
        <v>10428918</v>
      </c>
      <c r="B644" t="s">
        <v>36</v>
      </c>
      <c r="C644" t="s">
        <v>37</v>
      </c>
      <c r="D644" s="6" t="s">
        <v>38</v>
      </c>
      <c r="E644" t="s">
        <v>2057</v>
      </c>
      <c r="F644" t="s">
        <v>40</v>
      </c>
      <c r="G644" t="s">
        <v>41</v>
      </c>
      <c r="H644" t="s">
        <v>2058</v>
      </c>
      <c r="I644" t="s">
        <v>43</v>
      </c>
      <c r="J644">
        <v>2</v>
      </c>
      <c r="K644" t="s">
        <v>44</v>
      </c>
      <c r="L644" t="s">
        <v>45</v>
      </c>
      <c r="M644" t="s">
        <v>46</v>
      </c>
      <c r="N644" s="7">
        <v>1</v>
      </c>
      <c r="O644" s="8">
        <v>45649.765405092592</v>
      </c>
      <c r="P644" s="9">
        <v>45652</v>
      </c>
      <c r="Q644" t="s">
        <v>74</v>
      </c>
      <c r="R644" t="s">
        <v>48</v>
      </c>
      <c r="S644" t="s">
        <v>49</v>
      </c>
      <c r="T644" t="s">
        <v>170</v>
      </c>
      <c r="U644" t="s">
        <v>2059</v>
      </c>
      <c r="V644">
        <v>59200</v>
      </c>
      <c r="W644" t="s">
        <v>48</v>
      </c>
      <c r="X644" t="s">
        <v>53</v>
      </c>
      <c r="Y644" t="s">
        <v>54</v>
      </c>
      <c r="Z644" s="12">
        <f>IF(N644&lt;=1,9,9+0.8*ROUNDUP(N644-1,0))</f>
        <v>9</v>
      </c>
      <c r="AA644" s="11">
        <v>-2</v>
      </c>
      <c r="AB644" s="11">
        <v>0</v>
      </c>
      <c r="AC644" s="11">
        <v>0</v>
      </c>
      <c r="AD644" s="11">
        <v>0</v>
      </c>
      <c r="AE644" s="11">
        <v>0</v>
      </c>
      <c r="AF644" s="11">
        <f t="shared" si="30"/>
        <v>0.42</v>
      </c>
      <c r="AG644" s="11">
        <f t="shared" si="31"/>
        <v>7.42</v>
      </c>
      <c r="AH644" s="11">
        <v>0</v>
      </c>
      <c r="AI644" s="11">
        <f t="shared" si="32"/>
        <v>7.42</v>
      </c>
      <c r="AJ644" t="s">
        <v>62</v>
      </c>
    </row>
    <row r="645" spans="1:36" ht="15" customHeight="1" x14ac:dyDescent="0.35">
      <c r="A645">
        <v>10428918</v>
      </c>
      <c r="B645" t="s">
        <v>36</v>
      </c>
      <c r="C645" t="s">
        <v>37</v>
      </c>
      <c r="D645" s="6" t="s">
        <v>38</v>
      </c>
      <c r="E645" t="s">
        <v>2060</v>
      </c>
      <c r="F645" t="s">
        <v>40</v>
      </c>
      <c r="G645" t="s">
        <v>41</v>
      </c>
      <c r="H645" t="s">
        <v>2061</v>
      </c>
      <c r="I645" t="s">
        <v>43</v>
      </c>
      <c r="J645">
        <v>2</v>
      </c>
      <c r="K645" t="s">
        <v>44</v>
      </c>
      <c r="L645" t="s">
        <v>45</v>
      </c>
      <c r="M645" t="s">
        <v>46</v>
      </c>
      <c r="N645" s="7">
        <v>2</v>
      </c>
      <c r="O645" s="8">
        <v>45649.792974537035</v>
      </c>
      <c r="P645" s="9">
        <v>45652</v>
      </c>
      <c r="Q645" t="s">
        <v>74</v>
      </c>
      <c r="R645" t="s">
        <v>48</v>
      </c>
      <c r="S645" t="s">
        <v>49</v>
      </c>
      <c r="T645" t="s">
        <v>170</v>
      </c>
      <c r="U645" t="s">
        <v>2062</v>
      </c>
      <c r="V645">
        <v>55000</v>
      </c>
      <c r="W645" t="s">
        <v>48</v>
      </c>
      <c r="X645" t="s">
        <v>1329</v>
      </c>
      <c r="Y645" t="s">
        <v>54</v>
      </c>
      <c r="Z645" s="12">
        <f>IF(N645&lt;=1,9,9+0.8*ROUNDUP(N645-1,0))</f>
        <v>9.8000000000000007</v>
      </c>
      <c r="AA645" s="11">
        <v>-2</v>
      </c>
      <c r="AB645" s="11">
        <v>0</v>
      </c>
      <c r="AC645" s="11">
        <v>0</v>
      </c>
      <c r="AD645" s="11">
        <v>0</v>
      </c>
      <c r="AE645" s="11">
        <v>0</v>
      </c>
      <c r="AF645" s="11">
        <f t="shared" si="30"/>
        <v>0.46800000000000003</v>
      </c>
      <c r="AG645" s="11">
        <f t="shared" si="31"/>
        <v>8.2680000000000007</v>
      </c>
      <c r="AH645" s="11">
        <v>0</v>
      </c>
      <c r="AI645" s="11">
        <f t="shared" si="32"/>
        <v>8.2680000000000007</v>
      </c>
      <c r="AJ645" t="s">
        <v>62</v>
      </c>
    </row>
    <row r="646" spans="1:36" ht="15" customHeight="1" x14ac:dyDescent="0.35">
      <c r="A646">
        <v>10428918</v>
      </c>
      <c r="B646" t="s">
        <v>36</v>
      </c>
      <c r="C646" t="s">
        <v>37</v>
      </c>
      <c r="D646" s="6" t="s">
        <v>38</v>
      </c>
      <c r="E646" t="s">
        <v>2063</v>
      </c>
      <c r="F646" t="s">
        <v>40</v>
      </c>
      <c r="G646" t="s">
        <v>41</v>
      </c>
      <c r="H646" t="s">
        <v>2064</v>
      </c>
      <c r="I646" t="s">
        <v>43</v>
      </c>
      <c r="J646">
        <v>2</v>
      </c>
      <c r="K646" t="s">
        <v>44</v>
      </c>
      <c r="L646" t="s">
        <v>45</v>
      </c>
      <c r="M646" t="s">
        <v>46</v>
      </c>
      <c r="N646" s="7">
        <v>1</v>
      </c>
      <c r="O646" s="8">
        <v>45650.620393518519</v>
      </c>
      <c r="P646" s="9">
        <v>45652</v>
      </c>
      <c r="Q646" t="s">
        <v>74</v>
      </c>
      <c r="R646" t="s">
        <v>48</v>
      </c>
      <c r="S646" t="s">
        <v>49</v>
      </c>
      <c r="T646" t="s">
        <v>85</v>
      </c>
      <c r="U646" t="s">
        <v>2065</v>
      </c>
      <c r="V646">
        <v>71800</v>
      </c>
      <c r="W646" t="s">
        <v>48</v>
      </c>
      <c r="X646" t="s">
        <v>266</v>
      </c>
      <c r="Y646" t="s">
        <v>54</v>
      </c>
      <c r="Z646" s="12">
        <f>IF(N646&lt;=1,9,9+0.8*ROUNDUP(N646-1,0))</f>
        <v>9</v>
      </c>
      <c r="AA646" s="11">
        <v>-2</v>
      </c>
      <c r="AB646" s="11">
        <v>0</v>
      </c>
      <c r="AC646" s="11">
        <v>0</v>
      </c>
      <c r="AD646" s="11">
        <v>0</v>
      </c>
      <c r="AE646" s="11">
        <v>0</v>
      </c>
      <c r="AF646" s="11">
        <f t="shared" si="30"/>
        <v>0.42</v>
      </c>
      <c r="AG646" s="11">
        <f t="shared" si="31"/>
        <v>7.42</v>
      </c>
      <c r="AH646" s="11">
        <v>0</v>
      </c>
      <c r="AI646" s="11">
        <f t="shared" si="32"/>
        <v>7.42</v>
      </c>
      <c r="AJ646" t="s">
        <v>62</v>
      </c>
    </row>
    <row r="647" spans="1:36" ht="15" customHeight="1" x14ac:dyDescent="0.35">
      <c r="A647">
        <v>10428918</v>
      </c>
      <c r="B647" t="s">
        <v>36</v>
      </c>
      <c r="C647" t="s">
        <v>37</v>
      </c>
      <c r="D647" s="6" t="s">
        <v>38</v>
      </c>
      <c r="E647" t="s">
        <v>2066</v>
      </c>
      <c r="F647" t="s">
        <v>40</v>
      </c>
      <c r="G647" t="s">
        <v>41</v>
      </c>
      <c r="H647" t="s">
        <v>2067</v>
      </c>
      <c r="I647" t="s">
        <v>43</v>
      </c>
      <c r="J647">
        <v>2</v>
      </c>
      <c r="K647" t="s">
        <v>44</v>
      </c>
      <c r="L647" t="s">
        <v>45</v>
      </c>
      <c r="M647" t="s">
        <v>46</v>
      </c>
      <c r="N647" s="7">
        <v>1</v>
      </c>
      <c r="O647" s="8">
        <v>45649.792974537035</v>
      </c>
      <c r="P647" s="9">
        <v>45652</v>
      </c>
      <c r="Q647" t="s">
        <v>74</v>
      </c>
      <c r="R647" t="s">
        <v>48</v>
      </c>
      <c r="S647" t="s">
        <v>49</v>
      </c>
      <c r="T647" t="s">
        <v>85</v>
      </c>
      <c r="U647" t="s">
        <v>2068</v>
      </c>
      <c r="V647">
        <v>70400</v>
      </c>
      <c r="W647" t="s">
        <v>48</v>
      </c>
      <c r="X647" t="s">
        <v>53</v>
      </c>
      <c r="Y647" t="s">
        <v>54</v>
      </c>
      <c r="Z647" s="12">
        <f>IF(N647&lt;=1,9,9+0.8*ROUNDUP(N647-1,0))</f>
        <v>9</v>
      </c>
      <c r="AA647" s="11">
        <v>-2</v>
      </c>
      <c r="AB647" s="11">
        <v>0</v>
      </c>
      <c r="AC647" s="11">
        <v>0</v>
      </c>
      <c r="AD647" s="11">
        <v>0</v>
      </c>
      <c r="AE647" s="11">
        <v>0</v>
      </c>
      <c r="AF647" s="11">
        <f t="shared" si="30"/>
        <v>0.42</v>
      </c>
      <c r="AG647" s="11">
        <f t="shared" si="31"/>
        <v>7.42</v>
      </c>
      <c r="AH647" s="11">
        <v>0</v>
      </c>
      <c r="AI647" s="11">
        <f t="shared" si="32"/>
        <v>7.42</v>
      </c>
      <c r="AJ647" t="s">
        <v>62</v>
      </c>
    </row>
    <row r="648" spans="1:36" ht="15" customHeight="1" x14ac:dyDescent="0.35">
      <c r="A648">
        <v>10428918</v>
      </c>
      <c r="B648" t="s">
        <v>36</v>
      </c>
      <c r="C648" t="s">
        <v>37</v>
      </c>
      <c r="D648" s="6" t="s">
        <v>38</v>
      </c>
      <c r="E648" t="s">
        <v>2069</v>
      </c>
      <c r="F648" t="s">
        <v>40</v>
      </c>
      <c r="G648" t="s">
        <v>41</v>
      </c>
      <c r="H648" t="s">
        <v>2070</v>
      </c>
      <c r="I648" t="s">
        <v>43</v>
      </c>
      <c r="J648">
        <v>2</v>
      </c>
      <c r="K648" t="s">
        <v>44</v>
      </c>
      <c r="L648" t="s">
        <v>45</v>
      </c>
      <c r="M648" t="s">
        <v>46</v>
      </c>
      <c r="N648" s="7">
        <v>2</v>
      </c>
      <c r="O648" s="8">
        <v>45647.418657407405</v>
      </c>
      <c r="P648" s="9">
        <v>45652</v>
      </c>
      <c r="Q648" t="s">
        <v>74</v>
      </c>
      <c r="R648" t="s">
        <v>48</v>
      </c>
      <c r="S648" t="s">
        <v>49</v>
      </c>
      <c r="T648" t="s">
        <v>50</v>
      </c>
      <c r="U648" t="s">
        <v>2071</v>
      </c>
      <c r="V648">
        <v>91308</v>
      </c>
      <c r="W648" t="s">
        <v>52</v>
      </c>
      <c r="X648" t="s">
        <v>53</v>
      </c>
      <c r="Y648" t="s">
        <v>54</v>
      </c>
      <c r="Z648" s="10">
        <f>IF(N648&lt;=1,13,IF(N648&lt;=2,23,IF(N648&lt;=3,35,IF(N648&lt;=4,43,IF(N648&lt;=5,53,IF(N648&lt;=6,63,IF(N648&lt;=7,71,IF(N648&lt;=8,79,IF(N648&lt;=9,87,IF(N648&lt;=10,95,IF(N648&lt;=11,105,IF(N648&lt;=12,114,IF(N648&lt;=13,119,IF(N648&lt;=14,127,IF(N648&lt;=15,135,IF(N648&lt;=16,143,IF(N648&lt;=17,153,IF(N648&lt;=18,163,IF(N648&lt;=19,171,IF(N648&lt;=20,185,IF(N648&lt;=21,193,IF(N648&lt;=22,201,IF(N648&lt;=23,210,IF(N648&lt;=24,220,IF(N648&lt;=25,230,IF(N648&lt;=26,240,IF(N648&lt;=27,250,IF(N648&lt;=28,260,IF(N648&lt;=29,270,IF(N648&lt;=30,280,280+10*ROUNDUP(N648-30,0)))))))))))))))))))))))))))))))</f>
        <v>23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f t="shared" si="30"/>
        <v>1.38</v>
      </c>
      <c r="AG648" s="11">
        <f t="shared" si="31"/>
        <v>24.38</v>
      </c>
      <c r="AH648" s="11">
        <v>0</v>
      </c>
      <c r="AI648" s="11">
        <f t="shared" si="32"/>
        <v>24.38</v>
      </c>
      <c r="AJ648" t="s">
        <v>55</v>
      </c>
    </row>
    <row r="649" spans="1:36" ht="15" customHeight="1" x14ac:dyDescent="0.35">
      <c r="A649">
        <v>10428918</v>
      </c>
      <c r="B649" t="s">
        <v>36</v>
      </c>
      <c r="C649" t="s">
        <v>37</v>
      </c>
      <c r="D649" s="6" t="s">
        <v>38</v>
      </c>
      <c r="E649" t="s">
        <v>2072</v>
      </c>
      <c r="F649" t="s">
        <v>40</v>
      </c>
      <c r="G649" t="s">
        <v>41</v>
      </c>
      <c r="H649" t="s">
        <v>2073</v>
      </c>
      <c r="I649" t="s">
        <v>43</v>
      </c>
      <c r="J649">
        <v>2</v>
      </c>
      <c r="K649" t="s">
        <v>44</v>
      </c>
      <c r="L649" t="s">
        <v>45</v>
      </c>
      <c r="M649" t="s">
        <v>46</v>
      </c>
      <c r="N649" s="7">
        <v>1</v>
      </c>
      <c r="O649" s="8">
        <v>45649.765405092592</v>
      </c>
      <c r="P649" s="9">
        <v>45652</v>
      </c>
      <c r="Q649" t="s">
        <v>74</v>
      </c>
      <c r="R649" t="s">
        <v>48</v>
      </c>
      <c r="S649" t="s">
        <v>49</v>
      </c>
      <c r="T649" t="s">
        <v>65</v>
      </c>
      <c r="U649" t="s">
        <v>2074</v>
      </c>
      <c r="V649">
        <v>78000</v>
      </c>
      <c r="W649" t="s">
        <v>48</v>
      </c>
      <c r="X649" t="s">
        <v>448</v>
      </c>
      <c r="Y649" t="s">
        <v>54</v>
      </c>
      <c r="Z649" s="12">
        <f>IF(N649&lt;=1,9,9+0.8*ROUNDUP(N649-1,0))</f>
        <v>9</v>
      </c>
      <c r="AA649" s="11">
        <v>-2</v>
      </c>
      <c r="AB649" s="11">
        <v>0</v>
      </c>
      <c r="AC649" s="11">
        <v>0</v>
      </c>
      <c r="AD649" s="11">
        <v>0</v>
      </c>
      <c r="AE649" s="11">
        <v>0</v>
      </c>
      <c r="AF649" s="11">
        <f t="shared" si="30"/>
        <v>0.42</v>
      </c>
      <c r="AG649" s="11">
        <f t="shared" si="31"/>
        <v>7.42</v>
      </c>
      <c r="AH649" s="11">
        <v>0</v>
      </c>
      <c r="AI649" s="11">
        <f t="shared" si="32"/>
        <v>7.42</v>
      </c>
      <c r="AJ649" t="s">
        <v>62</v>
      </c>
    </row>
    <row r="650" spans="1:36" ht="15" customHeight="1" x14ac:dyDescent="0.35">
      <c r="A650">
        <v>10428918</v>
      </c>
      <c r="B650" t="s">
        <v>36</v>
      </c>
      <c r="C650" t="s">
        <v>37</v>
      </c>
      <c r="D650" s="6" t="s">
        <v>38</v>
      </c>
      <c r="E650" t="s">
        <v>2075</v>
      </c>
      <c r="F650" t="s">
        <v>40</v>
      </c>
      <c r="G650" t="s">
        <v>41</v>
      </c>
      <c r="H650" t="s">
        <v>2076</v>
      </c>
      <c r="I650" t="s">
        <v>43</v>
      </c>
      <c r="J650">
        <v>2</v>
      </c>
      <c r="K650" t="s">
        <v>44</v>
      </c>
      <c r="L650" t="s">
        <v>45</v>
      </c>
      <c r="M650" t="s">
        <v>46</v>
      </c>
      <c r="N650" s="7">
        <v>1</v>
      </c>
      <c r="O650" s="8">
        <v>45650.767407407409</v>
      </c>
      <c r="P650" s="9">
        <v>45652</v>
      </c>
      <c r="Q650" t="s">
        <v>74</v>
      </c>
      <c r="R650" t="s">
        <v>48</v>
      </c>
      <c r="S650" t="s">
        <v>49</v>
      </c>
      <c r="T650" t="s">
        <v>75</v>
      </c>
      <c r="U650" t="s">
        <v>2077</v>
      </c>
      <c r="V650">
        <v>28500</v>
      </c>
      <c r="W650" t="s">
        <v>48</v>
      </c>
      <c r="X650" t="s">
        <v>77</v>
      </c>
      <c r="Y650" t="s">
        <v>54</v>
      </c>
      <c r="Z650" s="12">
        <f>IF(N650&lt;=1,9,9+0.8*ROUNDUP(N650-1,0))</f>
        <v>9</v>
      </c>
      <c r="AA650" s="11">
        <v>-2</v>
      </c>
      <c r="AB650" s="11">
        <v>0</v>
      </c>
      <c r="AC650" s="11">
        <v>0</v>
      </c>
      <c r="AD650" s="11">
        <v>0</v>
      </c>
      <c r="AE650" s="11">
        <v>0</v>
      </c>
      <c r="AF650" s="11">
        <f t="shared" si="30"/>
        <v>0.42</v>
      </c>
      <c r="AG650" s="11">
        <f t="shared" si="31"/>
        <v>7.42</v>
      </c>
      <c r="AH650" s="11">
        <v>0</v>
      </c>
      <c r="AI650" s="11">
        <f t="shared" si="32"/>
        <v>7.42</v>
      </c>
      <c r="AJ650" t="s">
        <v>62</v>
      </c>
    </row>
    <row r="651" spans="1:36" ht="15" customHeight="1" x14ac:dyDescent="0.35">
      <c r="A651">
        <v>10428918</v>
      </c>
      <c r="B651" t="s">
        <v>36</v>
      </c>
      <c r="C651" t="s">
        <v>37</v>
      </c>
      <c r="D651" s="6" t="s">
        <v>38</v>
      </c>
      <c r="E651" t="s">
        <v>2078</v>
      </c>
      <c r="F651" t="s">
        <v>40</v>
      </c>
      <c r="G651" t="s">
        <v>41</v>
      </c>
      <c r="H651" t="s">
        <v>2079</v>
      </c>
      <c r="I651" t="s">
        <v>43</v>
      </c>
      <c r="J651">
        <v>2</v>
      </c>
      <c r="K651" t="s">
        <v>44</v>
      </c>
      <c r="L651" t="s">
        <v>45</v>
      </c>
      <c r="M651" t="s">
        <v>46</v>
      </c>
      <c r="N651" s="7">
        <v>2</v>
      </c>
      <c r="O651" s="8">
        <v>45647.822835648149</v>
      </c>
      <c r="P651" s="9">
        <v>45652</v>
      </c>
      <c r="Q651" t="s">
        <v>74</v>
      </c>
      <c r="R651" t="s">
        <v>48</v>
      </c>
      <c r="S651" t="s">
        <v>49</v>
      </c>
      <c r="T651" t="s">
        <v>69</v>
      </c>
      <c r="U651" t="s">
        <v>2080</v>
      </c>
      <c r="V651">
        <v>81400</v>
      </c>
      <c r="W651" t="s">
        <v>48</v>
      </c>
      <c r="X651" t="s">
        <v>53</v>
      </c>
      <c r="Y651" t="s">
        <v>54</v>
      </c>
      <c r="Z651" s="12">
        <f>IF(N651&lt;=1,9,9+0.8*ROUNDUP(N651-1,0))</f>
        <v>9.8000000000000007</v>
      </c>
      <c r="AA651" s="11">
        <v>-2</v>
      </c>
      <c r="AB651" s="11">
        <v>0</v>
      </c>
      <c r="AC651" s="11">
        <v>0</v>
      </c>
      <c r="AD651" s="11">
        <v>0</v>
      </c>
      <c r="AE651" s="11">
        <v>0</v>
      </c>
      <c r="AF651" s="11">
        <f t="shared" si="30"/>
        <v>0.46800000000000003</v>
      </c>
      <c r="AG651" s="11">
        <f t="shared" si="31"/>
        <v>8.2680000000000007</v>
      </c>
      <c r="AH651" s="11">
        <v>0</v>
      </c>
      <c r="AI651" s="11">
        <f t="shared" si="32"/>
        <v>8.2680000000000007</v>
      </c>
      <c r="AJ651" t="s">
        <v>62</v>
      </c>
    </row>
    <row r="652" spans="1:36" ht="15" customHeight="1" x14ac:dyDescent="0.35">
      <c r="A652">
        <v>10428918</v>
      </c>
      <c r="B652" t="s">
        <v>36</v>
      </c>
      <c r="C652" t="s">
        <v>37</v>
      </c>
      <c r="D652" s="6" t="s">
        <v>38</v>
      </c>
      <c r="E652" t="s">
        <v>2081</v>
      </c>
      <c r="F652" t="s">
        <v>40</v>
      </c>
      <c r="G652" t="s">
        <v>41</v>
      </c>
      <c r="H652" t="s">
        <v>2082</v>
      </c>
      <c r="I652" t="s">
        <v>43</v>
      </c>
      <c r="J652">
        <v>2</v>
      </c>
      <c r="K652" t="s">
        <v>44</v>
      </c>
      <c r="L652" t="s">
        <v>45</v>
      </c>
      <c r="M652" t="s">
        <v>46</v>
      </c>
      <c r="N652" s="7">
        <v>2</v>
      </c>
      <c r="O652" s="8">
        <v>45651.601666666669</v>
      </c>
      <c r="P652" s="9">
        <v>45652</v>
      </c>
      <c r="Q652" t="s">
        <v>74</v>
      </c>
      <c r="R652" t="s">
        <v>48</v>
      </c>
      <c r="S652" t="s">
        <v>49</v>
      </c>
      <c r="T652" t="s">
        <v>117</v>
      </c>
      <c r="U652" t="s">
        <v>2083</v>
      </c>
      <c r="V652">
        <v>47830</v>
      </c>
      <c r="W652" t="s">
        <v>48</v>
      </c>
      <c r="X652" t="s">
        <v>53</v>
      </c>
      <c r="Y652" t="s">
        <v>54</v>
      </c>
      <c r="Z652" s="12">
        <f>IF(N652&lt;=1,9,9+0.8*ROUNDUP(N652-1,0))</f>
        <v>9.8000000000000007</v>
      </c>
      <c r="AA652" s="11">
        <v>-2</v>
      </c>
      <c r="AB652" s="11">
        <v>0</v>
      </c>
      <c r="AC652" s="11">
        <v>0</v>
      </c>
      <c r="AD652" s="11">
        <v>0</v>
      </c>
      <c r="AE652" s="11">
        <v>0</v>
      </c>
      <c r="AF652" s="11">
        <f t="shared" si="30"/>
        <v>0.46800000000000003</v>
      </c>
      <c r="AG652" s="11">
        <f t="shared" si="31"/>
        <v>8.2680000000000007</v>
      </c>
      <c r="AH652" s="11">
        <v>0</v>
      </c>
      <c r="AI652" s="11">
        <f t="shared" si="32"/>
        <v>8.2680000000000007</v>
      </c>
      <c r="AJ652" t="s">
        <v>62</v>
      </c>
    </row>
    <row r="653" spans="1:36" ht="15" customHeight="1" x14ac:dyDescent="0.35">
      <c r="A653">
        <v>10428918</v>
      </c>
      <c r="B653" t="s">
        <v>36</v>
      </c>
      <c r="C653" t="s">
        <v>37</v>
      </c>
      <c r="D653" s="6" t="s">
        <v>38</v>
      </c>
      <c r="E653" t="s">
        <v>2084</v>
      </c>
      <c r="F653" t="s">
        <v>40</v>
      </c>
      <c r="G653" t="s">
        <v>41</v>
      </c>
      <c r="H653" t="s">
        <v>2085</v>
      </c>
      <c r="I653" t="s">
        <v>43</v>
      </c>
      <c r="J653">
        <v>2</v>
      </c>
      <c r="K653" t="s">
        <v>44</v>
      </c>
      <c r="L653" t="s">
        <v>45</v>
      </c>
      <c r="M653" t="s">
        <v>46</v>
      </c>
      <c r="N653" s="7">
        <v>1</v>
      </c>
      <c r="O653" s="8">
        <v>45650.759814814817</v>
      </c>
      <c r="P653" s="9">
        <v>45652</v>
      </c>
      <c r="Q653" t="s">
        <v>74</v>
      </c>
      <c r="R653" t="s">
        <v>48</v>
      </c>
      <c r="S653" t="s">
        <v>49</v>
      </c>
      <c r="T653" t="s">
        <v>59</v>
      </c>
      <c r="U653" t="s">
        <v>2086</v>
      </c>
      <c r="V653">
        <v>17000</v>
      </c>
      <c r="W653" t="s">
        <v>48</v>
      </c>
      <c r="X653" t="s">
        <v>77</v>
      </c>
      <c r="Y653" t="s">
        <v>54</v>
      </c>
      <c r="Z653" s="12">
        <f>IF(N653&lt;=1,9,9+0.8*ROUNDUP(N653-1,0))</f>
        <v>9</v>
      </c>
      <c r="AA653" s="11">
        <v>-2</v>
      </c>
      <c r="AB653" s="11">
        <v>0</v>
      </c>
      <c r="AC653" s="11">
        <v>0</v>
      </c>
      <c r="AD653" s="11">
        <v>0</v>
      </c>
      <c r="AE653" s="11">
        <v>0</v>
      </c>
      <c r="AF653" s="11">
        <f t="shared" si="30"/>
        <v>0.42</v>
      </c>
      <c r="AG653" s="11">
        <f t="shared" si="31"/>
        <v>7.42</v>
      </c>
      <c r="AH653" s="11">
        <v>0</v>
      </c>
      <c r="AI653" s="11">
        <f t="shared" si="32"/>
        <v>7.42</v>
      </c>
      <c r="AJ653" t="s">
        <v>62</v>
      </c>
    </row>
    <row r="654" spans="1:36" ht="15" customHeight="1" x14ac:dyDescent="0.35">
      <c r="A654">
        <v>10428918</v>
      </c>
      <c r="B654" t="s">
        <v>36</v>
      </c>
      <c r="C654" t="s">
        <v>37</v>
      </c>
      <c r="D654" s="6" t="s">
        <v>38</v>
      </c>
      <c r="E654" t="s">
        <v>2087</v>
      </c>
      <c r="F654" t="s">
        <v>40</v>
      </c>
      <c r="G654" t="s">
        <v>41</v>
      </c>
      <c r="H654" t="s">
        <v>2088</v>
      </c>
      <c r="I654" t="s">
        <v>43</v>
      </c>
      <c r="J654">
        <v>2</v>
      </c>
      <c r="K654" t="s">
        <v>44</v>
      </c>
      <c r="L654" t="s">
        <v>45</v>
      </c>
      <c r="M654" t="s">
        <v>46</v>
      </c>
      <c r="N654" s="7">
        <v>1</v>
      </c>
      <c r="O654" s="8">
        <v>45649.792974537035</v>
      </c>
      <c r="P654" s="9">
        <v>45652</v>
      </c>
      <c r="Q654" t="s">
        <v>74</v>
      </c>
      <c r="R654" t="s">
        <v>48</v>
      </c>
      <c r="S654" t="s">
        <v>49</v>
      </c>
      <c r="T654" t="s">
        <v>170</v>
      </c>
      <c r="U654" t="s">
        <v>2089</v>
      </c>
      <c r="V654">
        <v>50480</v>
      </c>
      <c r="W654" t="s">
        <v>48</v>
      </c>
      <c r="X654" t="s">
        <v>1794</v>
      </c>
      <c r="Y654" t="s">
        <v>54</v>
      </c>
      <c r="Z654" s="12">
        <f>IF(N654&lt;=1,9,9+0.8*ROUNDUP(N654-1,0))</f>
        <v>9</v>
      </c>
      <c r="AA654" s="11">
        <v>-2</v>
      </c>
      <c r="AB654" s="11">
        <v>0</v>
      </c>
      <c r="AC654" s="11">
        <v>0</v>
      </c>
      <c r="AD654" s="11">
        <v>0</v>
      </c>
      <c r="AE654" s="11">
        <v>0</v>
      </c>
      <c r="AF654" s="11">
        <f t="shared" si="30"/>
        <v>0.42</v>
      </c>
      <c r="AG654" s="11">
        <f t="shared" si="31"/>
        <v>7.42</v>
      </c>
      <c r="AH654" s="11">
        <v>0</v>
      </c>
      <c r="AI654" s="11">
        <f t="shared" si="32"/>
        <v>7.42</v>
      </c>
      <c r="AJ654" t="s">
        <v>62</v>
      </c>
    </row>
    <row r="655" spans="1:36" ht="15" customHeight="1" x14ac:dyDescent="0.35">
      <c r="A655">
        <v>10428918</v>
      </c>
      <c r="B655" t="s">
        <v>36</v>
      </c>
      <c r="C655" t="s">
        <v>37</v>
      </c>
      <c r="D655" s="6" t="s">
        <v>38</v>
      </c>
      <c r="E655" t="s">
        <v>2090</v>
      </c>
      <c r="F655" t="s">
        <v>40</v>
      </c>
      <c r="G655" t="s">
        <v>41</v>
      </c>
      <c r="H655" t="s">
        <v>2091</v>
      </c>
      <c r="I655" t="s">
        <v>43</v>
      </c>
      <c r="J655">
        <v>2</v>
      </c>
      <c r="K655" t="s">
        <v>44</v>
      </c>
      <c r="L655" t="s">
        <v>45</v>
      </c>
      <c r="M655" t="s">
        <v>46</v>
      </c>
      <c r="N655" s="7">
        <v>2</v>
      </c>
      <c r="O655" s="8">
        <v>45648.809675925928</v>
      </c>
      <c r="P655" s="9">
        <v>45652</v>
      </c>
      <c r="Q655" t="s">
        <v>74</v>
      </c>
      <c r="R655" t="s">
        <v>48</v>
      </c>
      <c r="S655" t="s">
        <v>49</v>
      </c>
      <c r="T655" t="s">
        <v>101</v>
      </c>
      <c r="U655" t="s">
        <v>2092</v>
      </c>
      <c r="V655">
        <v>32800</v>
      </c>
      <c r="W655" t="s">
        <v>48</v>
      </c>
      <c r="X655" t="s">
        <v>53</v>
      </c>
      <c r="Y655" t="s">
        <v>54</v>
      </c>
      <c r="Z655" s="12">
        <f>IF(N655&lt;=1,9,9+0.8*ROUNDUP(N655-1,0))</f>
        <v>9.8000000000000007</v>
      </c>
      <c r="AA655" s="11">
        <v>-2</v>
      </c>
      <c r="AB655" s="11">
        <v>0</v>
      </c>
      <c r="AC655" s="11">
        <v>0</v>
      </c>
      <c r="AD655" s="11">
        <v>0</v>
      </c>
      <c r="AE655" s="11">
        <v>0</v>
      </c>
      <c r="AF655" s="11">
        <f t="shared" si="30"/>
        <v>0.46800000000000003</v>
      </c>
      <c r="AG655" s="11">
        <f t="shared" si="31"/>
        <v>8.2680000000000007</v>
      </c>
      <c r="AH655" s="11">
        <v>0</v>
      </c>
      <c r="AI655" s="11">
        <f t="shared" si="32"/>
        <v>8.2680000000000007</v>
      </c>
      <c r="AJ655" t="s">
        <v>62</v>
      </c>
    </row>
    <row r="656" spans="1:36" ht="15" customHeight="1" x14ac:dyDescent="0.35">
      <c r="A656">
        <v>10428918</v>
      </c>
      <c r="B656" t="s">
        <v>36</v>
      </c>
      <c r="C656" t="s">
        <v>37</v>
      </c>
      <c r="D656" s="6" t="s">
        <v>38</v>
      </c>
      <c r="E656" t="s">
        <v>2093</v>
      </c>
      <c r="F656" t="s">
        <v>40</v>
      </c>
      <c r="G656" t="s">
        <v>41</v>
      </c>
      <c r="H656" t="s">
        <v>2094</v>
      </c>
      <c r="I656" t="s">
        <v>43</v>
      </c>
      <c r="J656">
        <v>2</v>
      </c>
      <c r="K656" t="s">
        <v>44</v>
      </c>
      <c r="L656" t="s">
        <v>45</v>
      </c>
      <c r="M656" t="s">
        <v>46</v>
      </c>
      <c r="N656" s="7">
        <v>1</v>
      </c>
      <c r="O656" s="8">
        <v>45648.809675925928</v>
      </c>
      <c r="P656" s="9">
        <v>45652</v>
      </c>
      <c r="Q656" t="s">
        <v>74</v>
      </c>
      <c r="R656" t="s">
        <v>48</v>
      </c>
      <c r="S656" t="s">
        <v>49</v>
      </c>
      <c r="T656" t="s">
        <v>161</v>
      </c>
      <c r="U656" t="s">
        <v>2095</v>
      </c>
      <c r="V656">
        <v>11600</v>
      </c>
      <c r="W656" t="s">
        <v>48</v>
      </c>
      <c r="X656" t="s">
        <v>53</v>
      </c>
      <c r="Y656" t="s">
        <v>54</v>
      </c>
      <c r="Z656" s="12">
        <f>IF(N656&lt;=1,9,9+0.8*ROUNDUP(N656-1,0))</f>
        <v>9</v>
      </c>
      <c r="AA656" s="11">
        <v>-2</v>
      </c>
      <c r="AB656" s="11">
        <v>0</v>
      </c>
      <c r="AC656" s="11">
        <v>0</v>
      </c>
      <c r="AD656" s="11">
        <v>0</v>
      </c>
      <c r="AE656" s="11">
        <v>0</v>
      </c>
      <c r="AF656" s="11">
        <f t="shared" si="30"/>
        <v>0.42</v>
      </c>
      <c r="AG656" s="11">
        <f t="shared" si="31"/>
        <v>7.42</v>
      </c>
      <c r="AH656" s="11">
        <v>0</v>
      </c>
      <c r="AI656" s="11">
        <f t="shared" si="32"/>
        <v>7.42</v>
      </c>
      <c r="AJ656" t="s">
        <v>62</v>
      </c>
    </row>
    <row r="657" spans="1:36" ht="15" customHeight="1" x14ac:dyDescent="0.35">
      <c r="A657">
        <v>10428918</v>
      </c>
      <c r="B657" t="s">
        <v>36</v>
      </c>
      <c r="C657" t="s">
        <v>37</v>
      </c>
      <c r="D657" s="6" t="s">
        <v>38</v>
      </c>
      <c r="E657" t="s">
        <v>2096</v>
      </c>
      <c r="F657" t="s">
        <v>40</v>
      </c>
      <c r="G657" t="s">
        <v>41</v>
      </c>
      <c r="H657" t="s">
        <v>2097</v>
      </c>
      <c r="I657" t="s">
        <v>43</v>
      </c>
      <c r="J657">
        <v>2</v>
      </c>
      <c r="K657" t="s">
        <v>44</v>
      </c>
      <c r="L657" t="s">
        <v>45</v>
      </c>
      <c r="M657" t="s">
        <v>46</v>
      </c>
      <c r="N657" s="7">
        <v>1</v>
      </c>
      <c r="O657" s="8">
        <v>45649.708553240744</v>
      </c>
      <c r="P657" s="9">
        <v>45652</v>
      </c>
      <c r="Q657" t="s">
        <v>74</v>
      </c>
      <c r="R657" t="s">
        <v>48</v>
      </c>
      <c r="S657" t="s">
        <v>49</v>
      </c>
      <c r="T657" t="s">
        <v>75</v>
      </c>
      <c r="U657" t="s">
        <v>2098</v>
      </c>
      <c r="V657">
        <v>27500</v>
      </c>
      <c r="W657" t="s">
        <v>48</v>
      </c>
      <c r="X657" t="s">
        <v>77</v>
      </c>
      <c r="Y657" t="s">
        <v>54</v>
      </c>
      <c r="Z657" s="12">
        <f>IF(N657&lt;=1,9,9+0.8*ROUNDUP(N657-1,0))</f>
        <v>9</v>
      </c>
      <c r="AA657" s="11">
        <v>-2</v>
      </c>
      <c r="AB657" s="11">
        <v>0</v>
      </c>
      <c r="AC657" s="11">
        <v>0</v>
      </c>
      <c r="AD657" s="11">
        <v>0</v>
      </c>
      <c r="AE657" s="11">
        <v>0</v>
      </c>
      <c r="AF657" s="11">
        <f t="shared" si="30"/>
        <v>0.42</v>
      </c>
      <c r="AG657" s="11">
        <f t="shared" si="31"/>
        <v>7.42</v>
      </c>
      <c r="AH657" s="11">
        <v>0</v>
      </c>
      <c r="AI657" s="11">
        <f t="shared" si="32"/>
        <v>7.42</v>
      </c>
      <c r="AJ657" t="s">
        <v>62</v>
      </c>
    </row>
    <row r="658" spans="1:36" ht="15" customHeight="1" x14ac:dyDescent="0.35">
      <c r="A658">
        <v>10428918</v>
      </c>
      <c r="B658" t="s">
        <v>36</v>
      </c>
      <c r="C658" t="s">
        <v>37</v>
      </c>
      <c r="D658" s="6" t="s">
        <v>38</v>
      </c>
      <c r="E658" t="s">
        <v>2099</v>
      </c>
      <c r="F658" t="s">
        <v>40</v>
      </c>
      <c r="G658" t="s">
        <v>41</v>
      </c>
      <c r="H658" t="s">
        <v>2100</v>
      </c>
      <c r="I658" t="s">
        <v>43</v>
      </c>
      <c r="J658">
        <v>2</v>
      </c>
      <c r="K658" t="s">
        <v>44</v>
      </c>
      <c r="L658" t="s">
        <v>45</v>
      </c>
      <c r="M658" t="s">
        <v>46</v>
      </c>
      <c r="N658" s="7">
        <v>1</v>
      </c>
      <c r="O658" s="8">
        <v>45651.609085648146</v>
      </c>
      <c r="P658" s="9">
        <v>45652</v>
      </c>
      <c r="Q658" t="s">
        <v>74</v>
      </c>
      <c r="R658" t="s">
        <v>48</v>
      </c>
      <c r="S658" t="s">
        <v>49</v>
      </c>
      <c r="T658" t="s">
        <v>59</v>
      </c>
      <c r="U658" t="s">
        <v>2101</v>
      </c>
      <c r="V658">
        <v>16010</v>
      </c>
      <c r="W658" t="s">
        <v>48</v>
      </c>
      <c r="X658" t="s">
        <v>77</v>
      </c>
      <c r="Y658" t="s">
        <v>54</v>
      </c>
      <c r="Z658" s="12">
        <f>IF(N658&lt;=1,9,9+0.8*ROUNDUP(N658-1,0))</f>
        <v>9</v>
      </c>
      <c r="AA658" s="11">
        <v>-2</v>
      </c>
      <c r="AB658" s="11">
        <v>0</v>
      </c>
      <c r="AC658" s="11">
        <v>0</v>
      </c>
      <c r="AD658" s="11">
        <v>0</v>
      </c>
      <c r="AE658" s="11">
        <v>0</v>
      </c>
      <c r="AF658" s="11">
        <f t="shared" si="30"/>
        <v>0.42</v>
      </c>
      <c r="AG658" s="11">
        <f t="shared" si="31"/>
        <v>7.42</v>
      </c>
      <c r="AH658" s="11">
        <v>0</v>
      </c>
      <c r="AI658" s="11">
        <f t="shared" si="32"/>
        <v>7.42</v>
      </c>
      <c r="AJ658" t="s">
        <v>62</v>
      </c>
    </row>
    <row r="659" spans="1:36" ht="15" customHeight="1" x14ac:dyDescent="0.35">
      <c r="A659">
        <v>10428918</v>
      </c>
      <c r="B659" t="s">
        <v>36</v>
      </c>
      <c r="C659" t="s">
        <v>37</v>
      </c>
      <c r="D659" s="6" t="s">
        <v>38</v>
      </c>
      <c r="E659" t="s">
        <v>2102</v>
      </c>
      <c r="F659" t="s">
        <v>40</v>
      </c>
      <c r="G659" t="s">
        <v>41</v>
      </c>
      <c r="H659" t="s">
        <v>2103</v>
      </c>
      <c r="I659" t="s">
        <v>43</v>
      </c>
      <c r="J659">
        <v>2</v>
      </c>
      <c r="K659" t="s">
        <v>44</v>
      </c>
      <c r="L659" t="s">
        <v>45</v>
      </c>
      <c r="M659" t="s">
        <v>46</v>
      </c>
      <c r="N659" s="7">
        <v>1</v>
      </c>
      <c r="O659" s="8">
        <v>45650.759814814817</v>
      </c>
      <c r="P659" s="9">
        <v>45652</v>
      </c>
      <c r="Q659" t="s">
        <v>74</v>
      </c>
      <c r="R659" t="s">
        <v>48</v>
      </c>
      <c r="S659" t="s">
        <v>49</v>
      </c>
      <c r="T659" t="s">
        <v>59</v>
      </c>
      <c r="U659" t="s">
        <v>2104</v>
      </c>
      <c r="V659">
        <v>16210</v>
      </c>
      <c r="W659" t="s">
        <v>48</v>
      </c>
      <c r="X659" t="s">
        <v>77</v>
      </c>
      <c r="Y659" t="s">
        <v>54</v>
      </c>
      <c r="Z659" s="12">
        <f>IF(N659&lt;=1,9,9+0.8*ROUNDUP(N659-1,0))</f>
        <v>9</v>
      </c>
      <c r="AA659" s="11">
        <v>-2</v>
      </c>
      <c r="AB659" s="11">
        <v>0</v>
      </c>
      <c r="AC659" s="11">
        <v>0</v>
      </c>
      <c r="AD659" s="11">
        <v>0</v>
      </c>
      <c r="AE659" s="11">
        <v>0</v>
      </c>
      <c r="AF659" s="11">
        <f t="shared" si="30"/>
        <v>0.42</v>
      </c>
      <c r="AG659" s="11">
        <f t="shared" si="31"/>
        <v>7.42</v>
      </c>
      <c r="AH659" s="11">
        <v>0</v>
      </c>
      <c r="AI659" s="11">
        <f t="shared" si="32"/>
        <v>7.42</v>
      </c>
      <c r="AJ659" t="s">
        <v>62</v>
      </c>
    </row>
    <row r="660" spans="1:36" ht="15" customHeight="1" x14ac:dyDescent="0.35">
      <c r="A660">
        <v>10428918</v>
      </c>
      <c r="B660" t="s">
        <v>36</v>
      </c>
      <c r="C660" t="s">
        <v>37</v>
      </c>
      <c r="D660" s="6" t="s">
        <v>38</v>
      </c>
      <c r="E660" t="s">
        <v>2105</v>
      </c>
      <c r="F660" t="s">
        <v>40</v>
      </c>
      <c r="G660" t="s">
        <v>41</v>
      </c>
      <c r="H660" t="s">
        <v>2106</v>
      </c>
      <c r="I660" t="s">
        <v>43</v>
      </c>
      <c r="J660">
        <v>2</v>
      </c>
      <c r="K660" t="s">
        <v>44</v>
      </c>
      <c r="L660" t="s">
        <v>45</v>
      </c>
      <c r="M660" t="s">
        <v>46</v>
      </c>
      <c r="N660" s="7">
        <v>1</v>
      </c>
      <c r="O660" s="8">
        <v>45651.427499999998</v>
      </c>
      <c r="P660" s="9">
        <v>45652</v>
      </c>
      <c r="Q660" t="s">
        <v>74</v>
      </c>
      <c r="R660" t="s">
        <v>48</v>
      </c>
      <c r="S660" t="s">
        <v>49</v>
      </c>
      <c r="T660" t="s">
        <v>90</v>
      </c>
      <c r="U660" t="s">
        <v>2107</v>
      </c>
      <c r="V660">
        <v>22100</v>
      </c>
      <c r="W660" t="s">
        <v>48</v>
      </c>
      <c r="X660" t="s">
        <v>77</v>
      </c>
      <c r="Y660" t="s">
        <v>54</v>
      </c>
      <c r="Z660" s="12">
        <f>IF(N660&lt;=1,9,9+0.8*ROUNDUP(N660-1,0))</f>
        <v>9</v>
      </c>
      <c r="AA660" s="11">
        <v>-2</v>
      </c>
      <c r="AB660" s="11">
        <v>0</v>
      </c>
      <c r="AC660" s="11">
        <v>0</v>
      </c>
      <c r="AD660" s="11">
        <v>0</v>
      </c>
      <c r="AE660" s="11">
        <v>0</v>
      </c>
      <c r="AF660" s="11">
        <f t="shared" si="30"/>
        <v>0.42</v>
      </c>
      <c r="AG660" s="11">
        <f t="shared" si="31"/>
        <v>7.42</v>
      </c>
      <c r="AH660" s="11">
        <v>0</v>
      </c>
      <c r="AI660" s="11">
        <f t="shared" si="32"/>
        <v>7.42</v>
      </c>
      <c r="AJ660" t="s">
        <v>62</v>
      </c>
    </row>
    <row r="661" spans="1:36" ht="15" customHeight="1" x14ac:dyDescent="0.35">
      <c r="A661">
        <v>10428918</v>
      </c>
      <c r="B661" t="s">
        <v>36</v>
      </c>
      <c r="C661" t="s">
        <v>37</v>
      </c>
      <c r="D661" s="6" t="s">
        <v>38</v>
      </c>
      <c r="E661" t="s">
        <v>2108</v>
      </c>
      <c r="F661" t="s">
        <v>40</v>
      </c>
      <c r="G661" t="s">
        <v>41</v>
      </c>
      <c r="H661" t="s">
        <v>2109</v>
      </c>
      <c r="I661" t="s">
        <v>43</v>
      </c>
      <c r="J661">
        <v>2</v>
      </c>
      <c r="K661" t="s">
        <v>44</v>
      </c>
      <c r="L661" t="s">
        <v>45</v>
      </c>
      <c r="M661" t="s">
        <v>46</v>
      </c>
      <c r="N661" s="7">
        <v>1</v>
      </c>
      <c r="O661" s="8">
        <v>45650.624699074076</v>
      </c>
      <c r="P661" s="9">
        <v>45652</v>
      </c>
      <c r="Q661" t="s">
        <v>74</v>
      </c>
      <c r="R661" t="s">
        <v>48</v>
      </c>
      <c r="S661" t="s">
        <v>49</v>
      </c>
      <c r="T661" t="s">
        <v>170</v>
      </c>
      <c r="U661" t="s">
        <v>2110</v>
      </c>
      <c r="V661">
        <v>50050</v>
      </c>
      <c r="W661" t="s">
        <v>48</v>
      </c>
      <c r="X661" t="s">
        <v>53</v>
      </c>
      <c r="Y661" t="s">
        <v>54</v>
      </c>
      <c r="Z661" s="12">
        <f>IF(N661&lt;=1,9,9+0.8*ROUNDUP(N661-1,0))</f>
        <v>9</v>
      </c>
      <c r="AA661" s="11">
        <v>-2</v>
      </c>
      <c r="AB661" s="11">
        <v>0</v>
      </c>
      <c r="AC661" s="11">
        <v>0</v>
      </c>
      <c r="AD661" s="11">
        <v>0</v>
      </c>
      <c r="AE661" s="11">
        <v>0</v>
      </c>
      <c r="AF661" s="11">
        <f t="shared" si="30"/>
        <v>0.42</v>
      </c>
      <c r="AG661" s="11">
        <f t="shared" si="31"/>
        <v>7.42</v>
      </c>
      <c r="AH661" s="11">
        <v>0</v>
      </c>
      <c r="AI661" s="11">
        <f t="shared" si="32"/>
        <v>7.42</v>
      </c>
      <c r="AJ661" t="s">
        <v>62</v>
      </c>
    </row>
    <row r="662" spans="1:36" ht="15" customHeight="1" x14ac:dyDescent="0.35">
      <c r="A662">
        <v>10428918</v>
      </c>
      <c r="B662" t="s">
        <v>36</v>
      </c>
      <c r="C662" t="s">
        <v>37</v>
      </c>
      <c r="D662" s="6" t="s">
        <v>38</v>
      </c>
      <c r="E662" t="s">
        <v>2111</v>
      </c>
      <c r="F662" t="s">
        <v>40</v>
      </c>
      <c r="G662" t="s">
        <v>41</v>
      </c>
      <c r="H662" t="s">
        <v>2112</v>
      </c>
      <c r="I662" t="s">
        <v>43</v>
      </c>
      <c r="J662">
        <v>2</v>
      </c>
      <c r="K662" t="s">
        <v>44</v>
      </c>
      <c r="L662" t="s">
        <v>45</v>
      </c>
      <c r="M662" t="s">
        <v>46</v>
      </c>
      <c r="N662" s="7">
        <v>1</v>
      </c>
      <c r="O662" s="8">
        <v>45649.792986111112</v>
      </c>
      <c r="P662" s="9">
        <v>45652</v>
      </c>
      <c r="Q662" t="s">
        <v>74</v>
      </c>
      <c r="R662" t="s">
        <v>48</v>
      </c>
      <c r="S662" t="s">
        <v>49</v>
      </c>
      <c r="T662" t="s">
        <v>101</v>
      </c>
      <c r="U662" t="s">
        <v>2113</v>
      </c>
      <c r="V662">
        <v>34800</v>
      </c>
      <c r="W662" t="s">
        <v>48</v>
      </c>
      <c r="X662" t="s">
        <v>827</v>
      </c>
      <c r="Y662" t="s">
        <v>54</v>
      </c>
      <c r="Z662" s="12">
        <f>IF(N662&lt;=1,9,9+0.8*ROUNDUP(N662-1,0))</f>
        <v>9</v>
      </c>
      <c r="AA662" s="11">
        <v>-2</v>
      </c>
      <c r="AB662" s="11">
        <v>0</v>
      </c>
      <c r="AC662" s="11">
        <v>0</v>
      </c>
      <c r="AD662" s="11">
        <v>0</v>
      </c>
      <c r="AE662" s="11">
        <v>0</v>
      </c>
      <c r="AF662" s="11">
        <f t="shared" si="30"/>
        <v>0.42</v>
      </c>
      <c r="AG662" s="11">
        <f t="shared" si="31"/>
        <v>7.42</v>
      </c>
      <c r="AH662" s="11">
        <v>0</v>
      </c>
      <c r="AI662" s="11">
        <f t="shared" si="32"/>
        <v>7.42</v>
      </c>
      <c r="AJ662" t="s">
        <v>62</v>
      </c>
    </row>
    <row r="663" spans="1:36" ht="15" customHeight="1" x14ac:dyDescent="0.35">
      <c r="A663">
        <v>10428918</v>
      </c>
      <c r="B663" t="s">
        <v>36</v>
      </c>
      <c r="C663" t="s">
        <v>37</v>
      </c>
      <c r="D663" s="6" t="s">
        <v>38</v>
      </c>
      <c r="E663" t="s">
        <v>2114</v>
      </c>
      <c r="F663" t="s">
        <v>40</v>
      </c>
      <c r="G663" t="s">
        <v>41</v>
      </c>
      <c r="H663" t="s">
        <v>2115</v>
      </c>
      <c r="I663" t="s">
        <v>43</v>
      </c>
      <c r="J663">
        <v>2</v>
      </c>
      <c r="K663" t="s">
        <v>44</v>
      </c>
      <c r="L663" t="s">
        <v>45</v>
      </c>
      <c r="M663" t="s">
        <v>46</v>
      </c>
      <c r="N663" s="7">
        <v>1</v>
      </c>
      <c r="O663" s="8">
        <v>45648.809675925928</v>
      </c>
      <c r="P663" s="9">
        <v>45652</v>
      </c>
      <c r="Q663" t="s">
        <v>74</v>
      </c>
      <c r="R663" t="s">
        <v>48</v>
      </c>
      <c r="S663" t="s">
        <v>49</v>
      </c>
      <c r="T663" t="s">
        <v>69</v>
      </c>
      <c r="U663" t="s">
        <v>2116</v>
      </c>
      <c r="V663">
        <v>81900</v>
      </c>
      <c r="W663" t="s">
        <v>48</v>
      </c>
      <c r="X663" t="s">
        <v>122</v>
      </c>
      <c r="Y663" t="s">
        <v>54</v>
      </c>
      <c r="Z663" s="12">
        <f>IF(N663&lt;=1,9,9+0.8*ROUNDUP(N663-1,0))</f>
        <v>9</v>
      </c>
      <c r="AA663" s="11">
        <v>-2</v>
      </c>
      <c r="AB663" s="11">
        <v>0</v>
      </c>
      <c r="AC663" s="11">
        <v>0</v>
      </c>
      <c r="AD663" s="11">
        <v>0</v>
      </c>
      <c r="AE663" s="11">
        <v>0</v>
      </c>
      <c r="AF663" s="11">
        <f t="shared" si="30"/>
        <v>0.42</v>
      </c>
      <c r="AG663" s="11">
        <f t="shared" si="31"/>
        <v>7.42</v>
      </c>
      <c r="AH663" s="11">
        <v>0</v>
      </c>
      <c r="AI663" s="11">
        <f t="shared" si="32"/>
        <v>7.42</v>
      </c>
      <c r="AJ663" t="s">
        <v>62</v>
      </c>
    </row>
    <row r="664" spans="1:36" ht="15" customHeight="1" x14ac:dyDescent="0.35">
      <c r="A664">
        <v>10428918</v>
      </c>
      <c r="B664" t="s">
        <v>36</v>
      </c>
      <c r="C664" t="s">
        <v>37</v>
      </c>
      <c r="D664" s="6" t="s">
        <v>38</v>
      </c>
      <c r="E664" t="s">
        <v>2117</v>
      </c>
      <c r="F664" t="s">
        <v>40</v>
      </c>
      <c r="G664" t="s">
        <v>41</v>
      </c>
      <c r="H664" t="s">
        <v>849</v>
      </c>
      <c r="I664" t="s">
        <v>43</v>
      </c>
      <c r="J664">
        <v>2</v>
      </c>
      <c r="K664" t="s">
        <v>44</v>
      </c>
      <c r="L664" t="s">
        <v>45</v>
      </c>
      <c r="M664" t="s">
        <v>46</v>
      </c>
      <c r="N664" s="7">
        <v>6</v>
      </c>
      <c r="O664" s="8">
        <v>45648.835347222222</v>
      </c>
      <c r="P664" s="9">
        <v>45652</v>
      </c>
      <c r="Q664" t="s">
        <v>74</v>
      </c>
      <c r="R664" t="s">
        <v>48</v>
      </c>
      <c r="S664" t="s">
        <v>49</v>
      </c>
      <c r="T664" t="s">
        <v>75</v>
      </c>
      <c r="U664" t="s">
        <v>2118</v>
      </c>
      <c r="V664">
        <v>39100</v>
      </c>
      <c r="W664" t="s">
        <v>48</v>
      </c>
      <c r="X664" t="s">
        <v>851</v>
      </c>
      <c r="Y664" t="s">
        <v>54</v>
      </c>
      <c r="Z664" s="12">
        <f>IF(N664&lt;=1,9,9+0.8*ROUNDUP(N664-1,0))</f>
        <v>13</v>
      </c>
      <c r="AA664" s="11">
        <v>-2</v>
      </c>
      <c r="AB664" s="11">
        <v>0</v>
      </c>
      <c r="AC664" s="11">
        <v>0</v>
      </c>
      <c r="AD664" s="11">
        <v>0</v>
      </c>
      <c r="AE664" s="11">
        <v>0</v>
      </c>
      <c r="AF664" s="11">
        <f t="shared" si="30"/>
        <v>0.65999999999999992</v>
      </c>
      <c r="AG664" s="11">
        <f t="shared" si="31"/>
        <v>11.66</v>
      </c>
      <c r="AH664" s="11">
        <v>0</v>
      </c>
      <c r="AI664" s="11">
        <f t="shared" si="32"/>
        <v>11.66</v>
      </c>
      <c r="AJ664" t="s">
        <v>62</v>
      </c>
    </row>
    <row r="665" spans="1:36" ht="15" customHeight="1" x14ac:dyDescent="0.35">
      <c r="A665">
        <v>10428918</v>
      </c>
      <c r="B665" t="s">
        <v>36</v>
      </c>
      <c r="C665" t="s">
        <v>37</v>
      </c>
      <c r="D665" s="6" t="s">
        <v>38</v>
      </c>
      <c r="E665" t="s">
        <v>2119</v>
      </c>
      <c r="F665" t="s">
        <v>40</v>
      </c>
      <c r="G665" t="s">
        <v>41</v>
      </c>
      <c r="H665" t="s">
        <v>2120</v>
      </c>
      <c r="I665" t="s">
        <v>43</v>
      </c>
      <c r="J665">
        <v>2</v>
      </c>
      <c r="K665" t="s">
        <v>44</v>
      </c>
      <c r="L665" t="s">
        <v>45</v>
      </c>
      <c r="M665" t="s">
        <v>46</v>
      </c>
      <c r="N665" s="7">
        <v>1</v>
      </c>
      <c r="O665" s="8">
        <v>45650.519525462965</v>
      </c>
      <c r="P665" s="9">
        <v>45652</v>
      </c>
      <c r="Q665" t="s">
        <v>74</v>
      </c>
      <c r="R665" t="s">
        <v>48</v>
      </c>
      <c r="S665" t="s">
        <v>49</v>
      </c>
      <c r="T665" t="s">
        <v>117</v>
      </c>
      <c r="U665" t="s">
        <v>2121</v>
      </c>
      <c r="V665">
        <v>43000</v>
      </c>
      <c r="W665" t="s">
        <v>48</v>
      </c>
      <c r="X665" t="s">
        <v>53</v>
      </c>
      <c r="Y665" t="s">
        <v>54</v>
      </c>
      <c r="Z665" s="12">
        <f>IF(N665&lt;=1,9,9+0.8*ROUNDUP(N665-1,0))</f>
        <v>9</v>
      </c>
      <c r="AA665" s="11">
        <v>-2</v>
      </c>
      <c r="AB665" s="11">
        <v>0</v>
      </c>
      <c r="AC665" s="11">
        <v>0</v>
      </c>
      <c r="AD665" s="11">
        <v>0</v>
      </c>
      <c r="AE665" s="11">
        <v>0</v>
      </c>
      <c r="AF665" s="11">
        <f t="shared" si="30"/>
        <v>0.42</v>
      </c>
      <c r="AG665" s="11">
        <f t="shared" si="31"/>
        <v>7.42</v>
      </c>
      <c r="AH665" s="11">
        <v>0</v>
      </c>
      <c r="AI665" s="11">
        <f t="shared" si="32"/>
        <v>7.42</v>
      </c>
      <c r="AJ665" t="s">
        <v>62</v>
      </c>
    </row>
    <row r="666" spans="1:36" ht="15" customHeight="1" x14ac:dyDescent="0.35">
      <c r="A666">
        <v>10428918</v>
      </c>
      <c r="B666" t="s">
        <v>36</v>
      </c>
      <c r="C666" t="s">
        <v>37</v>
      </c>
      <c r="D666" s="6" t="s">
        <v>38</v>
      </c>
      <c r="E666" t="s">
        <v>2122</v>
      </c>
      <c r="F666" t="s">
        <v>40</v>
      </c>
      <c r="G666" t="s">
        <v>41</v>
      </c>
      <c r="H666" t="s">
        <v>2123</v>
      </c>
      <c r="I666" t="s">
        <v>43</v>
      </c>
      <c r="J666">
        <v>2</v>
      </c>
      <c r="K666" t="s">
        <v>44</v>
      </c>
      <c r="L666" t="s">
        <v>45</v>
      </c>
      <c r="M666" t="s">
        <v>46</v>
      </c>
      <c r="N666" s="7">
        <v>15</v>
      </c>
      <c r="O666" s="8">
        <v>45650.487511574072</v>
      </c>
      <c r="P666" s="9">
        <v>45652</v>
      </c>
      <c r="Q666" t="s">
        <v>74</v>
      </c>
      <c r="R666" t="s">
        <v>48</v>
      </c>
      <c r="S666" t="s">
        <v>49</v>
      </c>
      <c r="T666" t="s">
        <v>69</v>
      </c>
      <c r="U666" t="s">
        <v>2124</v>
      </c>
      <c r="V666">
        <v>81750</v>
      </c>
      <c r="W666" t="s">
        <v>48</v>
      </c>
      <c r="X666" t="s">
        <v>2125</v>
      </c>
      <c r="Y666" t="s">
        <v>54</v>
      </c>
      <c r="Z666" s="12">
        <f>IF(N666&lt;=1,9,9+0.8*ROUNDUP(N666-1,0))</f>
        <v>20.200000000000003</v>
      </c>
      <c r="AA666" s="11">
        <v>-2</v>
      </c>
      <c r="AB666" s="11">
        <v>0</v>
      </c>
      <c r="AC666" s="11">
        <v>0</v>
      </c>
      <c r="AD666" s="11">
        <v>0</v>
      </c>
      <c r="AE666" s="11">
        <v>0</v>
      </c>
      <c r="AF666" s="11">
        <f t="shared" si="30"/>
        <v>1.0920000000000001</v>
      </c>
      <c r="AG666" s="11">
        <f t="shared" si="31"/>
        <v>19.292000000000002</v>
      </c>
      <c r="AH666" s="11">
        <v>0</v>
      </c>
      <c r="AI666" s="11">
        <f t="shared" si="32"/>
        <v>19.292000000000002</v>
      </c>
      <c r="AJ666" t="s">
        <v>62</v>
      </c>
    </row>
    <row r="667" spans="1:36" ht="15" customHeight="1" x14ac:dyDescent="0.35">
      <c r="A667">
        <v>10428918</v>
      </c>
      <c r="B667" t="s">
        <v>36</v>
      </c>
      <c r="C667" t="s">
        <v>37</v>
      </c>
      <c r="D667" s="6" t="s">
        <v>38</v>
      </c>
      <c r="E667" t="s">
        <v>2126</v>
      </c>
      <c r="F667" t="s">
        <v>40</v>
      </c>
      <c r="G667" t="s">
        <v>41</v>
      </c>
      <c r="H667" t="s">
        <v>849</v>
      </c>
      <c r="I667" t="s">
        <v>43</v>
      </c>
      <c r="J667">
        <v>2</v>
      </c>
      <c r="K667" t="s">
        <v>44</v>
      </c>
      <c r="L667" t="s">
        <v>45</v>
      </c>
      <c r="M667" t="s">
        <v>46</v>
      </c>
      <c r="N667" s="7">
        <v>5</v>
      </c>
      <c r="O667" s="8">
        <v>45648.835347222222</v>
      </c>
      <c r="P667" s="9">
        <v>45652</v>
      </c>
      <c r="Q667" t="s">
        <v>74</v>
      </c>
      <c r="R667" t="s">
        <v>48</v>
      </c>
      <c r="S667" t="s">
        <v>49</v>
      </c>
      <c r="T667" t="s">
        <v>75</v>
      </c>
      <c r="U667" t="s">
        <v>2118</v>
      </c>
      <c r="V667">
        <v>39100</v>
      </c>
      <c r="W667" t="s">
        <v>48</v>
      </c>
      <c r="X667" t="s">
        <v>851</v>
      </c>
      <c r="Y667" t="s">
        <v>54</v>
      </c>
      <c r="Z667" s="12">
        <f>IF(N667&lt;=1,9,9+0.8*ROUNDUP(N667-1,0))</f>
        <v>12.2</v>
      </c>
      <c r="AA667" s="11">
        <v>-2</v>
      </c>
      <c r="AB667" s="11">
        <v>0</v>
      </c>
      <c r="AC667" s="11">
        <v>0</v>
      </c>
      <c r="AD667" s="11">
        <v>0</v>
      </c>
      <c r="AE667" s="11">
        <v>0</v>
      </c>
      <c r="AF667" s="11">
        <f t="shared" si="30"/>
        <v>0.61199999999999999</v>
      </c>
      <c r="AG667" s="11">
        <f t="shared" si="31"/>
        <v>10.811999999999999</v>
      </c>
      <c r="AH667" s="11">
        <v>0</v>
      </c>
      <c r="AI667" s="11">
        <f t="shared" si="32"/>
        <v>10.811999999999999</v>
      </c>
      <c r="AJ667" t="s">
        <v>62</v>
      </c>
    </row>
    <row r="668" spans="1:36" ht="15" customHeight="1" x14ac:dyDescent="0.35">
      <c r="A668">
        <v>10428918</v>
      </c>
      <c r="B668" t="s">
        <v>36</v>
      </c>
      <c r="C668" t="s">
        <v>37</v>
      </c>
      <c r="D668" s="6" t="s">
        <v>38</v>
      </c>
      <c r="E668" t="s">
        <v>2127</v>
      </c>
      <c r="F668" t="s">
        <v>40</v>
      </c>
      <c r="G668" t="s">
        <v>41</v>
      </c>
      <c r="H668" t="s">
        <v>2128</v>
      </c>
      <c r="I668" t="s">
        <v>43</v>
      </c>
      <c r="J668">
        <v>2</v>
      </c>
      <c r="K668" t="s">
        <v>44</v>
      </c>
      <c r="L668" t="s">
        <v>45</v>
      </c>
      <c r="M668" t="s">
        <v>46</v>
      </c>
      <c r="N668" s="7">
        <v>1</v>
      </c>
      <c r="O668" s="8">
        <v>45650.707337962966</v>
      </c>
      <c r="P668" s="9">
        <v>45652</v>
      </c>
      <c r="Q668" t="s">
        <v>74</v>
      </c>
      <c r="R668" t="s">
        <v>48</v>
      </c>
      <c r="S668" t="s">
        <v>49</v>
      </c>
      <c r="T668" t="s">
        <v>85</v>
      </c>
      <c r="U668" t="s">
        <v>2129</v>
      </c>
      <c r="V668">
        <v>71800</v>
      </c>
      <c r="W668" t="s">
        <v>48</v>
      </c>
      <c r="X668" t="s">
        <v>266</v>
      </c>
      <c r="Y668" t="s">
        <v>54</v>
      </c>
      <c r="Z668" s="12">
        <f>IF(N668&lt;=1,9,9+0.8*ROUNDUP(N668-1,0))</f>
        <v>9</v>
      </c>
      <c r="AA668" s="11">
        <v>-2</v>
      </c>
      <c r="AB668" s="11">
        <v>0</v>
      </c>
      <c r="AC668" s="11">
        <v>0</v>
      </c>
      <c r="AD668" s="11">
        <v>0</v>
      </c>
      <c r="AE668" s="11">
        <v>0</v>
      </c>
      <c r="AF668" s="11">
        <f t="shared" si="30"/>
        <v>0.42</v>
      </c>
      <c r="AG668" s="11">
        <f t="shared" si="31"/>
        <v>7.42</v>
      </c>
      <c r="AH668" s="11">
        <v>0</v>
      </c>
      <c r="AI668" s="11">
        <f t="shared" si="32"/>
        <v>7.42</v>
      </c>
      <c r="AJ668" t="s">
        <v>62</v>
      </c>
    </row>
    <row r="669" spans="1:36" ht="15" customHeight="1" x14ac:dyDescent="0.35">
      <c r="A669">
        <v>10428918</v>
      </c>
      <c r="B669" t="s">
        <v>36</v>
      </c>
      <c r="C669" t="s">
        <v>37</v>
      </c>
      <c r="D669" s="6" t="s">
        <v>38</v>
      </c>
      <c r="E669" t="s">
        <v>2130</v>
      </c>
      <c r="F669" t="s">
        <v>40</v>
      </c>
      <c r="G669" t="s">
        <v>41</v>
      </c>
      <c r="H669" t="s">
        <v>2131</v>
      </c>
      <c r="I669" t="s">
        <v>43</v>
      </c>
      <c r="J669">
        <v>2</v>
      </c>
      <c r="K669" t="s">
        <v>44</v>
      </c>
      <c r="L669" t="s">
        <v>45</v>
      </c>
      <c r="M669" t="s">
        <v>46</v>
      </c>
      <c r="N669" s="7">
        <v>1</v>
      </c>
      <c r="O669" s="8">
        <v>45650.685185185182</v>
      </c>
      <c r="P669" s="9">
        <v>45652</v>
      </c>
      <c r="Q669" t="s">
        <v>74</v>
      </c>
      <c r="R669" t="s">
        <v>48</v>
      </c>
      <c r="S669" t="s">
        <v>49</v>
      </c>
      <c r="T669" t="s">
        <v>170</v>
      </c>
      <c r="U669" t="s">
        <v>2132</v>
      </c>
      <c r="V669">
        <v>51200</v>
      </c>
      <c r="W669" t="s">
        <v>48</v>
      </c>
      <c r="X669" t="s">
        <v>1794</v>
      </c>
      <c r="Y669" t="s">
        <v>54</v>
      </c>
      <c r="Z669" s="12">
        <f>IF(N669&lt;=1,9,9+0.8*ROUNDUP(N669-1,0))</f>
        <v>9</v>
      </c>
      <c r="AA669" s="11">
        <v>-2</v>
      </c>
      <c r="AB669" s="11">
        <v>0</v>
      </c>
      <c r="AC669" s="11">
        <v>0</v>
      </c>
      <c r="AD669" s="11">
        <v>0</v>
      </c>
      <c r="AE669" s="11">
        <v>0</v>
      </c>
      <c r="AF669" s="11">
        <f t="shared" si="30"/>
        <v>0.42</v>
      </c>
      <c r="AG669" s="11">
        <f t="shared" si="31"/>
        <v>7.42</v>
      </c>
      <c r="AH669" s="11">
        <v>0</v>
      </c>
      <c r="AI669" s="11">
        <f t="shared" si="32"/>
        <v>7.42</v>
      </c>
      <c r="AJ669" t="s">
        <v>62</v>
      </c>
    </row>
    <row r="670" spans="1:36" ht="15" customHeight="1" x14ac:dyDescent="0.35">
      <c r="A670">
        <v>10428918</v>
      </c>
      <c r="B670" t="s">
        <v>36</v>
      </c>
      <c r="C670" t="s">
        <v>37</v>
      </c>
      <c r="D670" s="6" t="s">
        <v>38</v>
      </c>
      <c r="E670" t="s">
        <v>2133</v>
      </c>
      <c r="F670" t="s">
        <v>40</v>
      </c>
      <c r="G670" t="s">
        <v>41</v>
      </c>
      <c r="H670" t="s">
        <v>2134</v>
      </c>
      <c r="I670" t="s">
        <v>43</v>
      </c>
      <c r="J670">
        <v>2</v>
      </c>
      <c r="K670" t="s">
        <v>44</v>
      </c>
      <c r="L670" t="s">
        <v>45</v>
      </c>
      <c r="M670" t="s">
        <v>46</v>
      </c>
      <c r="N670" s="7">
        <v>1</v>
      </c>
      <c r="O670" s="8">
        <v>45649.800300925926</v>
      </c>
      <c r="P670" s="9">
        <v>45652</v>
      </c>
      <c r="Q670" t="s">
        <v>74</v>
      </c>
      <c r="R670" t="s">
        <v>48</v>
      </c>
      <c r="S670" t="s">
        <v>49</v>
      </c>
      <c r="T670" t="s">
        <v>117</v>
      </c>
      <c r="U670" t="s">
        <v>2135</v>
      </c>
      <c r="V670">
        <v>47100</v>
      </c>
      <c r="W670" t="s">
        <v>48</v>
      </c>
      <c r="X670" t="s">
        <v>53</v>
      </c>
      <c r="Y670" t="s">
        <v>54</v>
      </c>
      <c r="Z670" s="12">
        <f>IF(N670&lt;=1,9,9+0.8*ROUNDUP(N670-1,0))</f>
        <v>9</v>
      </c>
      <c r="AA670" s="11">
        <v>-2</v>
      </c>
      <c r="AB670" s="11">
        <v>0</v>
      </c>
      <c r="AC670" s="11">
        <v>0</v>
      </c>
      <c r="AD670" s="11">
        <v>0</v>
      </c>
      <c r="AE670" s="11">
        <v>0</v>
      </c>
      <c r="AF670" s="11">
        <f t="shared" si="30"/>
        <v>0.42</v>
      </c>
      <c r="AG670" s="11">
        <f t="shared" si="31"/>
        <v>7.42</v>
      </c>
      <c r="AH670" s="11">
        <v>0</v>
      </c>
      <c r="AI670" s="11">
        <f t="shared" si="32"/>
        <v>7.42</v>
      </c>
      <c r="AJ670" t="s">
        <v>62</v>
      </c>
    </row>
    <row r="671" spans="1:36" ht="15" customHeight="1" x14ac:dyDescent="0.35">
      <c r="A671">
        <v>10428918</v>
      </c>
      <c r="B671" t="s">
        <v>36</v>
      </c>
      <c r="C671" t="s">
        <v>37</v>
      </c>
      <c r="D671" s="6" t="s">
        <v>38</v>
      </c>
      <c r="E671" t="s">
        <v>2136</v>
      </c>
      <c r="F671" t="s">
        <v>40</v>
      </c>
      <c r="G671" t="s">
        <v>41</v>
      </c>
      <c r="H671" t="s">
        <v>2137</v>
      </c>
      <c r="I671" t="s">
        <v>43</v>
      </c>
      <c r="J671">
        <v>2</v>
      </c>
      <c r="K671" t="s">
        <v>44</v>
      </c>
      <c r="L671" t="s">
        <v>45</v>
      </c>
      <c r="M671" t="s">
        <v>46</v>
      </c>
      <c r="N671" s="7">
        <v>1</v>
      </c>
      <c r="O671" s="8">
        <v>45649.792986111112</v>
      </c>
      <c r="P671" s="9">
        <v>45652</v>
      </c>
      <c r="Q671" t="s">
        <v>74</v>
      </c>
      <c r="R671" t="s">
        <v>48</v>
      </c>
      <c r="S671" t="s">
        <v>49</v>
      </c>
      <c r="T671" t="s">
        <v>69</v>
      </c>
      <c r="U671" t="s">
        <v>2138</v>
      </c>
      <c r="V671">
        <v>86000</v>
      </c>
      <c r="W671" t="s">
        <v>48</v>
      </c>
      <c r="X671" t="s">
        <v>613</v>
      </c>
      <c r="Y671" t="s">
        <v>54</v>
      </c>
      <c r="Z671" s="12">
        <f>IF(N671&lt;=1,9,9+0.8*ROUNDUP(N671-1,0))</f>
        <v>9</v>
      </c>
      <c r="AA671" s="11">
        <v>-2</v>
      </c>
      <c r="AB671" s="11">
        <v>0</v>
      </c>
      <c r="AC671" s="11">
        <v>0</v>
      </c>
      <c r="AD671" s="11">
        <v>0</v>
      </c>
      <c r="AE671" s="11">
        <v>0</v>
      </c>
      <c r="AF671" s="11">
        <f t="shared" si="30"/>
        <v>0.42</v>
      </c>
      <c r="AG671" s="11">
        <f t="shared" si="31"/>
        <v>7.42</v>
      </c>
      <c r="AH671" s="11">
        <v>0</v>
      </c>
      <c r="AI671" s="11">
        <f t="shared" si="32"/>
        <v>7.42</v>
      </c>
      <c r="AJ671" t="s">
        <v>62</v>
      </c>
    </row>
    <row r="672" spans="1:36" ht="15" customHeight="1" x14ac:dyDescent="0.35">
      <c r="A672">
        <v>10428918</v>
      </c>
      <c r="B672" t="s">
        <v>36</v>
      </c>
      <c r="C672" t="s">
        <v>37</v>
      </c>
      <c r="D672" s="6" t="s">
        <v>38</v>
      </c>
      <c r="E672" t="s">
        <v>2139</v>
      </c>
      <c r="F672" t="s">
        <v>40</v>
      </c>
      <c r="G672" t="s">
        <v>41</v>
      </c>
      <c r="H672" t="s">
        <v>2140</v>
      </c>
      <c r="I672" t="s">
        <v>43</v>
      </c>
      <c r="J672">
        <v>2</v>
      </c>
      <c r="K672" t="s">
        <v>44</v>
      </c>
      <c r="L672" t="s">
        <v>45</v>
      </c>
      <c r="M672" t="s">
        <v>46</v>
      </c>
      <c r="N672" s="7">
        <v>2</v>
      </c>
      <c r="O672" s="8">
        <v>45649.792974537035</v>
      </c>
      <c r="P672" s="9">
        <v>45652</v>
      </c>
      <c r="Q672" t="s">
        <v>74</v>
      </c>
      <c r="R672" t="s">
        <v>48</v>
      </c>
      <c r="S672" t="s">
        <v>49</v>
      </c>
      <c r="T672" t="s">
        <v>90</v>
      </c>
      <c r="U672" t="s">
        <v>2141</v>
      </c>
      <c r="V672">
        <v>21600</v>
      </c>
      <c r="W672" t="s">
        <v>48</v>
      </c>
      <c r="X672" t="s">
        <v>61</v>
      </c>
      <c r="Y672" t="s">
        <v>54</v>
      </c>
      <c r="Z672" s="12">
        <f>IF(N672&lt;=1,9,9+0.8*ROUNDUP(N672-1,0))</f>
        <v>9.8000000000000007</v>
      </c>
      <c r="AA672" s="11">
        <v>-2</v>
      </c>
      <c r="AB672" s="11">
        <v>0</v>
      </c>
      <c r="AC672" s="11">
        <v>0</v>
      </c>
      <c r="AD672" s="11">
        <v>0</v>
      </c>
      <c r="AE672" s="11">
        <v>0</v>
      </c>
      <c r="AF672" s="11">
        <f t="shared" si="30"/>
        <v>0.46800000000000003</v>
      </c>
      <c r="AG672" s="11">
        <f t="shared" si="31"/>
        <v>8.2680000000000007</v>
      </c>
      <c r="AH672" s="11">
        <v>0</v>
      </c>
      <c r="AI672" s="11">
        <f t="shared" si="32"/>
        <v>8.2680000000000007</v>
      </c>
      <c r="AJ672" t="s">
        <v>62</v>
      </c>
    </row>
    <row r="673" spans="1:36" ht="15" customHeight="1" x14ac:dyDescent="0.35">
      <c r="A673">
        <v>10428918</v>
      </c>
      <c r="B673" t="s">
        <v>36</v>
      </c>
      <c r="C673" t="s">
        <v>37</v>
      </c>
      <c r="D673" s="6" t="s">
        <v>38</v>
      </c>
      <c r="E673" t="s">
        <v>2142</v>
      </c>
      <c r="F673" t="s">
        <v>40</v>
      </c>
      <c r="G673" t="s">
        <v>41</v>
      </c>
      <c r="H673" t="s">
        <v>2143</v>
      </c>
      <c r="I673" t="s">
        <v>43</v>
      </c>
      <c r="J673">
        <v>2</v>
      </c>
      <c r="K673" t="s">
        <v>44</v>
      </c>
      <c r="L673" t="s">
        <v>45</v>
      </c>
      <c r="M673" t="s">
        <v>46</v>
      </c>
      <c r="N673" s="7">
        <v>1</v>
      </c>
      <c r="O673" s="8">
        <v>45649.800300925926</v>
      </c>
      <c r="P673" s="9">
        <v>45652</v>
      </c>
      <c r="Q673" t="s">
        <v>74</v>
      </c>
      <c r="R673" t="s">
        <v>48</v>
      </c>
      <c r="S673" t="s">
        <v>49</v>
      </c>
      <c r="T673" t="s">
        <v>101</v>
      </c>
      <c r="U673" t="s">
        <v>2144</v>
      </c>
      <c r="V673">
        <v>36600</v>
      </c>
      <c r="W673" t="s">
        <v>48</v>
      </c>
      <c r="X673" t="s">
        <v>53</v>
      </c>
      <c r="Y673" t="s">
        <v>54</v>
      </c>
      <c r="Z673" s="12">
        <f>IF(N673&lt;=1,9,9+0.8*ROUNDUP(N673-1,0))</f>
        <v>9</v>
      </c>
      <c r="AA673" s="11">
        <v>-2</v>
      </c>
      <c r="AB673" s="11">
        <v>0</v>
      </c>
      <c r="AC673" s="11">
        <v>0</v>
      </c>
      <c r="AD673" s="11">
        <v>0</v>
      </c>
      <c r="AE673" s="11">
        <v>0</v>
      </c>
      <c r="AF673" s="11">
        <f t="shared" si="30"/>
        <v>0.42</v>
      </c>
      <c r="AG673" s="11">
        <f t="shared" si="31"/>
        <v>7.42</v>
      </c>
      <c r="AH673" s="11">
        <v>0</v>
      </c>
      <c r="AI673" s="11">
        <f t="shared" si="32"/>
        <v>7.42</v>
      </c>
      <c r="AJ673" t="s">
        <v>62</v>
      </c>
    </row>
    <row r="674" spans="1:36" ht="15" customHeight="1" x14ac:dyDescent="0.35">
      <c r="A674">
        <v>10428918</v>
      </c>
      <c r="B674" t="s">
        <v>36</v>
      </c>
      <c r="C674" t="s">
        <v>37</v>
      </c>
      <c r="D674" s="6" t="s">
        <v>38</v>
      </c>
      <c r="E674" t="s">
        <v>2145</v>
      </c>
      <c r="F674" t="s">
        <v>40</v>
      </c>
      <c r="G674" t="s">
        <v>41</v>
      </c>
      <c r="H674" t="s">
        <v>2146</v>
      </c>
      <c r="I674" t="s">
        <v>43</v>
      </c>
      <c r="J674">
        <v>2</v>
      </c>
      <c r="K674" t="s">
        <v>44</v>
      </c>
      <c r="L674" t="s">
        <v>45</v>
      </c>
      <c r="M674" t="s">
        <v>46</v>
      </c>
      <c r="N674" s="7">
        <v>2</v>
      </c>
      <c r="O674" s="8">
        <v>45649.792986111112</v>
      </c>
      <c r="P674" s="9">
        <v>45652</v>
      </c>
      <c r="Q674" t="s">
        <v>74</v>
      </c>
      <c r="R674" t="s">
        <v>48</v>
      </c>
      <c r="S674" t="s">
        <v>49</v>
      </c>
      <c r="T674" t="s">
        <v>59</v>
      </c>
      <c r="U674" t="s">
        <v>2147</v>
      </c>
      <c r="V674">
        <v>16450</v>
      </c>
      <c r="W674" t="s">
        <v>48</v>
      </c>
      <c r="X674" t="s">
        <v>61</v>
      </c>
      <c r="Y674" t="s">
        <v>54</v>
      </c>
      <c r="Z674" s="12">
        <f>IF(N674&lt;=1,9,9+0.8*ROUNDUP(N674-1,0))</f>
        <v>9.8000000000000007</v>
      </c>
      <c r="AA674" s="11">
        <v>-2</v>
      </c>
      <c r="AB674" s="11">
        <v>0</v>
      </c>
      <c r="AC674" s="11">
        <v>0</v>
      </c>
      <c r="AD674" s="11">
        <v>0</v>
      </c>
      <c r="AE674" s="11">
        <v>0</v>
      </c>
      <c r="AF674" s="11">
        <f t="shared" si="30"/>
        <v>0.46800000000000003</v>
      </c>
      <c r="AG674" s="11">
        <f t="shared" si="31"/>
        <v>8.2680000000000007</v>
      </c>
      <c r="AH674" s="11">
        <v>0</v>
      </c>
      <c r="AI674" s="11">
        <f t="shared" si="32"/>
        <v>8.2680000000000007</v>
      </c>
      <c r="AJ674" t="s">
        <v>62</v>
      </c>
    </row>
    <row r="675" spans="1:36" ht="15" customHeight="1" x14ac:dyDescent="0.35">
      <c r="A675">
        <v>10428918</v>
      </c>
      <c r="B675" t="s">
        <v>36</v>
      </c>
      <c r="C675" t="s">
        <v>37</v>
      </c>
      <c r="D675" s="6" t="s">
        <v>38</v>
      </c>
      <c r="E675" t="s">
        <v>2148</v>
      </c>
      <c r="F675" t="s">
        <v>40</v>
      </c>
      <c r="G675" t="s">
        <v>41</v>
      </c>
      <c r="H675" t="s">
        <v>2149</v>
      </c>
      <c r="I675" t="s">
        <v>43</v>
      </c>
      <c r="J675">
        <v>2</v>
      </c>
      <c r="K675" t="s">
        <v>44</v>
      </c>
      <c r="L675" t="s">
        <v>45</v>
      </c>
      <c r="M675" t="s">
        <v>46</v>
      </c>
      <c r="N675" s="7">
        <v>1</v>
      </c>
      <c r="O675" s="8">
        <v>45647.426979166667</v>
      </c>
      <c r="P675" s="9">
        <v>45652</v>
      </c>
      <c r="Q675" t="s">
        <v>74</v>
      </c>
      <c r="R675" t="s">
        <v>48</v>
      </c>
      <c r="S675" t="s">
        <v>49</v>
      </c>
      <c r="T675" t="s">
        <v>117</v>
      </c>
      <c r="U675" t="s">
        <v>2150</v>
      </c>
      <c r="V675">
        <v>42920</v>
      </c>
      <c r="W675" t="s">
        <v>48</v>
      </c>
      <c r="X675" t="s">
        <v>2151</v>
      </c>
      <c r="Y675" t="s">
        <v>54</v>
      </c>
      <c r="Z675" s="12">
        <f>IF(N675&lt;=1,9,9+0.8*ROUNDUP(N675-1,0))</f>
        <v>9</v>
      </c>
      <c r="AA675" s="11">
        <v>-2</v>
      </c>
      <c r="AB675" s="11">
        <v>0</v>
      </c>
      <c r="AC675" s="11">
        <v>0</v>
      </c>
      <c r="AD675" s="11">
        <v>0</v>
      </c>
      <c r="AE675" s="11">
        <v>0</v>
      </c>
      <c r="AF675" s="11">
        <f t="shared" si="30"/>
        <v>0.42</v>
      </c>
      <c r="AG675" s="11">
        <f t="shared" si="31"/>
        <v>7.42</v>
      </c>
      <c r="AH675" s="11">
        <v>0</v>
      </c>
      <c r="AI675" s="11">
        <f t="shared" si="32"/>
        <v>7.42</v>
      </c>
      <c r="AJ675" t="s">
        <v>62</v>
      </c>
    </row>
    <row r="676" spans="1:36" ht="15" customHeight="1" x14ac:dyDescent="0.35">
      <c r="A676">
        <v>10428918</v>
      </c>
      <c r="B676" t="s">
        <v>36</v>
      </c>
      <c r="C676" t="s">
        <v>37</v>
      </c>
      <c r="D676" s="6" t="s">
        <v>38</v>
      </c>
      <c r="E676" t="s">
        <v>2152</v>
      </c>
      <c r="F676" t="s">
        <v>40</v>
      </c>
      <c r="G676" t="s">
        <v>41</v>
      </c>
      <c r="H676" t="s">
        <v>2153</v>
      </c>
      <c r="I676" t="s">
        <v>43</v>
      </c>
      <c r="J676">
        <v>2</v>
      </c>
      <c r="K676" t="s">
        <v>44</v>
      </c>
      <c r="L676" t="s">
        <v>45</v>
      </c>
      <c r="M676" t="s">
        <v>46</v>
      </c>
      <c r="N676" s="7">
        <v>1</v>
      </c>
      <c r="O676" s="8">
        <v>45649.684525462966</v>
      </c>
      <c r="P676" s="9">
        <v>45652</v>
      </c>
      <c r="Q676" t="s">
        <v>74</v>
      </c>
      <c r="R676" t="s">
        <v>48</v>
      </c>
      <c r="S676" t="s">
        <v>49</v>
      </c>
      <c r="T676" t="s">
        <v>161</v>
      </c>
      <c r="U676" t="s">
        <v>2154</v>
      </c>
      <c r="V676">
        <v>11900</v>
      </c>
      <c r="W676" t="s">
        <v>48</v>
      </c>
      <c r="X676" t="s">
        <v>820</v>
      </c>
      <c r="Y676" t="s">
        <v>54</v>
      </c>
      <c r="Z676" s="12">
        <f>IF(N676&lt;=1,9,9+0.8*ROUNDUP(N676-1,0))</f>
        <v>9</v>
      </c>
      <c r="AA676" s="11">
        <v>-2</v>
      </c>
      <c r="AB676" s="11">
        <v>0</v>
      </c>
      <c r="AC676" s="11">
        <v>0</v>
      </c>
      <c r="AD676" s="11">
        <v>0</v>
      </c>
      <c r="AE676" s="11">
        <v>0</v>
      </c>
      <c r="AF676" s="11">
        <f t="shared" si="30"/>
        <v>0.42</v>
      </c>
      <c r="AG676" s="11">
        <f t="shared" si="31"/>
        <v>7.42</v>
      </c>
      <c r="AH676" s="11">
        <v>0</v>
      </c>
      <c r="AI676" s="11">
        <f t="shared" si="32"/>
        <v>7.42</v>
      </c>
      <c r="AJ676" t="s">
        <v>62</v>
      </c>
    </row>
    <row r="677" spans="1:36" ht="15" customHeight="1" x14ac:dyDescent="0.35">
      <c r="A677">
        <v>10428918</v>
      </c>
      <c r="B677" t="s">
        <v>36</v>
      </c>
      <c r="C677" t="s">
        <v>37</v>
      </c>
      <c r="D677" s="6" t="s">
        <v>38</v>
      </c>
      <c r="E677" t="s">
        <v>2155</v>
      </c>
      <c r="F677" t="s">
        <v>40</v>
      </c>
      <c r="G677" t="s">
        <v>41</v>
      </c>
      <c r="H677" t="s">
        <v>2156</v>
      </c>
      <c r="I677" t="s">
        <v>43</v>
      </c>
      <c r="J677">
        <v>2</v>
      </c>
      <c r="K677" t="s">
        <v>44</v>
      </c>
      <c r="L677" t="s">
        <v>45</v>
      </c>
      <c r="M677" t="s">
        <v>46</v>
      </c>
      <c r="N677" s="7">
        <v>2</v>
      </c>
      <c r="O677" s="8">
        <v>45649.792986111112</v>
      </c>
      <c r="P677" s="9">
        <v>45652</v>
      </c>
      <c r="Q677" t="s">
        <v>74</v>
      </c>
      <c r="R677" t="s">
        <v>48</v>
      </c>
      <c r="S677" t="s">
        <v>49</v>
      </c>
      <c r="T677" t="s">
        <v>80</v>
      </c>
      <c r="U677" t="s">
        <v>2157</v>
      </c>
      <c r="V677">
        <v>6300</v>
      </c>
      <c r="W677" t="s">
        <v>48</v>
      </c>
      <c r="X677" t="s">
        <v>312</v>
      </c>
      <c r="Y677" t="s">
        <v>54</v>
      </c>
      <c r="Z677" s="12">
        <f>IF(N677&lt;=1,9,9+0.8*ROUNDUP(N677-1,0))</f>
        <v>9.8000000000000007</v>
      </c>
      <c r="AA677" s="11">
        <v>-2</v>
      </c>
      <c r="AB677" s="11">
        <v>0</v>
      </c>
      <c r="AC677" s="11">
        <v>0</v>
      </c>
      <c r="AD677" s="11">
        <v>0</v>
      </c>
      <c r="AE677" s="11">
        <v>0</v>
      </c>
      <c r="AF677" s="11">
        <f t="shared" si="30"/>
        <v>0.46800000000000003</v>
      </c>
      <c r="AG677" s="11">
        <f t="shared" si="31"/>
        <v>8.2680000000000007</v>
      </c>
      <c r="AH677" s="11">
        <v>0</v>
      </c>
      <c r="AI677" s="11">
        <f t="shared" si="32"/>
        <v>8.2680000000000007</v>
      </c>
      <c r="AJ677" t="s">
        <v>62</v>
      </c>
    </row>
    <row r="678" spans="1:36" ht="15" customHeight="1" x14ac:dyDescent="0.35">
      <c r="A678">
        <v>10428918</v>
      </c>
      <c r="B678" t="s">
        <v>36</v>
      </c>
      <c r="C678" t="s">
        <v>37</v>
      </c>
      <c r="D678" s="6" t="s">
        <v>38</v>
      </c>
      <c r="E678" t="s">
        <v>2158</v>
      </c>
      <c r="F678" t="s">
        <v>40</v>
      </c>
      <c r="G678" t="s">
        <v>41</v>
      </c>
      <c r="H678" t="s">
        <v>2159</v>
      </c>
      <c r="I678" t="s">
        <v>43</v>
      </c>
      <c r="J678">
        <v>2</v>
      </c>
      <c r="K678" t="s">
        <v>44</v>
      </c>
      <c r="L678" t="s">
        <v>45</v>
      </c>
      <c r="M678" t="s">
        <v>46</v>
      </c>
      <c r="N678" s="7">
        <v>2</v>
      </c>
      <c r="O678" s="8">
        <v>45648.809675925928</v>
      </c>
      <c r="P678" s="9">
        <v>45652</v>
      </c>
      <c r="Q678" t="s">
        <v>74</v>
      </c>
      <c r="R678" t="s">
        <v>48</v>
      </c>
      <c r="S678" t="s">
        <v>49</v>
      </c>
      <c r="T678" t="s">
        <v>101</v>
      </c>
      <c r="U678" t="s">
        <v>2160</v>
      </c>
      <c r="V678">
        <v>31150</v>
      </c>
      <c r="W678" t="s">
        <v>48</v>
      </c>
      <c r="X678" t="s">
        <v>1401</v>
      </c>
      <c r="Y678" t="s">
        <v>54</v>
      </c>
      <c r="Z678" s="12">
        <f>IF(N678&lt;=1,9,9+0.8*ROUNDUP(N678-1,0))</f>
        <v>9.8000000000000007</v>
      </c>
      <c r="AA678" s="11">
        <v>-2</v>
      </c>
      <c r="AB678" s="11">
        <v>0</v>
      </c>
      <c r="AC678" s="11">
        <v>0</v>
      </c>
      <c r="AD678" s="11">
        <v>0</v>
      </c>
      <c r="AE678" s="11">
        <v>0</v>
      </c>
      <c r="AF678" s="11">
        <f t="shared" si="30"/>
        <v>0.46800000000000003</v>
      </c>
      <c r="AG678" s="11">
        <f t="shared" si="31"/>
        <v>8.2680000000000007</v>
      </c>
      <c r="AH678" s="11">
        <v>0</v>
      </c>
      <c r="AI678" s="11">
        <f t="shared" si="32"/>
        <v>8.2680000000000007</v>
      </c>
      <c r="AJ678" t="s">
        <v>62</v>
      </c>
    </row>
    <row r="679" spans="1:36" ht="15" customHeight="1" x14ac:dyDescent="0.35">
      <c r="A679">
        <v>10428918</v>
      </c>
      <c r="B679" t="s">
        <v>36</v>
      </c>
      <c r="C679" t="s">
        <v>37</v>
      </c>
      <c r="D679" s="6" t="s">
        <v>38</v>
      </c>
      <c r="E679" t="s">
        <v>2161</v>
      </c>
      <c r="F679" t="s">
        <v>40</v>
      </c>
      <c r="G679" t="s">
        <v>41</v>
      </c>
      <c r="H679" t="s">
        <v>2162</v>
      </c>
      <c r="I679" t="s">
        <v>43</v>
      </c>
      <c r="J679">
        <v>2</v>
      </c>
      <c r="K679" t="s">
        <v>44</v>
      </c>
      <c r="L679" t="s">
        <v>45</v>
      </c>
      <c r="M679" t="s">
        <v>46</v>
      </c>
      <c r="N679" s="7">
        <v>1</v>
      </c>
      <c r="O679" s="8">
        <v>45649.792974537035</v>
      </c>
      <c r="P679" s="9">
        <v>45652</v>
      </c>
      <c r="Q679" t="s">
        <v>74</v>
      </c>
      <c r="R679" t="s">
        <v>48</v>
      </c>
      <c r="S679" t="s">
        <v>49</v>
      </c>
      <c r="T679" t="s">
        <v>170</v>
      </c>
      <c r="U679" t="s">
        <v>2163</v>
      </c>
      <c r="V679">
        <v>51000</v>
      </c>
      <c r="W679" t="s">
        <v>48</v>
      </c>
      <c r="X679" t="s">
        <v>343</v>
      </c>
      <c r="Y679" t="s">
        <v>54</v>
      </c>
      <c r="Z679" s="12">
        <f>IF(N679&lt;=1,9,9+0.8*ROUNDUP(N679-1,0))</f>
        <v>9</v>
      </c>
      <c r="AA679" s="11">
        <v>-2</v>
      </c>
      <c r="AB679" s="11">
        <v>0</v>
      </c>
      <c r="AC679" s="11">
        <v>0</v>
      </c>
      <c r="AD679" s="11">
        <v>0</v>
      </c>
      <c r="AE679" s="11">
        <v>0</v>
      </c>
      <c r="AF679" s="11">
        <f t="shared" si="30"/>
        <v>0.42</v>
      </c>
      <c r="AG679" s="11">
        <f t="shared" si="31"/>
        <v>7.42</v>
      </c>
      <c r="AH679" s="11">
        <v>0</v>
      </c>
      <c r="AI679" s="11">
        <f t="shared" si="32"/>
        <v>7.42</v>
      </c>
      <c r="AJ679" t="s">
        <v>62</v>
      </c>
    </row>
    <row r="680" spans="1:36" ht="15" customHeight="1" x14ac:dyDescent="0.35">
      <c r="A680">
        <v>10428918</v>
      </c>
      <c r="B680" t="s">
        <v>36</v>
      </c>
      <c r="C680" t="s">
        <v>37</v>
      </c>
      <c r="D680" s="6" t="s">
        <v>38</v>
      </c>
      <c r="E680" t="s">
        <v>2164</v>
      </c>
      <c r="F680" t="s">
        <v>40</v>
      </c>
      <c r="G680" t="s">
        <v>41</v>
      </c>
      <c r="H680" t="s">
        <v>2165</v>
      </c>
      <c r="I680" t="s">
        <v>43</v>
      </c>
      <c r="J680">
        <v>2</v>
      </c>
      <c r="K680" t="s">
        <v>44</v>
      </c>
      <c r="L680" t="s">
        <v>45</v>
      </c>
      <c r="M680" t="s">
        <v>46</v>
      </c>
      <c r="N680" s="7">
        <v>1</v>
      </c>
      <c r="O680" s="8">
        <v>45650.698576388888</v>
      </c>
      <c r="P680" s="9">
        <v>45652</v>
      </c>
      <c r="Q680" t="s">
        <v>74</v>
      </c>
      <c r="R680" t="s">
        <v>48</v>
      </c>
      <c r="S680" t="s">
        <v>49</v>
      </c>
      <c r="T680" t="s">
        <v>69</v>
      </c>
      <c r="U680" t="s">
        <v>2166</v>
      </c>
      <c r="V680">
        <v>83700</v>
      </c>
      <c r="W680" t="s">
        <v>48</v>
      </c>
      <c r="X680" t="s">
        <v>410</v>
      </c>
      <c r="Y680" t="s">
        <v>54</v>
      </c>
      <c r="Z680" s="12">
        <f>IF(N680&lt;=1,9,9+0.8*ROUNDUP(N680-1,0))</f>
        <v>9</v>
      </c>
      <c r="AA680" s="11">
        <v>-2</v>
      </c>
      <c r="AB680" s="11">
        <v>0</v>
      </c>
      <c r="AC680" s="11">
        <v>0</v>
      </c>
      <c r="AD680" s="11">
        <v>0</v>
      </c>
      <c r="AE680" s="11">
        <v>0</v>
      </c>
      <c r="AF680" s="11">
        <f t="shared" si="30"/>
        <v>0.42</v>
      </c>
      <c r="AG680" s="11">
        <f t="shared" si="31"/>
        <v>7.42</v>
      </c>
      <c r="AH680" s="11">
        <v>0</v>
      </c>
      <c r="AI680" s="11">
        <f t="shared" si="32"/>
        <v>7.42</v>
      </c>
      <c r="AJ680" t="s">
        <v>62</v>
      </c>
    </row>
    <row r="681" spans="1:36" ht="15" customHeight="1" x14ac:dyDescent="0.35">
      <c r="A681">
        <v>10428918</v>
      </c>
      <c r="B681" t="s">
        <v>36</v>
      </c>
      <c r="C681" t="s">
        <v>37</v>
      </c>
      <c r="D681" s="6" t="s">
        <v>38</v>
      </c>
      <c r="E681" t="s">
        <v>2167</v>
      </c>
      <c r="F681" t="s">
        <v>40</v>
      </c>
      <c r="G681" t="s">
        <v>41</v>
      </c>
      <c r="H681" t="s">
        <v>2168</v>
      </c>
      <c r="I681" t="s">
        <v>43</v>
      </c>
      <c r="J681">
        <v>2</v>
      </c>
      <c r="K681" t="s">
        <v>44</v>
      </c>
      <c r="L681" t="s">
        <v>45</v>
      </c>
      <c r="M681" t="s">
        <v>46</v>
      </c>
      <c r="N681" s="7">
        <v>2</v>
      </c>
      <c r="O681" s="8">
        <v>45649.792974537035</v>
      </c>
      <c r="P681" s="9">
        <v>45652</v>
      </c>
      <c r="Q681" t="s">
        <v>74</v>
      </c>
      <c r="R681" t="s">
        <v>48</v>
      </c>
      <c r="S681" t="s">
        <v>49</v>
      </c>
      <c r="T681" t="s">
        <v>90</v>
      </c>
      <c r="U681" t="s">
        <v>2169</v>
      </c>
      <c r="V681">
        <v>21200</v>
      </c>
      <c r="W681" t="s">
        <v>48</v>
      </c>
      <c r="X681" t="s">
        <v>61</v>
      </c>
      <c r="Y681" t="s">
        <v>54</v>
      </c>
      <c r="Z681" s="12">
        <f>IF(N681&lt;=1,9,9+0.8*ROUNDUP(N681-1,0))</f>
        <v>9.8000000000000007</v>
      </c>
      <c r="AA681" s="11">
        <v>-2</v>
      </c>
      <c r="AB681" s="11">
        <v>0</v>
      </c>
      <c r="AC681" s="11">
        <v>0</v>
      </c>
      <c r="AD681" s="11">
        <v>0</v>
      </c>
      <c r="AE681" s="11">
        <v>0</v>
      </c>
      <c r="AF681" s="11">
        <f t="shared" si="30"/>
        <v>0.46800000000000003</v>
      </c>
      <c r="AG681" s="11">
        <f t="shared" si="31"/>
        <v>8.2680000000000007</v>
      </c>
      <c r="AH681" s="11">
        <v>0</v>
      </c>
      <c r="AI681" s="11">
        <f t="shared" si="32"/>
        <v>8.2680000000000007</v>
      </c>
      <c r="AJ681" t="s">
        <v>62</v>
      </c>
    </row>
    <row r="682" spans="1:36" ht="15" customHeight="1" x14ac:dyDescent="0.35">
      <c r="A682">
        <v>10428918</v>
      </c>
      <c r="B682" t="s">
        <v>36</v>
      </c>
      <c r="C682" t="s">
        <v>37</v>
      </c>
      <c r="D682" s="6" t="s">
        <v>38</v>
      </c>
      <c r="E682" t="s">
        <v>2170</v>
      </c>
      <c r="F682" t="s">
        <v>40</v>
      </c>
      <c r="G682" t="s">
        <v>41</v>
      </c>
      <c r="H682" t="s">
        <v>2171</v>
      </c>
      <c r="I682" t="s">
        <v>43</v>
      </c>
      <c r="J682">
        <v>2</v>
      </c>
      <c r="K682" t="s">
        <v>44</v>
      </c>
      <c r="L682" t="s">
        <v>45</v>
      </c>
      <c r="M682" t="s">
        <v>46</v>
      </c>
      <c r="N682" s="7">
        <v>1</v>
      </c>
      <c r="O682" s="8">
        <v>45650.445104166669</v>
      </c>
      <c r="P682" s="9">
        <v>45652</v>
      </c>
      <c r="Q682" t="s">
        <v>74</v>
      </c>
      <c r="R682" t="s">
        <v>48</v>
      </c>
      <c r="S682" t="s">
        <v>49</v>
      </c>
      <c r="T682" t="s">
        <v>559</v>
      </c>
      <c r="U682" t="s">
        <v>2172</v>
      </c>
      <c r="V682">
        <v>62100</v>
      </c>
      <c r="W682" t="s">
        <v>48</v>
      </c>
      <c r="X682" t="s">
        <v>53</v>
      </c>
      <c r="Y682" t="s">
        <v>54</v>
      </c>
      <c r="Z682" s="12">
        <f>IF(N682&lt;=1,9,9+0.8*ROUNDUP(N682-1,0))</f>
        <v>9</v>
      </c>
      <c r="AA682" s="11">
        <v>-2</v>
      </c>
      <c r="AB682" s="11">
        <v>0</v>
      </c>
      <c r="AC682" s="11">
        <v>0</v>
      </c>
      <c r="AD682" s="11">
        <v>0</v>
      </c>
      <c r="AE682" s="11">
        <v>0</v>
      </c>
      <c r="AF682" s="11">
        <f t="shared" si="30"/>
        <v>0.42</v>
      </c>
      <c r="AG682" s="11">
        <f t="shared" si="31"/>
        <v>7.42</v>
      </c>
      <c r="AH682" s="11">
        <v>0</v>
      </c>
      <c r="AI682" s="11">
        <f t="shared" si="32"/>
        <v>7.42</v>
      </c>
      <c r="AJ682" t="s">
        <v>62</v>
      </c>
    </row>
    <row r="683" spans="1:36" ht="15" customHeight="1" x14ac:dyDescent="0.35">
      <c r="A683">
        <v>10428918</v>
      </c>
      <c r="B683" t="s">
        <v>36</v>
      </c>
      <c r="C683" t="s">
        <v>37</v>
      </c>
      <c r="D683" s="6" t="s">
        <v>38</v>
      </c>
      <c r="E683" t="s">
        <v>2173</v>
      </c>
      <c r="F683" t="s">
        <v>40</v>
      </c>
      <c r="G683" t="s">
        <v>41</v>
      </c>
      <c r="H683" t="s">
        <v>2174</v>
      </c>
      <c r="I683" t="s">
        <v>43</v>
      </c>
      <c r="J683">
        <v>2</v>
      </c>
      <c r="K683" t="s">
        <v>44</v>
      </c>
      <c r="L683" t="s">
        <v>45</v>
      </c>
      <c r="M683" t="s">
        <v>46</v>
      </c>
      <c r="N683" s="7">
        <v>1</v>
      </c>
      <c r="O683" s="8">
        <v>45651.472696759258</v>
      </c>
      <c r="P683" s="9">
        <v>45652</v>
      </c>
      <c r="Q683" t="s">
        <v>74</v>
      </c>
      <c r="R683" t="s">
        <v>48</v>
      </c>
      <c r="S683" t="s">
        <v>49</v>
      </c>
      <c r="T683" t="s">
        <v>90</v>
      </c>
      <c r="U683" t="s">
        <v>2175</v>
      </c>
      <c r="V683">
        <v>22000</v>
      </c>
      <c r="W683" t="s">
        <v>48</v>
      </c>
      <c r="X683" t="s">
        <v>77</v>
      </c>
      <c r="Y683" t="s">
        <v>54</v>
      </c>
      <c r="Z683" s="12">
        <f>IF(N683&lt;=1,9,9+0.8*ROUNDUP(N683-1,0))</f>
        <v>9</v>
      </c>
      <c r="AA683" s="11">
        <v>-2</v>
      </c>
      <c r="AB683" s="11">
        <v>0</v>
      </c>
      <c r="AC683" s="11">
        <v>0</v>
      </c>
      <c r="AD683" s="11">
        <v>0</v>
      </c>
      <c r="AE683" s="11">
        <v>0</v>
      </c>
      <c r="AF683" s="11">
        <f t="shared" si="30"/>
        <v>0.42</v>
      </c>
      <c r="AG683" s="11">
        <f t="shared" si="31"/>
        <v>7.42</v>
      </c>
      <c r="AH683" s="11">
        <v>0</v>
      </c>
      <c r="AI683" s="11">
        <f t="shared" si="32"/>
        <v>7.42</v>
      </c>
      <c r="AJ683" t="s">
        <v>62</v>
      </c>
    </row>
    <row r="684" spans="1:36" ht="15" customHeight="1" x14ac:dyDescent="0.35">
      <c r="A684">
        <v>10428918</v>
      </c>
      <c r="B684" t="s">
        <v>36</v>
      </c>
      <c r="C684" t="s">
        <v>37</v>
      </c>
      <c r="D684" s="6" t="s">
        <v>38</v>
      </c>
      <c r="E684" t="s">
        <v>2176</v>
      </c>
      <c r="F684" t="s">
        <v>40</v>
      </c>
      <c r="G684" t="s">
        <v>41</v>
      </c>
      <c r="H684" t="s">
        <v>2177</v>
      </c>
      <c r="I684" t="s">
        <v>43</v>
      </c>
      <c r="J684">
        <v>2</v>
      </c>
      <c r="K684" t="s">
        <v>44</v>
      </c>
      <c r="L684" t="s">
        <v>45</v>
      </c>
      <c r="M684" t="s">
        <v>46</v>
      </c>
      <c r="N684" s="7">
        <v>1</v>
      </c>
      <c r="O684" s="8">
        <v>45648.809687499997</v>
      </c>
      <c r="P684" s="9">
        <v>45653</v>
      </c>
      <c r="Q684" t="s">
        <v>74</v>
      </c>
      <c r="R684" t="s">
        <v>48</v>
      </c>
      <c r="S684" t="s">
        <v>49</v>
      </c>
      <c r="T684" t="s">
        <v>85</v>
      </c>
      <c r="U684" t="s">
        <v>2178</v>
      </c>
      <c r="V684">
        <v>70400</v>
      </c>
      <c r="W684" t="s">
        <v>48</v>
      </c>
      <c r="X684" t="s">
        <v>114</v>
      </c>
      <c r="Y684" t="s">
        <v>54</v>
      </c>
      <c r="Z684" s="12">
        <f>IF(N684&lt;=1,9,9+0.8*ROUNDUP(N684-1,0))</f>
        <v>9</v>
      </c>
      <c r="AA684" s="11">
        <v>-2</v>
      </c>
      <c r="AB684" s="11">
        <v>0</v>
      </c>
      <c r="AC684" s="11">
        <v>0</v>
      </c>
      <c r="AD684" s="11">
        <v>0</v>
      </c>
      <c r="AE684" s="11">
        <v>0</v>
      </c>
      <c r="AF684" s="11">
        <f t="shared" si="30"/>
        <v>0.42</v>
      </c>
      <c r="AG684" s="11">
        <f t="shared" si="31"/>
        <v>7.42</v>
      </c>
      <c r="AH684" s="11">
        <v>0</v>
      </c>
      <c r="AI684" s="11">
        <f t="shared" si="32"/>
        <v>7.42</v>
      </c>
      <c r="AJ684" t="s">
        <v>62</v>
      </c>
    </row>
    <row r="685" spans="1:36" ht="15" customHeight="1" x14ac:dyDescent="0.35">
      <c r="A685">
        <v>10428918</v>
      </c>
      <c r="B685" t="s">
        <v>36</v>
      </c>
      <c r="C685" t="s">
        <v>37</v>
      </c>
      <c r="D685" s="6" t="s">
        <v>38</v>
      </c>
      <c r="E685" t="s">
        <v>2179</v>
      </c>
      <c r="F685" t="s">
        <v>40</v>
      </c>
      <c r="G685" t="s">
        <v>41</v>
      </c>
      <c r="H685" t="s">
        <v>570</v>
      </c>
      <c r="I685" t="s">
        <v>43</v>
      </c>
      <c r="J685">
        <v>2</v>
      </c>
      <c r="K685" t="s">
        <v>44</v>
      </c>
      <c r="L685" t="s">
        <v>45</v>
      </c>
      <c r="M685" t="s">
        <v>46</v>
      </c>
      <c r="N685" s="7">
        <v>16</v>
      </c>
      <c r="O685" s="8">
        <v>45651.617384259262</v>
      </c>
      <c r="P685" s="9">
        <v>45653</v>
      </c>
      <c r="Q685" t="s">
        <v>74</v>
      </c>
      <c r="R685" t="s">
        <v>48</v>
      </c>
      <c r="S685" t="s">
        <v>49</v>
      </c>
      <c r="T685" t="s">
        <v>117</v>
      </c>
      <c r="U685" t="s">
        <v>571</v>
      </c>
      <c r="V685">
        <v>40000</v>
      </c>
      <c r="W685" t="s">
        <v>48</v>
      </c>
      <c r="X685" t="s">
        <v>473</v>
      </c>
      <c r="Y685" t="s">
        <v>54</v>
      </c>
      <c r="Z685" s="12">
        <f>IF(N685&lt;=1,9,9+0.8*ROUNDUP(N685-1,0))</f>
        <v>21</v>
      </c>
      <c r="AA685" s="11">
        <v>-2</v>
      </c>
      <c r="AB685" s="11">
        <v>0</v>
      </c>
      <c r="AC685" s="11">
        <v>0</v>
      </c>
      <c r="AD685" s="11">
        <v>0</v>
      </c>
      <c r="AE685" s="11">
        <v>0</v>
      </c>
      <c r="AF685" s="11">
        <f t="shared" si="30"/>
        <v>1.1399999999999999</v>
      </c>
      <c r="AG685" s="11">
        <f t="shared" si="31"/>
        <v>20.14</v>
      </c>
      <c r="AH685" s="11">
        <v>0</v>
      </c>
      <c r="AI685" s="11">
        <f t="shared" si="32"/>
        <v>20.14</v>
      </c>
      <c r="AJ685" t="s">
        <v>62</v>
      </c>
    </row>
    <row r="686" spans="1:36" ht="15" customHeight="1" x14ac:dyDescent="0.35">
      <c r="A686">
        <v>10428918</v>
      </c>
      <c r="B686" t="s">
        <v>36</v>
      </c>
      <c r="C686" t="s">
        <v>37</v>
      </c>
      <c r="D686" s="6" t="s">
        <v>38</v>
      </c>
      <c r="E686" t="s">
        <v>2180</v>
      </c>
      <c r="F686" t="s">
        <v>40</v>
      </c>
      <c r="G686" t="s">
        <v>41</v>
      </c>
      <c r="H686" t="s">
        <v>2181</v>
      </c>
      <c r="I686" t="s">
        <v>43</v>
      </c>
      <c r="J686">
        <v>2</v>
      </c>
      <c r="K686" t="s">
        <v>44</v>
      </c>
      <c r="L686" t="s">
        <v>45</v>
      </c>
      <c r="M686" t="s">
        <v>46</v>
      </c>
      <c r="N686" s="7">
        <v>8</v>
      </c>
      <c r="O686" s="8">
        <v>45652.548726851855</v>
      </c>
      <c r="P686" s="9">
        <v>45653</v>
      </c>
      <c r="Q686" t="s">
        <v>74</v>
      </c>
      <c r="R686" t="s">
        <v>48</v>
      </c>
      <c r="S686" t="s">
        <v>49</v>
      </c>
      <c r="T686" t="s">
        <v>90</v>
      </c>
      <c r="U686" t="s">
        <v>2182</v>
      </c>
      <c r="V686">
        <v>21300</v>
      </c>
      <c r="W686" t="s">
        <v>48</v>
      </c>
      <c r="X686" t="s">
        <v>469</v>
      </c>
      <c r="Y686" t="s">
        <v>54</v>
      </c>
      <c r="Z686" s="12">
        <f>IF(N686&lt;=1,9,9+0.8*ROUNDUP(N686-1,0))</f>
        <v>14.600000000000001</v>
      </c>
      <c r="AA686" s="11">
        <v>-2</v>
      </c>
      <c r="AB686" s="11">
        <v>0</v>
      </c>
      <c r="AC686" s="11">
        <v>0</v>
      </c>
      <c r="AD686" s="11">
        <v>0</v>
      </c>
      <c r="AE686" s="11">
        <v>0</v>
      </c>
      <c r="AF686" s="11">
        <f t="shared" si="30"/>
        <v>0.75600000000000001</v>
      </c>
      <c r="AG686" s="11">
        <f t="shared" si="31"/>
        <v>13.356000000000002</v>
      </c>
      <c r="AH686" s="11">
        <v>0</v>
      </c>
      <c r="AI686" s="11">
        <f t="shared" si="32"/>
        <v>13.356000000000002</v>
      </c>
      <c r="AJ686" t="s">
        <v>62</v>
      </c>
    </row>
    <row r="687" spans="1:36" ht="15" customHeight="1" x14ac:dyDescent="0.35">
      <c r="A687">
        <v>10428918</v>
      </c>
      <c r="B687" t="s">
        <v>36</v>
      </c>
      <c r="C687" t="s">
        <v>37</v>
      </c>
      <c r="D687" s="6" t="s">
        <v>38</v>
      </c>
      <c r="E687" t="s">
        <v>2183</v>
      </c>
      <c r="F687" t="s">
        <v>40</v>
      </c>
      <c r="G687" t="s">
        <v>41</v>
      </c>
      <c r="H687" t="s">
        <v>2184</v>
      </c>
      <c r="I687" t="s">
        <v>43</v>
      </c>
      <c r="J687">
        <v>2</v>
      </c>
      <c r="K687" t="s">
        <v>44</v>
      </c>
      <c r="L687" t="s">
        <v>45</v>
      </c>
      <c r="M687" t="s">
        <v>46</v>
      </c>
      <c r="N687" s="7">
        <v>1</v>
      </c>
      <c r="O687" s="8">
        <v>45652.658368055556</v>
      </c>
      <c r="P687" s="9">
        <v>45653</v>
      </c>
      <c r="Q687" t="s">
        <v>47</v>
      </c>
      <c r="R687" t="s">
        <v>48</v>
      </c>
      <c r="S687" t="s">
        <v>49</v>
      </c>
      <c r="T687" t="s">
        <v>117</v>
      </c>
      <c r="U687" t="s">
        <v>2185</v>
      </c>
      <c r="V687">
        <v>55100</v>
      </c>
      <c r="W687" t="s">
        <v>48</v>
      </c>
      <c r="X687" t="s">
        <v>1082</v>
      </c>
      <c r="Y687" t="s">
        <v>54</v>
      </c>
      <c r="Z687" s="12">
        <f>IF(N687&lt;=1,9,9+0.8*ROUNDUP(N687-1,0))</f>
        <v>9</v>
      </c>
      <c r="AA687" s="11">
        <v>-2</v>
      </c>
      <c r="AB687" s="11">
        <v>0</v>
      </c>
      <c r="AC687" s="11">
        <v>0</v>
      </c>
      <c r="AD687" s="11">
        <v>0</v>
      </c>
      <c r="AE687" s="11">
        <v>0</v>
      </c>
      <c r="AF687" s="11">
        <f t="shared" si="30"/>
        <v>0.42</v>
      </c>
      <c r="AG687" s="11">
        <f t="shared" si="31"/>
        <v>7.42</v>
      </c>
      <c r="AH687" s="11">
        <v>0</v>
      </c>
      <c r="AI687" s="11">
        <f t="shared" si="32"/>
        <v>7.42</v>
      </c>
      <c r="AJ687" t="s">
        <v>62</v>
      </c>
    </row>
    <row r="688" spans="1:36" ht="15" customHeight="1" x14ac:dyDescent="0.35">
      <c r="A688">
        <v>10428918</v>
      </c>
      <c r="B688" t="s">
        <v>36</v>
      </c>
      <c r="C688" t="s">
        <v>37</v>
      </c>
      <c r="D688" s="6" t="s">
        <v>38</v>
      </c>
      <c r="E688" t="s">
        <v>2186</v>
      </c>
      <c r="F688" t="s">
        <v>40</v>
      </c>
      <c r="G688" t="s">
        <v>41</v>
      </c>
      <c r="H688" t="s">
        <v>2187</v>
      </c>
      <c r="I688" t="s">
        <v>43</v>
      </c>
      <c r="J688">
        <v>2</v>
      </c>
      <c r="K688" t="s">
        <v>44</v>
      </c>
      <c r="L688" t="s">
        <v>45</v>
      </c>
      <c r="M688" t="s">
        <v>46</v>
      </c>
      <c r="N688" s="7">
        <v>1</v>
      </c>
      <c r="O688" s="8">
        <v>45651.427499999998</v>
      </c>
      <c r="P688" s="9">
        <v>45653</v>
      </c>
      <c r="Q688" t="s">
        <v>74</v>
      </c>
      <c r="R688" t="s">
        <v>48</v>
      </c>
      <c r="S688" t="s">
        <v>49</v>
      </c>
      <c r="T688" t="s">
        <v>80</v>
      </c>
      <c r="U688" t="s">
        <v>2188</v>
      </c>
      <c r="V688">
        <v>9100</v>
      </c>
      <c r="W688" t="s">
        <v>48</v>
      </c>
      <c r="X688" t="s">
        <v>1388</v>
      </c>
      <c r="Y688" t="s">
        <v>54</v>
      </c>
      <c r="Z688" s="12">
        <f>IF(N688&lt;=1,9,9+0.8*ROUNDUP(N688-1,0))</f>
        <v>9</v>
      </c>
      <c r="AA688" s="11">
        <v>-2</v>
      </c>
      <c r="AB688" s="11">
        <v>0</v>
      </c>
      <c r="AC688" s="11">
        <v>0</v>
      </c>
      <c r="AD688" s="11">
        <v>0</v>
      </c>
      <c r="AE688" s="11">
        <v>0</v>
      </c>
      <c r="AF688" s="11">
        <f t="shared" si="30"/>
        <v>0.42</v>
      </c>
      <c r="AG688" s="11">
        <f t="shared" si="31"/>
        <v>7.42</v>
      </c>
      <c r="AH688" s="11">
        <v>0</v>
      </c>
      <c r="AI688" s="11">
        <f t="shared" si="32"/>
        <v>7.42</v>
      </c>
      <c r="AJ688" t="s">
        <v>62</v>
      </c>
    </row>
    <row r="689" spans="1:36" ht="15" customHeight="1" x14ac:dyDescent="0.35">
      <c r="A689">
        <v>10428918</v>
      </c>
      <c r="B689" t="s">
        <v>36</v>
      </c>
      <c r="C689" t="s">
        <v>37</v>
      </c>
      <c r="D689" s="6" t="s">
        <v>38</v>
      </c>
      <c r="E689" t="s">
        <v>2189</v>
      </c>
      <c r="F689" t="s">
        <v>40</v>
      </c>
      <c r="G689" t="s">
        <v>41</v>
      </c>
      <c r="H689" t="s">
        <v>2190</v>
      </c>
      <c r="I689" t="s">
        <v>43</v>
      </c>
      <c r="J689">
        <v>2</v>
      </c>
      <c r="K689" t="s">
        <v>44</v>
      </c>
      <c r="L689" t="s">
        <v>45</v>
      </c>
      <c r="M689" t="s">
        <v>46</v>
      </c>
      <c r="N689" s="7">
        <v>2</v>
      </c>
      <c r="O689" s="8">
        <v>45651.656400462962</v>
      </c>
      <c r="P689" s="9">
        <v>45653</v>
      </c>
      <c r="Q689" t="s">
        <v>74</v>
      </c>
      <c r="R689" t="s">
        <v>48</v>
      </c>
      <c r="S689" t="s">
        <v>49</v>
      </c>
      <c r="T689" t="s">
        <v>161</v>
      </c>
      <c r="U689" t="s">
        <v>2191</v>
      </c>
      <c r="V689">
        <v>14200</v>
      </c>
      <c r="W689" t="s">
        <v>48</v>
      </c>
      <c r="X689" t="s">
        <v>666</v>
      </c>
      <c r="Y689" t="s">
        <v>54</v>
      </c>
      <c r="Z689" s="12">
        <f>IF(N689&lt;=1,9,9+0.8*ROUNDUP(N689-1,0))</f>
        <v>9.8000000000000007</v>
      </c>
      <c r="AA689" s="11">
        <v>-2</v>
      </c>
      <c r="AB689" s="11">
        <v>0</v>
      </c>
      <c r="AC689" s="11">
        <v>0</v>
      </c>
      <c r="AD689" s="11">
        <v>0</v>
      </c>
      <c r="AE689" s="11">
        <v>0</v>
      </c>
      <c r="AF689" s="11">
        <f t="shared" si="30"/>
        <v>0.46800000000000003</v>
      </c>
      <c r="AG689" s="11">
        <f t="shared" si="31"/>
        <v>8.2680000000000007</v>
      </c>
      <c r="AH689" s="11">
        <v>0</v>
      </c>
      <c r="AI689" s="11">
        <f t="shared" si="32"/>
        <v>8.2680000000000007</v>
      </c>
      <c r="AJ689" t="s">
        <v>62</v>
      </c>
    </row>
    <row r="690" spans="1:36" ht="15" customHeight="1" x14ac:dyDescent="0.35">
      <c r="A690">
        <v>10428918</v>
      </c>
      <c r="B690" t="s">
        <v>36</v>
      </c>
      <c r="C690" t="s">
        <v>37</v>
      </c>
      <c r="D690" s="6" t="s">
        <v>38</v>
      </c>
      <c r="E690" t="s">
        <v>2192</v>
      </c>
      <c r="F690" t="s">
        <v>40</v>
      </c>
      <c r="G690" t="s">
        <v>41</v>
      </c>
      <c r="H690" t="s">
        <v>2193</v>
      </c>
      <c r="I690" t="s">
        <v>43</v>
      </c>
      <c r="J690">
        <v>2</v>
      </c>
      <c r="K690" t="s">
        <v>44</v>
      </c>
      <c r="L690" t="s">
        <v>45</v>
      </c>
      <c r="M690" t="s">
        <v>46</v>
      </c>
      <c r="N690" s="7">
        <v>1</v>
      </c>
      <c r="O690" s="8">
        <v>45652.672326388885</v>
      </c>
      <c r="P690" s="9">
        <v>45653</v>
      </c>
      <c r="Q690" t="s">
        <v>47</v>
      </c>
      <c r="R690" t="s">
        <v>48</v>
      </c>
      <c r="S690" t="s">
        <v>49</v>
      </c>
      <c r="T690" t="s">
        <v>117</v>
      </c>
      <c r="U690" t="s">
        <v>2194</v>
      </c>
      <c r="V690">
        <v>40450</v>
      </c>
      <c r="W690" t="s">
        <v>48</v>
      </c>
      <c r="X690" t="s">
        <v>662</v>
      </c>
      <c r="Y690" t="s">
        <v>54</v>
      </c>
      <c r="Z690" s="12">
        <f>IF(N690&lt;=1,9,9+0.8*ROUNDUP(N690-1,0))</f>
        <v>9</v>
      </c>
      <c r="AA690" s="11">
        <v>-2</v>
      </c>
      <c r="AB690" s="11">
        <v>0</v>
      </c>
      <c r="AC690" s="11">
        <v>0</v>
      </c>
      <c r="AD690" s="11">
        <v>0</v>
      </c>
      <c r="AE690" s="11">
        <v>0</v>
      </c>
      <c r="AF690" s="11">
        <f t="shared" si="30"/>
        <v>0.42</v>
      </c>
      <c r="AG690" s="11">
        <f t="shared" si="31"/>
        <v>7.42</v>
      </c>
      <c r="AH690" s="11">
        <v>0</v>
      </c>
      <c r="AI690" s="11">
        <f t="shared" si="32"/>
        <v>7.42</v>
      </c>
      <c r="AJ690" t="s">
        <v>62</v>
      </c>
    </row>
    <row r="691" spans="1:36" ht="15" customHeight="1" x14ac:dyDescent="0.35">
      <c r="A691">
        <v>10428918</v>
      </c>
      <c r="B691" t="s">
        <v>36</v>
      </c>
      <c r="C691" t="s">
        <v>37</v>
      </c>
      <c r="D691" s="6" t="s">
        <v>38</v>
      </c>
      <c r="E691" t="s">
        <v>2195</v>
      </c>
      <c r="F691" t="s">
        <v>40</v>
      </c>
      <c r="G691" t="s">
        <v>41</v>
      </c>
      <c r="H691" t="s">
        <v>2196</v>
      </c>
      <c r="I691" t="s">
        <v>43</v>
      </c>
      <c r="J691">
        <v>2</v>
      </c>
      <c r="K691" t="s">
        <v>44</v>
      </c>
      <c r="L691" t="s">
        <v>45</v>
      </c>
      <c r="M691" t="s">
        <v>46</v>
      </c>
      <c r="N691" s="7">
        <v>1</v>
      </c>
      <c r="O691" s="8">
        <v>45652.502372685187</v>
      </c>
      <c r="P691" s="9">
        <v>45653</v>
      </c>
      <c r="Q691" t="s">
        <v>47</v>
      </c>
      <c r="R691" t="s">
        <v>48</v>
      </c>
      <c r="S691" t="s">
        <v>49</v>
      </c>
      <c r="T691" t="s">
        <v>117</v>
      </c>
      <c r="U691" t="s">
        <v>2197</v>
      </c>
      <c r="V691">
        <v>41050</v>
      </c>
      <c r="W691" t="s">
        <v>48</v>
      </c>
      <c r="X691" t="s">
        <v>53</v>
      </c>
      <c r="Y691" t="s">
        <v>54</v>
      </c>
      <c r="Z691" s="12">
        <f>IF(N691&lt;=1,9,9+0.8*ROUNDUP(N691-1,0))</f>
        <v>9</v>
      </c>
      <c r="AA691" s="11">
        <v>-2</v>
      </c>
      <c r="AB691" s="11">
        <v>0</v>
      </c>
      <c r="AC691" s="11">
        <v>0</v>
      </c>
      <c r="AD691" s="11">
        <v>0</v>
      </c>
      <c r="AE691" s="11">
        <v>0</v>
      </c>
      <c r="AF691" s="11">
        <f t="shared" si="30"/>
        <v>0.42</v>
      </c>
      <c r="AG691" s="11">
        <f t="shared" si="31"/>
        <v>7.42</v>
      </c>
      <c r="AH691" s="11">
        <v>0</v>
      </c>
      <c r="AI691" s="11">
        <f t="shared" si="32"/>
        <v>7.42</v>
      </c>
      <c r="AJ691" t="s">
        <v>62</v>
      </c>
    </row>
    <row r="692" spans="1:36" ht="15" customHeight="1" x14ac:dyDescent="0.35">
      <c r="A692">
        <v>10428918</v>
      </c>
      <c r="B692" t="s">
        <v>36</v>
      </c>
      <c r="C692" t="s">
        <v>37</v>
      </c>
      <c r="D692" s="6" t="s">
        <v>38</v>
      </c>
      <c r="E692" t="s">
        <v>2198</v>
      </c>
      <c r="F692" t="s">
        <v>40</v>
      </c>
      <c r="G692" t="s">
        <v>41</v>
      </c>
      <c r="H692" t="s">
        <v>2199</v>
      </c>
      <c r="I692" t="s">
        <v>43</v>
      </c>
      <c r="J692">
        <v>2</v>
      </c>
      <c r="K692" t="s">
        <v>44</v>
      </c>
      <c r="L692" t="s">
        <v>45</v>
      </c>
      <c r="M692" t="s">
        <v>46</v>
      </c>
      <c r="N692" s="7">
        <v>2</v>
      </c>
      <c r="O692" s="8">
        <v>45647.816828703704</v>
      </c>
      <c r="P692" s="9">
        <v>45653</v>
      </c>
      <c r="Q692" t="s">
        <v>74</v>
      </c>
      <c r="R692" t="s">
        <v>48</v>
      </c>
      <c r="S692" t="s">
        <v>49</v>
      </c>
      <c r="T692" t="s">
        <v>2200</v>
      </c>
      <c r="U692" t="s">
        <v>2201</v>
      </c>
      <c r="V692">
        <v>87000</v>
      </c>
      <c r="W692" t="s">
        <v>52</v>
      </c>
      <c r="X692" t="s">
        <v>53</v>
      </c>
      <c r="Y692" t="s">
        <v>54</v>
      </c>
      <c r="Z692" s="10">
        <f>IF(N692&lt;=1,13,IF(N692&lt;=2,23,IF(N692&lt;=3,35,IF(N692&lt;=4,43,IF(N692&lt;=5,53,IF(N692&lt;=6,63,IF(N692&lt;=7,71,IF(N692&lt;=8,79,IF(N692&lt;=9,87,IF(N692&lt;=10,95,IF(N692&lt;=11,105,IF(N692&lt;=12,114,IF(N692&lt;=13,119,IF(N692&lt;=14,127,IF(N692&lt;=15,135,IF(N692&lt;=16,143,IF(N692&lt;=17,153,IF(N692&lt;=18,163,IF(N692&lt;=19,171,IF(N692&lt;=20,185,IF(N692&lt;=21,193,IF(N692&lt;=22,201,IF(N692&lt;=23,210,IF(N692&lt;=24,220,IF(N692&lt;=25,230,IF(N692&lt;=26,240,IF(N692&lt;=27,250,IF(N692&lt;=28,260,IF(N692&lt;=29,270,IF(N692&lt;=30,280,280+10*ROUNDUP(N692-30,0)))))))))))))))))))))))))))))))</f>
        <v>23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f t="shared" si="30"/>
        <v>1.38</v>
      </c>
      <c r="AG692" s="11">
        <f t="shared" si="31"/>
        <v>24.38</v>
      </c>
      <c r="AH692" s="11">
        <v>0</v>
      </c>
      <c r="AI692" s="11">
        <f t="shared" si="32"/>
        <v>24.38</v>
      </c>
      <c r="AJ692" t="s">
        <v>55</v>
      </c>
    </row>
    <row r="693" spans="1:36" ht="15" customHeight="1" x14ac:dyDescent="0.35">
      <c r="A693">
        <v>10428918</v>
      </c>
      <c r="B693" t="s">
        <v>36</v>
      </c>
      <c r="C693" t="s">
        <v>37</v>
      </c>
      <c r="D693" s="6" t="s">
        <v>38</v>
      </c>
      <c r="E693" t="s">
        <v>2202</v>
      </c>
      <c r="F693" t="s">
        <v>40</v>
      </c>
      <c r="G693" t="s">
        <v>41</v>
      </c>
      <c r="H693" t="s">
        <v>1084</v>
      </c>
      <c r="I693" t="s">
        <v>43</v>
      </c>
      <c r="J693">
        <v>2</v>
      </c>
      <c r="K693" t="s">
        <v>44</v>
      </c>
      <c r="L693" t="s">
        <v>45</v>
      </c>
      <c r="M693" t="s">
        <v>46</v>
      </c>
      <c r="N693" s="7">
        <v>2</v>
      </c>
      <c r="O693" s="8">
        <v>45652.678935185184</v>
      </c>
      <c r="P693" s="9">
        <v>45653</v>
      </c>
      <c r="Q693" t="s">
        <v>47</v>
      </c>
      <c r="R693" t="s">
        <v>48</v>
      </c>
      <c r="S693" t="s">
        <v>49</v>
      </c>
      <c r="T693" t="s">
        <v>170</v>
      </c>
      <c r="U693" t="s">
        <v>2203</v>
      </c>
      <c r="V693">
        <v>50300</v>
      </c>
      <c r="W693" t="s">
        <v>48</v>
      </c>
      <c r="X693" t="s">
        <v>365</v>
      </c>
      <c r="Y693" t="s">
        <v>54</v>
      </c>
      <c r="Z693" s="12">
        <f>IF(N693&lt;=1,9,9+0.8*ROUNDUP(N693-1,0))</f>
        <v>9.8000000000000007</v>
      </c>
      <c r="AA693" s="11">
        <v>-2</v>
      </c>
      <c r="AB693" s="11">
        <v>0</v>
      </c>
      <c r="AC693" s="11">
        <v>0</v>
      </c>
      <c r="AD693" s="11">
        <v>0</v>
      </c>
      <c r="AE693" s="11">
        <v>0</v>
      </c>
      <c r="AF693" s="11">
        <f t="shared" si="30"/>
        <v>0.46800000000000003</v>
      </c>
      <c r="AG693" s="11">
        <f t="shared" si="31"/>
        <v>8.2680000000000007</v>
      </c>
      <c r="AH693" s="11">
        <v>0</v>
      </c>
      <c r="AI693" s="11">
        <f t="shared" si="32"/>
        <v>8.2680000000000007</v>
      </c>
      <c r="AJ693" t="s">
        <v>62</v>
      </c>
    </row>
    <row r="694" spans="1:36" ht="15" customHeight="1" x14ac:dyDescent="0.35">
      <c r="A694">
        <v>10428918</v>
      </c>
      <c r="B694" t="s">
        <v>36</v>
      </c>
      <c r="C694" t="s">
        <v>37</v>
      </c>
      <c r="D694" s="6" t="s">
        <v>38</v>
      </c>
      <c r="E694" t="s">
        <v>2204</v>
      </c>
      <c r="F694" t="s">
        <v>40</v>
      </c>
      <c r="G694" t="s">
        <v>41</v>
      </c>
      <c r="H694" t="s">
        <v>2205</v>
      </c>
      <c r="I694" t="s">
        <v>43</v>
      </c>
      <c r="J694">
        <v>2</v>
      </c>
      <c r="K694" t="s">
        <v>44</v>
      </c>
      <c r="L694" t="s">
        <v>45</v>
      </c>
      <c r="M694" t="s">
        <v>46</v>
      </c>
      <c r="N694" s="7">
        <v>1</v>
      </c>
      <c r="O694" s="8">
        <v>45651.472696759258</v>
      </c>
      <c r="P694" s="9">
        <v>45653</v>
      </c>
      <c r="Q694" t="s">
        <v>74</v>
      </c>
      <c r="R694" t="s">
        <v>48</v>
      </c>
      <c r="S694" t="s">
        <v>49</v>
      </c>
      <c r="T694" t="s">
        <v>80</v>
      </c>
      <c r="U694" t="s">
        <v>2206</v>
      </c>
      <c r="V694">
        <v>9400</v>
      </c>
      <c r="W694" t="s">
        <v>48</v>
      </c>
      <c r="X694" t="s">
        <v>53</v>
      </c>
      <c r="Y694" t="s">
        <v>54</v>
      </c>
      <c r="Z694" s="12">
        <f>IF(N694&lt;=1,9,9+0.8*ROUNDUP(N694-1,0))</f>
        <v>9</v>
      </c>
      <c r="AA694" s="11">
        <v>-2</v>
      </c>
      <c r="AB694" s="11">
        <v>0</v>
      </c>
      <c r="AC694" s="11">
        <v>0</v>
      </c>
      <c r="AD694" s="11">
        <v>0</v>
      </c>
      <c r="AE694" s="11">
        <v>0</v>
      </c>
      <c r="AF694" s="11">
        <f t="shared" si="30"/>
        <v>0.42</v>
      </c>
      <c r="AG694" s="11">
        <f t="shared" si="31"/>
        <v>7.42</v>
      </c>
      <c r="AH694" s="11">
        <v>0</v>
      </c>
      <c r="AI694" s="11">
        <f t="shared" si="32"/>
        <v>7.42</v>
      </c>
      <c r="AJ694" t="s">
        <v>62</v>
      </c>
    </row>
    <row r="695" spans="1:36" ht="15" customHeight="1" x14ac:dyDescent="0.35">
      <c r="A695">
        <v>10428918</v>
      </c>
      <c r="B695" t="s">
        <v>36</v>
      </c>
      <c r="C695" t="s">
        <v>37</v>
      </c>
      <c r="D695" s="6" t="s">
        <v>38</v>
      </c>
      <c r="E695" t="s">
        <v>2207</v>
      </c>
      <c r="F695" t="s">
        <v>40</v>
      </c>
      <c r="G695" t="s">
        <v>41</v>
      </c>
      <c r="H695" t="s">
        <v>2208</v>
      </c>
      <c r="I695" t="s">
        <v>43</v>
      </c>
      <c r="J695">
        <v>2</v>
      </c>
      <c r="K695" t="s">
        <v>44</v>
      </c>
      <c r="L695" t="s">
        <v>45</v>
      </c>
      <c r="M695" t="s">
        <v>46</v>
      </c>
      <c r="N695" s="7">
        <v>1</v>
      </c>
      <c r="O695" s="8">
        <v>45650.759814814817</v>
      </c>
      <c r="P695" s="9">
        <v>45653</v>
      </c>
      <c r="Q695" t="s">
        <v>74</v>
      </c>
      <c r="R695" t="s">
        <v>48</v>
      </c>
      <c r="S695" t="s">
        <v>49</v>
      </c>
      <c r="T695" t="s">
        <v>80</v>
      </c>
      <c r="U695" t="s">
        <v>2209</v>
      </c>
      <c r="V695">
        <v>9400</v>
      </c>
      <c r="W695" t="s">
        <v>48</v>
      </c>
      <c r="X695" t="s">
        <v>690</v>
      </c>
      <c r="Y695" t="s">
        <v>54</v>
      </c>
      <c r="Z695" s="12">
        <f>IF(N695&lt;=1,9,9+0.8*ROUNDUP(N695-1,0))</f>
        <v>9</v>
      </c>
      <c r="AA695" s="11">
        <v>-2</v>
      </c>
      <c r="AB695" s="11">
        <v>0</v>
      </c>
      <c r="AC695" s="11">
        <v>0</v>
      </c>
      <c r="AD695" s="11">
        <v>0</v>
      </c>
      <c r="AE695" s="11">
        <v>0</v>
      </c>
      <c r="AF695" s="11">
        <f t="shared" si="30"/>
        <v>0.42</v>
      </c>
      <c r="AG695" s="11">
        <f t="shared" si="31"/>
        <v>7.42</v>
      </c>
      <c r="AH695" s="11">
        <v>0</v>
      </c>
      <c r="AI695" s="11">
        <f t="shared" si="32"/>
        <v>7.42</v>
      </c>
      <c r="AJ695" t="s">
        <v>62</v>
      </c>
    </row>
    <row r="696" spans="1:36" ht="15" customHeight="1" x14ac:dyDescent="0.35">
      <c r="A696">
        <v>10428918</v>
      </c>
      <c r="B696" t="s">
        <v>36</v>
      </c>
      <c r="C696" t="s">
        <v>37</v>
      </c>
      <c r="D696" s="6" t="s">
        <v>38</v>
      </c>
      <c r="E696" t="s">
        <v>2210</v>
      </c>
      <c r="F696" t="s">
        <v>40</v>
      </c>
      <c r="G696" t="s">
        <v>41</v>
      </c>
      <c r="H696" t="s">
        <v>554</v>
      </c>
      <c r="I696" t="s">
        <v>43</v>
      </c>
      <c r="J696">
        <v>2</v>
      </c>
      <c r="K696" t="s">
        <v>44</v>
      </c>
      <c r="L696" t="s">
        <v>45</v>
      </c>
      <c r="M696" t="s">
        <v>46</v>
      </c>
      <c r="N696" s="7">
        <v>1</v>
      </c>
      <c r="O696" s="8">
        <v>45652.548715277779</v>
      </c>
      <c r="P696" s="9">
        <v>45653</v>
      </c>
      <c r="Q696" t="s">
        <v>47</v>
      </c>
      <c r="R696" t="s">
        <v>48</v>
      </c>
      <c r="S696" t="s">
        <v>49</v>
      </c>
      <c r="T696" t="s">
        <v>117</v>
      </c>
      <c r="U696" t="s">
        <v>555</v>
      </c>
      <c r="V696">
        <v>47000</v>
      </c>
      <c r="W696" t="s">
        <v>48</v>
      </c>
      <c r="X696" t="s">
        <v>556</v>
      </c>
      <c r="Y696" t="s">
        <v>54</v>
      </c>
      <c r="Z696" s="12">
        <f>IF(N696&lt;=1,9,9+0.8*ROUNDUP(N696-1,0))</f>
        <v>9</v>
      </c>
      <c r="AA696" s="11">
        <v>-2</v>
      </c>
      <c r="AB696" s="11">
        <v>0</v>
      </c>
      <c r="AC696" s="11">
        <v>0</v>
      </c>
      <c r="AD696" s="11">
        <v>0</v>
      </c>
      <c r="AE696" s="11">
        <v>0</v>
      </c>
      <c r="AF696" s="11">
        <f t="shared" si="30"/>
        <v>0.42</v>
      </c>
      <c r="AG696" s="11">
        <f t="shared" si="31"/>
        <v>7.42</v>
      </c>
      <c r="AH696" s="11">
        <v>0</v>
      </c>
      <c r="AI696" s="11">
        <f t="shared" si="32"/>
        <v>7.42</v>
      </c>
      <c r="AJ696" t="s">
        <v>62</v>
      </c>
    </row>
    <row r="697" spans="1:36" ht="15" customHeight="1" x14ac:dyDescent="0.35">
      <c r="A697">
        <v>10428918</v>
      </c>
      <c r="B697" t="s">
        <v>36</v>
      </c>
      <c r="C697" t="s">
        <v>37</v>
      </c>
      <c r="D697" s="6" t="s">
        <v>38</v>
      </c>
      <c r="E697" t="s">
        <v>2211</v>
      </c>
      <c r="F697" t="s">
        <v>40</v>
      </c>
      <c r="G697" t="s">
        <v>41</v>
      </c>
      <c r="H697" t="s">
        <v>2212</v>
      </c>
      <c r="I697" t="s">
        <v>43</v>
      </c>
      <c r="J697">
        <v>2</v>
      </c>
      <c r="K697" t="s">
        <v>44</v>
      </c>
      <c r="L697" t="s">
        <v>45</v>
      </c>
      <c r="M697" t="s">
        <v>46</v>
      </c>
      <c r="N697" s="7">
        <v>4</v>
      </c>
      <c r="O697" s="8">
        <v>45652.548726851855</v>
      </c>
      <c r="P697" s="9">
        <v>45653</v>
      </c>
      <c r="Q697" t="s">
        <v>74</v>
      </c>
      <c r="R697" t="s">
        <v>48</v>
      </c>
      <c r="S697" t="s">
        <v>49</v>
      </c>
      <c r="T697" t="s">
        <v>90</v>
      </c>
      <c r="U697" t="s">
        <v>2213</v>
      </c>
      <c r="V697">
        <v>22000</v>
      </c>
      <c r="W697" t="s">
        <v>48</v>
      </c>
      <c r="X697" t="s">
        <v>61</v>
      </c>
      <c r="Y697" t="s">
        <v>54</v>
      </c>
      <c r="Z697" s="12">
        <f>IF(N697&lt;=1,9,9+0.8*ROUNDUP(N697-1,0))</f>
        <v>11.4</v>
      </c>
      <c r="AA697" s="11">
        <v>-2</v>
      </c>
      <c r="AB697" s="11">
        <v>0</v>
      </c>
      <c r="AC697" s="11">
        <v>0</v>
      </c>
      <c r="AD697" s="11">
        <v>0</v>
      </c>
      <c r="AE697" s="11">
        <v>0</v>
      </c>
      <c r="AF697" s="11">
        <f t="shared" si="30"/>
        <v>0.56399999999999995</v>
      </c>
      <c r="AG697" s="11">
        <f t="shared" si="31"/>
        <v>9.9640000000000004</v>
      </c>
      <c r="AH697" s="11">
        <v>0</v>
      </c>
      <c r="AI697" s="11">
        <f t="shared" si="32"/>
        <v>9.9640000000000004</v>
      </c>
      <c r="AJ697" t="s">
        <v>62</v>
      </c>
    </row>
    <row r="698" spans="1:36" ht="15" customHeight="1" x14ac:dyDescent="0.35">
      <c r="A698">
        <v>10428918</v>
      </c>
      <c r="B698" t="s">
        <v>36</v>
      </c>
      <c r="C698" t="s">
        <v>37</v>
      </c>
      <c r="D698" s="6" t="s">
        <v>38</v>
      </c>
      <c r="E698" t="s">
        <v>2214</v>
      </c>
      <c r="F698" t="s">
        <v>40</v>
      </c>
      <c r="G698" t="s">
        <v>41</v>
      </c>
      <c r="H698" t="s">
        <v>2215</v>
      </c>
      <c r="I698" t="s">
        <v>43</v>
      </c>
      <c r="J698">
        <v>2</v>
      </c>
      <c r="K698" t="s">
        <v>44</v>
      </c>
      <c r="L698" t="s">
        <v>45</v>
      </c>
      <c r="M698" t="s">
        <v>46</v>
      </c>
      <c r="N698" s="7">
        <v>1</v>
      </c>
      <c r="O698" s="8">
        <v>45651.53974537037</v>
      </c>
      <c r="P698" s="9">
        <v>45653</v>
      </c>
      <c r="Q698" t="s">
        <v>74</v>
      </c>
      <c r="R698" t="s">
        <v>48</v>
      </c>
      <c r="S698" t="s">
        <v>49</v>
      </c>
      <c r="T698" t="s">
        <v>69</v>
      </c>
      <c r="U698" t="s">
        <v>2216</v>
      </c>
      <c r="V698">
        <v>81700</v>
      </c>
      <c r="W698" t="s">
        <v>48</v>
      </c>
      <c r="X698" t="s">
        <v>841</v>
      </c>
      <c r="Y698" t="s">
        <v>54</v>
      </c>
      <c r="Z698" s="12">
        <f>IF(N698&lt;=1,9,9+0.8*ROUNDUP(N698-1,0))</f>
        <v>9</v>
      </c>
      <c r="AA698" s="11">
        <v>-2</v>
      </c>
      <c r="AB698" s="11">
        <v>0</v>
      </c>
      <c r="AC698" s="11">
        <v>0</v>
      </c>
      <c r="AD698" s="11">
        <v>0</v>
      </c>
      <c r="AE698" s="11">
        <v>0</v>
      </c>
      <c r="AF698" s="11">
        <f t="shared" si="30"/>
        <v>0.42</v>
      </c>
      <c r="AG698" s="11">
        <f t="shared" si="31"/>
        <v>7.42</v>
      </c>
      <c r="AH698" s="11">
        <v>0</v>
      </c>
      <c r="AI698" s="11">
        <f t="shared" si="32"/>
        <v>7.42</v>
      </c>
      <c r="AJ698" t="s">
        <v>62</v>
      </c>
    </row>
    <row r="699" spans="1:36" ht="15" customHeight="1" x14ac:dyDescent="0.35">
      <c r="A699">
        <v>10428918</v>
      </c>
      <c r="B699" t="s">
        <v>36</v>
      </c>
      <c r="C699" t="s">
        <v>37</v>
      </c>
      <c r="D699" s="6" t="s">
        <v>38</v>
      </c>
      <c r="E699" t="s">
        <v>2217</v>
      </c>
      <c r="F699" t="s">
        <v>40</v>
      </c>
      <c r="G699" t="s">
        <v>41</v>
      </c>
      <c r="H699" t="s">
        <v>2218</v>
      </c>
      <c r="I699" t="s">
        <v>43</v>
      </c>
      <c r="J699">
        <v>2</v>
      </c>
      <c r="K699" t="s">
        <v>44</v>
      </c>
      <c r="L699" t="s">
        <v>45</v>
      </c>
      <c r="M699" t="s">
        <v>46</v>
      </c>
      <c r="N699" s="7">
        <v>1</v>
      </c>
      <c r="O699" s="8">
        <v>45650.767407407409</v>
      </c>
      <c r="P699" s="9">
        <v>45653</v>
      </c>
      <c r="Q699" t="s">
        <v>74</v>
      </c>
      <c r="R699" t="s">
        <v>48</v>
      </c>
      <c r="S699" t="s">
        <v>49</v>
      </c>
      <c r="T699" t="s">
        <v>101</v>
      </c>
      <c r="U699" t="s">
        <v>2219</v>
      </c>
      <c r="V699">
        <v>35500</v>
      </c>
      <c r="W699" t="s">
        <v>48</v>
      </c>
      <c r="X699" t="s">
        <v>110</v>
      </c>
      <c r="Y699" t="s">
        <v>54</v>
      </c>
      <c r="Z699" s="12">
        <f>IF(N699&lt;=1,9,9+0.8*ROUNDUP(N699-1,0))</f>
        <v>9</v>
      </c>
      <c r="AA699" s="11">
        <v>-2</v>
      </c>
      <c r="AB699" s="11">
        <v>0</v>
      </c>
      <c r="AC699" s="11">
        <v>0</v>
      </c>
      <c r="AD699" s="11">
        <v>0</v>
      </c>
      <c r="AE699" s="11">
        <v>0</v>
      </c>
      <c r="AF699" s="11">
        <f t="shared" si="30"/>
        <v>0.42</v>
      </c>
      <c r="AG699" s="11">
        <f t="shared" si="31"/>
        <v>7.42</v>
      </c>
      <c r="AH699" s="11">
        <v>0</v>
      </c>
      <c r="AI699" s="11">
        <f t="shared" si="32"/>
        <v>7.42</v>
      </c>
      <c r="AJ699" t="s">
        <v>62</v>
      </c>
    </row>
    <row r="700" spans="1:36" ht="15" customHeight="1" x14ac:dyDescent="0.35">
      <c r="A700">
        <v>10428918</v>
      </c>
      <c r="B700" t="s">
        <v>36</v>
      </c>
      <c r="C700" t="s">
        <v>37</v>
      </c>
      <c r="D700" s="6" t="s">
        <v>38</v>
      </c>
      <c r="E700" t="s">
        <v>2220</v>
      </c>
      <c r="F700" t="s">
        <v>40</v>
      </c>
      <c r="G700" t="s">
        <v>41</v>
      </c>
      <c r="H700" t="s">
        <v>2221</v>
      </c>
      <c r="I700" t="s">
        <v>43</v>
      </c>
      <c r="J700">
        <v>2</v>
      </c>
      <c r="K700" t="s">
        <v>44</v>
      </c>
      <c r="L700" t="s">
        <v>45</v>
      </c>
      <c r="M700" t="s">
        <v>46</v>
      </c>
      <c r="N700" s="7">
        <v>1</v>
      </c>
      <c r="O700" s="8">
        <v>45650.767407407409</v>
      </c>
      <c r="P700" s="9">
        <v>45653</v>
      </c>
      <c r="Q700" t="s">
        <v>74</v>
      </c>
      <c r="R700" t="s">
        <v>48</v>
      </c>
      <c r="S700" t="s">
        <v>49</v>
      </c>
      <c r="T700" t="s">
        <v>101</v>
      </c>
      <c r="U700" t="s">
        <v>2222</v>
      </c>
      <c r="V700">
        <v>31150</v>
      </c>
      <c r="W700" t="s">
        <v>48</v>
      </c>
      <c r="X700" t="s">
        <v>1401</v>
      </c>
      <c r="Y700" t="s">
        <v>54</v>
      </c>
      <c r="Z700" s="12">
        <f>IF(N700&lt;=1,9,9+0.8*ROUNDUP(N700-1,0))</f>
        <v>9</v>
      </c>
      <c r="AA700" s="11">
        <v>-2</v>
      </c>
      <c r="AB700" s="11">
        <v>0</v>
      </c>
      <c r="AC700" s="11">
        <v>0</v>
      </c>
      <c r="AD700" s="11">
        <v>0</v>
      </c>
      <c r="AE700" s="11">
        <v>0</v>
      </c>
      <c r="AF700" s="11">
        <f t="shared" si="30"/>
        <v>0.42</v>
      </c>
      <c r="AG700" s="11">
        <f t="shared" si="31"/>
        <v>7.42</v>
      </c>
      <c r="AH700" s="11">
        <v>0</v>
      </c>
      <c r="AI700" s="11">
        <f t="shared" si="32"/>
        <v>7.42</v>
      </c>
      <c r="AJ700" t="s">
        <v>62</v>
      </c>
    </row>
    <row r="701" spans="1:36" ht="15" customHeight="1" x14ac:dyDescent="0.35">
      <c r="A701">
        <v>10428918</v>
      </c>
      <c r="B701" t="s">
        <v>36</v>
      </c>
      <c r="C701" t="s">
        <v>37</v>
      </c>
      <c r="D701" s="6" t="s">
        <v>38</v>
      </c>
      <c r="E701" t="s">
        <v>2223</v>
      </c>
      <c r="F701" t="s">
        <v>40</v>
      </c>
      <c r="G701" t="s">
        <v>41</v>
      </c>
      <c r="H701" t="s">
        <v>2224</v>
      </c>
      <c r="I701" t="s">
        <v>43</v>
      </c>
      <c r="J701">
        <v>2</v>
      </c>
      <c r="K701" t="s">
        <v>44</v>
      </c>
      <c r="L701" t="s">
        <v>45</v>
      </c>
      <c r="M701" t="s">
        <v>46</v>
      </c>
      <c r="N701" s="7">
        <v>2</v>
      </c>
      <c r="O701" s="8">
        <v>45649.792974537035</v>
      </c>
      <c r="P701" s="9">
        <v>45653</v>
      </c>
      <c r="Q701" t="s">
        <v>74</v>
      </c>
      <c r="R701" t="s">
        <v>48</v>
      </c>
      <c r="S701" t="s">
        <v>49</v>
      </c>
      <c r="T701" t="s">
        <v>69</v>
      </c>
      <c r="U701" t="s">
        <v>2225</v>
      </c>
      <c r="V701">
        <v>81920</v>
      </c>
      <c r="W701" t="s">
        <v>48</v>
      </c>
      <c r="X701" t="s">
        <v>53</v>
      </c>
      <c r="Y701" t="s">
        <v>54</v>
      </c>
      <c r="Z701" s="12">
        <f>IF(N701&lt;=1,9,9+0.8*ROUNDUP(N701-1,0))</f>
        <v>9.8000000000000007</v>
      </c>
      <c r="AA701" s="11">
        <v>-2</v>
      </c>
      <c r="AB701" s="11">
        <v>0</v>
      </c>
      <c r="AC701" s="11">
        <v>0</v>
      </c>
      <c r="AD701" s="11">
        <v>0</v>
      </c>
      <c r="AE701" s="11">
        <v>0</v>
      </c>
      <c r="AF701" s="11">
        <f t="shared" si="30"/>
        <v>0.46800000000000003</v>
      </c>
      <c r="AG701" s="11">
        <f t="shared" si="31"/>
        <v>8.2680000000000007</v>
      </c>
      <c r="AH701" s="11">
        <v>0</v>
      </c>
      <c r="AI701" s="11">
        <f t="shared" si="32"/>
        <v>8.2680000000000007</v>
      </c>
      <c r="AJ701" t="s">
        <v>62</v>
      </c>
    </row>
    <row r="702" spans="1:36" ht="15" customHeight="1" x14ac:dyDescent="0.35">
      <c r="A702">
        <v>10428918</v>
      </c>
      <c r="B702" t="s">
        <v>36</v>
      </c>
      <c r="C702" t="s">
        <v>37</v>
      </c>
      <c r="D702" s="6" t="s">
        <v>38</v>
      </c>
      <c r="E702" t="s">
        <v>2226</v>
      </c>
      <c r="F702" t="s">
        <v>40</v>
      </c>
      <c r="G702" t="s">
        <v>41</v>
      </c>
      <c r="H702" t="s">
        <v>2227</v>
      </c>
      <c r="I702" t="s">
        <v>43</v>
      </c>
      <c r="J702">
        <v>2</v>
      </c>
      <c r="K702" t="s">
        <v>44</v>
      </c>
      <c r="L702" t="s">
        <v>45</v>
      </c>
      <c r="M702" t="s">
        <v>46</v>
      </c>
      <c r="N702" s="7">
        <v>5</v>
      </c>
      <c r="O702" s="8">
        <v>45652.602384259262</v>
      </c>
      <c r="P702" s="9">
        <v>45653</v>
      </c>
      <c r="Q702" t="s">
        <v>74</v>
      </c>
      <c r="R702" t="s">
        <v>48</v>
      </c>
      <c r="S702" t="s">
        <v>49</v>
      </c>
      <c r="T702" t="s">
        <v>90</v>
      </c>
      <c r="U702" t="s">
        <v>2228</v>
      </c>
      <c r="V702">
        <v>22100</v>
      </c>
      <c r="W702" t="s">
        <v>48</v>
      </c>
      <c r="X702" t="s">
        <v>425</v>
      </c>
      <c r="Y702" t="s">
        <v>54</v>
      </c>
      <c r="Z702" s="12">
        <f>IF(N702&lt;=1,9,9+0.8*ROUNDUP(N702-1,0))</f>
        <v>12.2</v>
      </c>
      <c r="AA702" s="11">
        <v>-2</v>
      </c>
      <c r="AB702" s="11">
        <v>0</v>
      </c>
      <c r="AC702" s="11">
        <v>0</v>
      </c>
      <c r="AD702" s="11">
        <v>0</v>
      </c>
      <c r="AE702" s="11">
        <v>0</v>
      </c>
      <c r="AF702" s="11">
        <f t="shared" si="30"/>
        <v>0.61199999999999999</v>
      </c>
      <c r="AG702" s="11">
        <f t="shared" si="31"/>
        <v>10.811999999999999</v>
      </c>
      <c r="AH702" s="11">
        <v>0</v>
      </c>
      <c r="AI702" s="11">
        <f t="shared" si="32"/>
        <v>10.811999999999999</v>
      </c>
      <c r="AJ702" t="s">
        <v>62</v>
      </c>
    </row>
    <row r="703" spans="1:36" ht="15" customHeight="1" x14ac:dyDescent="0.35">
      <c r="A703">
        <v>10428918</v>
      </c>
      <c r="B703" t="s">
        <v>36</v>
      </c>
      <c r="C703" t="s">
        <v>37</v>
      </c>
      <c r="D703" s="6" t="s">
        <v>38</v>
      </c>
      <c r="E703" t="s">
        <v>2229</v>
      </c>
      <c r="F703" t="s">
        <v>40</v>
      </c>
      <c r="G703" t="s">
        <v>41</v>
      </c>
      <c r="H703" t="s">
        <v>2230</v>
      </c>
      <c r="I703" t="s">
        <v>43</v>
      </c>
      <c r="J703">
        <v>2</v>
      </c>
      <c r="K703" t="s">
        <v>44</v>
      </c>
      <c r="L703" t="s">
        <v>45</v>
      </c>
      <c r="M703" t="s">
        <v>46</v>
      </c>
      <c r="N703" s="7">
        <v>1</v>
      </c>
      <c r="O703" s="8">
        <v>45649.731770833336</v>
      </c>
      <c r="P703" s="9">
        <v>45653</v>
      </c>
      <c r="Q703" t="s">
        <v>74</v>
      </c>
      <c r="R703" t="s">
        <v>48</v>
      </c>
      <c r="S703" t="s">
        <v>49</v>
      </c>
      <c r="T703" t="s">
        <v>85</v>
      </c>
      <c r="U703" t="s">
        <v>2231</v>
      </c>
      <c r="V703">
        <v>70400</v>
      </c>
      <c r="W703" t="s">
        <v>48</v>
      </c>
      <c r="X703" t="s">
        <v>503</v>
      </c>
      <c r="Y703" t="s">
        <v>54</v>
      </c>
      <c r="Z703" s="12">
        <f>IF(N703&lt;=1,9,9+0.8*ROUNDUP(N703-1,0))</f>
        <v>9</v>
      </c>
      <c r="AA703" s="11">
        <v>-2</v>
      </c>
      <c r="AB703" s="11">
        <v>0</v>
      </c>
      <c r="AC703" s="11">
        <v>0</v>
      </c>
      <c r="AD703" s="11">
        <v>0</v>
      </c>
      <c r="AE703" s="11">
        <v>0</v>
      </c>
      <c r="AF703" s="11">
        <f t="shared" si="30"/>
        <v>0.42</v>
      </c>
      <c r="AG703" s="11">
        <f t="shared" si="31"/>
        <v>7.42</v>
      </c>
      <c r="AH703" s="11">
        <v>0</v>
      </c>
      <c r="AI703" s="11">
        <f t="shared" si="32"/>
        <v>7.42</v>
      </c>
      <c r="AJ703" t="s">
        <v>62</v>
      </c>
    </row>
    <row r="704" spans="1:36" ht="15" customHeight="1" x14ac:dyDescent="0.35">
      <c r="A704">
        <v>10428918</v>
      </c>
      <c r="B704" t="s">
        <v>36</v>
      </c>
      <c r="C704" t="s">
        <v>37</v>
      </c>
      <c r="D704" s="6" t="s">
        <v>38</v>
      </c>
      <c r="E704" t="s">
        <v>2232</v>
      </c>
      <c r="F704" t="s">
        <v>40</v>
      </c>
      <c r="G704" t="s">
        <v>41</v>
      </c>
      <c r="H704" t="s">
        <v>2233</v>
      </c>
      <c r="I704" t="s">
        <v>43</v>
      </c>
      <c r="J704">
        <v>2</v>
      </c>
      <c r="K704" t="s">
        <v>44</v>
      </c>
      <c r="L704" t="s">
        <v>45</v>
      </c>
      <c r="M704" t="s">
        <v>46</v>
      </c>
      <c r="N704" s="7">
        <v>1</v>
      </c>
      <c r="O704" s="8">
        <v>45651.66070601852</v>
      </c>
      <c r="P704" s="9">
        <v>45653</v>
      </c>
      <c r="Q704" t="s">
        <v>74</v>
      </c>
      <c r="R704" t="s">
        <v>48</v>
      </c>
      <c r="S704" t="s">
        <v>49</v>
      </c>
      <c r="T704" t="s">
        <v>69</v>
      </c>
      <c r="U704" t="s">
        <v>2234</v>
      </c>
      <c r="V704">
        <v>81750</v>
      </c>
      <c r="W704" t="s">
        <v>48</v>
      </c>
      <c r="X704" t="s">
        <v>2125</v>
      </c>
      <c r="Y704" t="s">
        <v>54</v>
      </c>
      <c r="Z704" s="12">
        <f>IF(N704&lt;=1,9,9+0.8*ROUNDUP(N704-1,0))</f>
        <v>9</v>
      </c>
      <c r="AA704" s="11">
        <v>-2</v>
      </c>
      <c r="AB704" s="11">
        <v>0</v>
      </c>
      <c r="AC704" s="11">
        <v>0</v>
      </c>
      <c r="AD704" s="11">
        <v>0</v>
      </c>
      <c r="AE704" s="11">
        <v>0</v>
      </c>
      <c r="AF704" s="11">
        <f t="shared" si="30"/>
        <v>0.42</v>
      </c>
      <c r="AG704" s="11">
        <f t="shared" si="31"/>
        <v>7.42</v>
      </c>
      <c r="AH704" s="11">
        <v>0</v>
      </c>
      <c r="AI704" s="11">
        <f t="shared" si="32"/>
        <v>7.42</v>
      </c>
      <c r="AJ704" t="s">
        <v>62</v>
      </c>
    </row>
    <row r="705" spans="1:36" ht="15" customHeight="1" x14ac:dyDescent="0.35">
      <c r="A705">
        <v>10428918</v>
      </c>
      <c r="B705" t="s">
        <v>36</v>
      </c>
      <c r="C705" t="s">
        <v>37</v>
      </c>
      <c r="D705" s="6" t="s">
        <v>38</v>
      </c>
      <c r="E705" t="s">
        <v>2235</v>
      </c>
      <c r="F705" t="s">
        <v>40</v>
      </c>
      <c r="G705" t="s">
        <v>41</v>
      </c>
      <c r="H705" t="s">
        <v>2236</v>
      </c>
      <c r="I705" t="s">
        <v>43</v>
      </c>
      <c r="J705">
        <v>2</v>
      </c>
      <c r="K705" t="s">
        <v>44</v>
      </c>
      <c r="L705" t="s">
        <v>45</v>
      </c>
      <c r="M705" t="s">
        <v>46</v>
      </c>
      <c r="N705" s="7">
        <v>1</v>
      </c>
      <c r="O705" s="8">
        <v>45651.427499999998</v>
      </c>
      <c r="P705" s="9">
        <v>45653</v>
      </c>
      <c r="Q705" t="s">
        <v>74</v>
      </c>
      <c r="R705" t="s">
        <v>48</v>
      </c>
      <c r="S705" t="s">
        <v>49</v>
      </c>
      <c r="T705" t="s">
        <v>69</v>
      </c>
      <c r="U705" t="s">
        <v>2237</v>
      </c>
      <c r="V705">
        <v>80350</v>
      </c>
      <c r="W705" t="s">
        <v>48</v>
      </c>
      <c r="X705" t="s">
        <v>761</v>
      </c>
      <c r="Y705" t="s">
        <v>54</v>
      </c>
      <c r="Z705" s="12">
        <f>IF(N705&lt;=1,9,9+0.8*ROUNDUP(N705-1,0))</f>
        <v>9</v>
      </c>
      <c r="AA705" s="11">
        <v>-2</v>
      </c>
      <c r="AB705" s="11">
        <v>0</v>
      </c>
      <c r="AC705" s="11">
        <v>0</v>
      </c>
      <c r="AD705" s="11">
        <v>0</v>
      </c>
      <c r="AE705" s="11">
        <v>0</v>
      </c>
      <c r="AF705" s="11">
        <f t="shared" si="30"/>
        <v>0.42</v>
      </c>
      <c r="AG705" s="11">
        <f t="shared" si="31"/>
        <v>7.42</v>
      </c>
      <c r="AH705" s="11">
        <v>0</v>
      </c>
      <c r="AI705" s="11">
        <f t="shared" si="32"/>
        <v>7.42</v>
      </c>
      <c r="AJ705" t="s">
        <v>62</v>
      </c>
    </row>
    <row r="706" spans="1:36" ht="15" customHeight="1" x14ac:dyDescent="0.35">
      <c r="A706">
        <v>10428918</v>
      </c>
      <c r="B706" t="s">
        <v>36</v>
      </c>
      <c r="C706" t="s">
        <v>37</v>
      </c>
      <c r="D706" s="6" t="s">
        <v>38</v>
      </c>
      <c r="E706" t="s">
        <v>2238</v>
      </c>
      <c r="F706" t="s">
        <v>40</v>
      </c>
      <c r="G706" t="s">
        <v>41</v>
      </c>
      <c r="H706" t="s">
        <v>2239</v>
      </c>
      <c r="I706" t="s">
        <v>43</v>
      </c>
      <c r="J706">
        <v>2</v>
      </c>
      <c r="K706" t="s">
        <v>44</v>
      </c>
      <c r="L706" t="s">
        <v>45</v>
      </c>
      <c r="M706" t="s">
        <v>46</v>
      </c>
      <c r="N706" s="7">
        <v>1</v>
      </c>
      <c r="O706" s="8">
        <v>45650.721944444442</v>
      </c>
      <c r="P706" s="9">
        <v>45653</v>
      </c>
      <c r="Q706" t="s">
        <v>74</v>
      </c>
      <c r="R706" t="s">
        <v>48</v>
      </c>
      <c r="S706" t="s">
        <v>49</v>
      </c>
      <c r="T706" t="s">
        <v>117</v>
      </c>
      <c r="U706" t="s">
        <v>2240</v>
      </c>
      <c r="V706">
        <v>48300</v>
      </c>
      <c r="W706" t="s">
        <v>48</v>
      </c>
      <c r="X706" t="s">
        <v>254</v>
      </c>
      <c r="Y706" t="s">
        <v>54</v>
      </c>
      <c r="Z706" s="12">
        <f>IF(N706&lt;=1,9,9+0.8*ROUNDUP(N706-1,0))</f>
        <v>9</v>
      </c>
      <c r="AA706" s="11">
        <v>-2</v>
      </c>
      <c r="AB706" s="11">
        <v>0</v>
      </c>
      <c r="AC706" s="11">
        <v>0</v>
      </c>
      <c r="AD706" s="11">
        <v>0</v>
      </c>
      <c r="AE706" s="11">
        <v>0</v>
      </c>
      <c r="AF706" s="11">
        <f t="shared" ref="AF706:AF769" si="33">(Z706+AA706+AC706+AE706)*6%</f>
        <v>0.42</v>
      </c>
      <c r="AG706" s="11">
        <f t="shared" ref="AG706:AG769" si="34">Z706+AA706+AC706+AE706+AF706</f>
        <v>7.42</v>
      </c>
      <c r="AH706" s="11">
        <v>0</v>
      </c>
      <c r="AI706" s="11">
        <f t="shared" ref="AI706:AI769" si="35">AG706+AH706</f>
        <v>7.42</v>
      </c>
      <c r="AJ706" t="s">
        <v>62</v>
      </c>
    </row>
    <row r="707" spans="1:36" ht="15" customHeight="1" x14ac:dyDescent="0.35">
      <c r="A707">
        <v>10428918</v>
      </c>
      <c r="B707" t="s">
        <v>36</v>
      </c>
      <c r="C707" t="s">
        <v>37</v>
      </c>
      <c r="D707" s="6" t="s">
        <v>38</v>
      </c>
      <c r="E707" t="s">
        <v>2241</v>
      </c>
      <c r="F707" t="s">
        <v>40</v>
      </c>
      <c r="G707" t="s">
        <v>41</v>
      </c>
      <c r="H707" t="s">
        <v>2242</v>
      </c>
      <c r="I707" t="s">
        <v>43</v>
      </c>
      <c r="J707">
        <v>2</v>
      </c>
      <c r="K707" t="s">
        <v>44</v>
      </c>
      <c r="L707" t="s">
        <v>45</v>
      </c>
      <c r="M707" t="s">
        <v>46</v>
      </c>
      <c r="N707" s="7">
        <v>2</v>
      </c>
      <c r="O707" s="8">
        <v>45651.540844907409</v>
      </c>
      <c r="P707" s="9">
        <v>45653</v>
      </c>
      <c r="Q707" t="s">
        <v>74</v>
      </c>
      <c r="R707" t="s">
        <v>48</v>
      </c>
      <c r="S707" t="s">
        <v>49</v>
      </c>
      <c r="T707" t="s">
        <v>69</v>
      </c>
      <c r="U707" t="s">
        <v>2243</v>
      </c>
      <c r="V707">
        <v>81200</v>
      </c>
      <c r="W707" t="s">
        <v>48</v>
      </c>
      <c r="X707" t="s">
        <v>211</v>
      </c>
      <c r="Y707" t="s">
        <v>54</v>
      </c>
      <c r="Z707" s="12">
        <f>IF(N707&lt;=1,9,9+0.8*ROUNDUP(N707-1,0))</f>
        <v>9.8000000000000007</v>
      </c>
      <c r="AA707" s="11">
        <v>-2</v>
      </c>
      <c r="AB707" s="11">
        <v>0</v>
      </c>
      <c r="AC707" s="11">
        <v>0</v>
      </c>
      <c r="AD707" s="11">
        <v>0</v>
      </c>
      <c r="AE707" s="11">
        <v>0</v>
      </c>
      <c r="AF707" s="11">
        <f t="shared" si="33"/>
        <v>0.46800000000000003</v>
      </c>
      <c r="AG707" s="11">
        <f t="shared" si="34"/>
        <v>8.2680000000000007</v>
      </c>
      <c r="AH707" s="11">
        <v>0</v>
      </c>
      <c r="AI707" s="11">
        <f t="shared" si="35"/>
        <v>8.2680000000000007</v>
      </c>
      <c r="AJ707" t="s">
        <v>62</v>
      </c>
    </row>
    <row r="708" spans="1:36" ht="15" customHeight="1" x14ac:dyDescent="0.35">
      <c r="A708">
        <v>10428918</v>
      </c>
      <c r="B708" t="s">
        <v>36</v>
      </c>
      <c r="C708" t="s">
        <v>37</v>
      </c>
      <c r="D708" s="6" t="s">
        <v>38</v>
      </c>
      <c r="E708" t="s">
        <v>2244</v>
      </c>
      <c r="F708" t="s">
        <v>40</v>
      </c>
      <c r="G708" t="s">
        <v>41</v>
      </c>
      <c r="H708" t="s">
        <v>2245</v>
      </c>
      <c r="I708" t="s">
        <v>43</v>
      </c>
      <c r="J708">
        <v>2</v>
      </c>
      <c r="K708" t="s">
        <v>44</v>
      </c>
      <c r="L708" t="s">
        <v>45</v>
      </c>
      <c r="M708" t="s">
        <v>46</v>
      </c>
      <c r="N708" s="7">
        <v>2</v>
      </c>
      <c r="O708" s="8">
        <v>45652.548738425925</v>
      </c>
      <c r="P708" s="9">
        <v>45653</v>
      </c>
      <c r="Q708" t="s">
        <v>47</v>
      </c>
      <c r="R708" t="s">
        <v>48</v>
      </c>
      <c r="S708" t="s">
        <v>49</v>
      </c>
      <c r="T708" t="s">
        <v>117</v>
      </c>
      <c r="U708" t="s">
        <v>2246</v>
      </c>
      <c r="V708">
        <v>43650</v>
      </c>
      <c r="W708" t="s">
        <v>48</v>
      </c>
      <c r="X708" t="s">
        <v>191</v>
      </c>
      <c r="Y708" t="s">
        <v>54</v>
      </c>
      <c r="Z708" s="12">
        <f>IF(N708&lt;=1,9,9+0.8*ROUNDUP(N708-1,0))</f>
        <v>9.8000000000000007</v>
      </c>
      <c r="AA708" s="11">
        <v>-2</v>
      </c>
      <c r="AB708" s="11">
        <v>0</v>
      </c>
      <c r="AC708" s="11">
        <v>0</v>
      </c>
      <c r="AD708" s="11">
        <v>0</v>
      </c>
      <c r="AE708" s="11">
        <v>0</v>
      </c>
      <c r="AF708" s="11">
        <f t="shared" si="33"/>
        <v>0.46800000000000003</v>
      </c>
      <c r="AG708" s="11">
        <f t="shared" si="34"/>
        <v>8.2680000000000007</v>
      </c>
      <c r="AH708" s="11">
        <v>0</v>
      </c>
      <c r="AI708" s="11">
        <f t="shared" si="35"/>
        <v>8.2680000000000007</v>
      </c>
      <c r="AJ708" t="s">
        <v>62</v>
      </c>
    </row>
    <row r="709" spans="1:36" ht="15" customHeight="1" x14ac:dyDescent="0.35">
      <c r="A709">
        <v>10428918</v>
      </c>
      <c r="B709" t="s">
        <v>36</v>
      </c>
      <c r="C709" t="s">
        <v>37</v>
      </c>
      <c r="D709" s="6" t="s">
        <v>38</v>
      </c>
      <c r="E709" t="s">
        <v>2247</v>
      </c>
      <c r="F709" t="s">
        <v>40</v>
      </c>
      <c r="G709" t="s">
        <v>41</v>
      </c>
      <c r="H709" t="s">
        <v>2248</v>
      </c>
      <c r="I709" t="s">
        <v>43</v>
      </c>
      <c r="J709">
        <v>2</v>
      </c>
      <c r="K709" t="s">
        <v>44</v>
      </c>
      <c r="L709" t="s">
        <v>45</v>
      </c>
      <c r="M709" t="s">
        <v>46</v>
      </c>
      <c r="N709" s="7">
        <v>1</v>
      </c>
      <c r="O709" s="8">
        <v>45652.68372685185</v>
      </c>
      <c r="P709" s="9">
        <v>45653</v>
      </c>
      <c r="Q709" t="s">
        <v>47</v>
      </c>
      <c r="R709" t="s">
        <v>48</v>
      </c>
      <c r="S709" t="s">
        <v>49</v>
      </c>
      <c r="T709" t="s">
        <v>117</v>
      </c>
      <c r="U709" t="s">
        <v>2249</v>
      </c>
      <c r="V709">
        <v>68100</v>
      </c>
      <c r="W709" t="s">
        <v>48</v>
      </c>
      <c r="X709" t="s">
        <v>490</v>
      </c>
      <c r="Y709" t="s">
        <v>54</v>
      </c>
      <c r="Z709" s="12">
        <f>IF(N709&lt;=1,9,9+0.8*ROUNDUP(N709-1,0))</f>
        <v>9</v>
      </c>
      <c r="AA709" s="11">
        <v>-2</v>
      </c>
      <c r="AB709" s="11">
        <v>0</v>
      </c>
      <c r="AC709" s="11">
        <v>0</v>
      </c>
      <c r="AD709" s="11">
        <v>0</v>
      </c>
      <c r="AE709" s="11">
        <v>0</v>
      </c>
      <c r="AF709" s="11">
        <f t="shared" si="33"/>
        <v>0.42</v>
      </c>
      <c r="AG709" s="11">
        <f t="shared" si="34"/>
        <v>7.42</v>
      </c>
      <c r="AH709" s="11">
        <v>0</v>
      </c>
      <c r="AI709" s="11">
        <f t="shared" si="35"/>
        <v>7.42</v>
      </c>
      <c r="AJ709" t="s">
        <v>62</v>
      </c>
    </row>
    <row r="710" spans="1:36" ht="15" customHeight="1" x14ac:dyDescent="0.35">
      <c r="A710">
        <v>10428918</v>
      </c>
      <c r="B710" t="s">
        <v>36</v>
      </c>
      <c r="C710" t="s">
        <v>37</v>
      </c>
      <c r="D710" s="6" t="s">
        <v>38</v>
      </c>
      <c r="E710" t="s">
        <v>2250</v>
      </c>
      <c r="F710" t="s">
        <v>40</v>
      </c>
      <c r="G710" t="s">
        <v>41</v>
      </c>
      <c r="H710" t="s">
        <v>2251</v>
      </c>
      <c r="I710" t="s">
        <v>43</v>
      </c>
      <c r="J710">
        <v>2</v>
      </c>
      <c r="K710" t="s">
        <v>44</v>
      </c>
      <c r="L710" t="s">
        <v>45</v>
      </c>
      <c r="M710" t="s">
        <v>46</v>
      </c>
      <c r="N710" s="7">
        <v>1</v>
      </c>
      <c r="O710" s="8">
        <v>45651.739918981482</v>
      </c>
      <c r="P710" s="9">
        <v>45653</v>
      </c>
      <c r="Q710" t="s">
        <v>47</v>
      </c>
      <c r="R710" t="s">
        <v>48</v>
      </c>
      <c r="S710" t="s">
        <v>49</v>
      </c>
      <c r="T710" t="s">
        <v>117</v>
      </c>
      <c r="U710" t="s">
        <v>2252</v>
      </c>
      <c r="V710">
        <v>43300</v>
      </c>
      <c r="W710" t="s">
        <v>48</v>
      </c>
      <c r="X710" t="s">
        <v>917</v>
      </c>
      <c r="Y710" t="s">
        <v>54</v>
      </c>
      <c r="Z710" s="12">
        <f>IF(N710&lt;=1,9,9+0.8*ROUNDUP(N710-1,0))</f>
        <v>9</v>
      </c>
      <c r="AA710" s="11">
        <v>-2</v>
      </c>
      <c r="AB710" s="11">
        <v>0</v>
      </c>
      <c r="AC710" s="11">
        <v>0</v>
      </c>
      <c r="AD710" s="11">
        <v>0</v>
      </c>
      <c r="AE710" s="11">
        <v>0</v>
      </c>
      <c r="AF710" s="11">
        <f t="shared" si="33"/>
        <v>0.42</v>
      </c>
      <c r="AG710" s="11">
        <f t="shared" si="34"/>
        <v>7.42</v>
      </c>
      <c r="AH710" s="11">
        <v>0</v>
      </c>
      <c r="AI710" s="11">
        <f t="shared" si="35"/>
        <v>7.42</v>
      </c>
      <c r="AJ710" t="s">
        <v>62</v>
      </c>
    </row>
    <row r="711" spans="1:36" ht="15" customHeight="1" x14ac:dyDescent="0.35">
      <c r="A711">
        <v>10428918</v>
      </c>
      <c r="B711" t="s">
        <v>36</v>
      </c>
      <c r="C711" t="s">
        <v>37</v>
      </c>
      <c r="D711" s="6" t="s">
        <v>38</v>
      </c>
      <c r="E711" t="s">
        <v>2253</v>
      </c>
      <c r="F711" t="s">
        <v>40</v>
      </c>
      <c r="G711" t="s">
        <v>41</v>
      </c>
      <c r="H711" t="s">
        <v>2254</v>
      </c>
      <c r="I711" t="s">
        <v>43</v>
      </c>
      <c r="J711">
        <v>2</v>
      </c>
      <c r="K711" t="s">
        <v>44</v>
      </c>
      <c r="L711" t="s">
        <v>45</v>
      </c>
      <c r="M711" t="s">
        <v>46</v>
      </c>
      <c r="N711" s="7">
        <v>1</v>
      </c>
      <c r="O711" s="8">
        <v>45651.754131944443</v>
      </c>
      <c r="P711" s="9">
        <v>45653</v>
      </c>
      <c r="Q711" t="s">
        <v>47</v>
      </c>
      <c r="R711" t="s">
        <v>48</v>
      </c>
      <c r="S711" t="s">
        <v>49</v>
      </c>
      <c r="T711" t="s">
        <v>117</v>
      </c>
      <c r="U711" t="s">
        <v>2255</v>
      </c>
      <c r="V711">
        <v>42300</v>
      </c>
      <c r="W711" t="s">
        <v>48</v>
      </c>
      <c r="X711" t="s">
        <v>548</v>
      </c>
      <c r="Y711" t="s">
        <v>54</v>
      </c>
      <c r="Z711" s="12">
        <f>IF(N711&lt;=1,9,9+0.8*ROUNDUP(N711-1,0))</f>
        <v>9</v>
      </c>
      <c r="AA711" s="11">
        <v>-2</v>
      </c>
      <c r="AB711" s="11">
        <v>0</v>
      </c>
      <c r="AC711" s="11">
        <v>0</v>
      </c>
      <c r="AD711" s="11">
        <v>0</v>
      </c>
      <c r="AE711" s="11">
        <v>0</v>
      </c>
      <c r="AF711" s="11">
        <f t="shared" si="33"/>
        <v>0.42</v>
      </c>
      <c r="AG711" s="11">
        <f t="shared" si="34"/>
        <v>7.42</v>
      </c>
      <c r="AH711" s="11">
        <v>0</v>
      </c>
      <c r="AI711" s="11">
        <f t="shared" si="35"/>
        <v>7.42</v>
      </c>
      <c r="AJ711" t="s">
        <v>62</v>
      </c>
    </row>
    <row r="712" spans="1:36" ht="15" customHeight="1" x14ac:dyDescent="0.35">
      <c r="A712">
        <v>10428918</v>
      </c>
      <c r="B712" t="s">
        <v>36</v>
      </c>
      <c r="C712" t="s">
        <v>37</v>
      </c>
      <c r="D712" s="6" t="s">
        <v>38</v>
      </c>
      <c r="E712" t="s">
        <v>2256</v>
      </c>
      <c r="F712" t="s">
        <v>40</v>
      </c>
      <c r="G712" t="s">
        <v>41</v>
      </c>
      <c r="H712" t="s">
        <v>2257</v>
      </c>
      <c r="I712" t="s">
        <v>43</v>
      </c>
      <c r="J712">
        <v>2</v>
      </c>
      <c r="K712" t="s">
        <v>44</v>
      </c>
      <c r="L712" t="s">
        <v>45</v>
      </c>
      <c r="M712" t="s">
        <v>46</v>
      </c>
      <c r="N712" s="7">
        <v>1</v>
      </c>
      <c r="O712" s="8">
        <v>45652.53465277778</v>
      </c>
      <c r="P712" s="9">
        <v>45653</v>
      </c>
      <c r="Q712" t="s">
        <v>47</v>
      </c>
      <c r="R712" t="s">
        <v>48</v>
      </c>
      <c r="S712" t="s">
        <v>49</v>
      </c>
      <c r="T712" t="s">
        <v>117</v>
      </c>
      <c r="U712" t="s">
        <v>2258</v>
      </c>
      <c r="V712">
        <v>43400</v>
      </c>
      <c r="W712" t="s">
        <v>48</v>
      </c>
      <c r="X712" t="s">
        <v>53</v>
      </c>
      <c r="Y712" t="s">
        <v>54</v>
      </c>
      <c r="Z712" s="12">
        <f>IF(N712&lt;=1,9,9+0.8*ROUNDUP(N712-1,0))</f>
        <v>9</v>
      </c>
      <c r="AA712" s="11">
        <v>-2</v>
      </c>
      <c r="AB712" s="11">
        <v>0</v>
      </c>
      <c r="AC712" s="11">
        <v>0</v>
      </c>
      <c r="AD712" s="11">
        <v>0</v>
      </c>
      <c r="AE712" s="11">
        <v>0</v>
      </c>
      <c r="AF712" s="11">
        <f t="shared" si="33"/>
        <v>0.42</v>
      </c>
      <c r="AG712" s="11">
        <f t="shared" si="34"/>
        <v>7.42</v>
      </c>
      <c r="AH712" s="11">
        <v>0</v>
      </c>
      <c r="AI712" s="11">
        <f t="shared" si="35"/>
        <v>7.42</v>
      </c>
      <c r="AJ712" t="s">
        <v>62</v>
      </c>
    </row>
    <row r="713" spans="1:36" ht="15" customHeight="1" x14ac:dyDescent="0.35">
      <c r="A713">
        <v>10428918</v>
      </c>
      <c r="B713" t="s">
        <v>36</v>
      </c>
      <c r="C713" t="s">
        <v>37</v>
      </c>
      <c r="D713" s="6" t="s">
        <v>38</v>
      </c>
      <c r="E713" t="s">
        <v>2259</v>
      </c>
      <c r="F713" t="s">
        <v>40</v>
      </c>
      <c r="G713" t="s">
        <v>41</v>
      </c>
      <c r="H713" t="s">
        <v>2260</v>
      </c>
      <c r="I713" t="s">
        <v>43</v>
      </c>
      <c r="J713">
        <v>2</v>
      </c>
      <c r="K713" t="s">
        <v>44</v>
      </c>
      <c r="L713" t="s">
        <v>45</v>
      </c>
      <c r="M713" t="s">
        <v>46</v>
      </c>
      <c r="N713" s="7">
        <v>1</v>
      </c>
      <c r="O713" s="8">
        <v>45651.745046296295</v>
      </c>
      <c r="P713" s="9">
        <v>45653</v>
      </c>
      <c r="Q713" t="s">
        <v>47</v>
      </c>
      <c r="R713" t="s">
        <v>48</v>
      </c>
      <c r="S713" t="s">
        <v>49</v>
      </c>
      <c r="T713" t="s">
        <v>117</v>
      </c>
      <c r="U713" t="s">
        <v>2261</v>
      </c>
      <c r="V713">
        <v>40300</v>
      </c>
      <c r="W713" t="s">
        <v>48</v>
      </c>
      <c r="X713" t="s">
        <v>53</v>
      </c>
      <c r="Y713" t="s">
        <v>54</v>
      </c>
      <c r="Z713" s="12">
        <f>IF(N713&lt;=1,9,9+0.8*ROUNDUP(N713-1,0))</f>
        <v>9</v>
      </c>
      <c r="AA713" s="11">
        <v>-2</v>
      </c>
      <c r="AB713" s="11">
        <v>0</v>
      </c>
      <c r="AC713" s="11">
        <v>0</v>
      </c>
      <c r="AD713" s="11">
        <v>0</v>
      </c>
      <c r="AE713" s="11">
        <v>0</v>
      </c>
      <c r="AF713" s="11">
        <f t="shared" si="33"/>
        <v>0.42</v>
      </c>
      <c r="AG713" s="11">
        <f t="shared" si="34"/>
        <v>7.42</v>
      </c>
      <c r="AH713" s="11">
        <v>0</v>
      </c>
      <c r="AI713" s="11">
        <f t="shared" si="35"/>
        <v>7.42</v>
      </c>
      <c r="AJ713" t="s">
        <v>62</v>
      </c>
    </row>
    <row r="714" spans="1:36" ht="15" customHeight="1" x14ac:dyDescent="0.35">
      <c r="A714">
        <v>10428918</v>
      </c>
      <c r="B714" t="s">
        <v>36</v>
      </c>
      <c r="C714" t="s">
        <v>37</v>
      </c>
      <c r="D714" s="6" t="s">
        <v>38</v>
      </c>
      <c r="E714" t="s">
        <v>2262</v>
      </c>
      <c r="F714" t="s">
        <v>40</v>
      </c>
      <c r="G714" t="s">
        <v>41</v>
      </c>
      <c r="H714" t="s">
        <v>2263</v>
      </c>
      <c r="I714" t="s">
        <v>43</v>
      </c>
      <c r="J714">
        <v>2</v>
      </c>
      <c r="K714" t="s">
        <v>44</v>
      </c>
      <c r="L714" t="s">
        <v>45</v>
      </c>
      <c r="M714" t="s">
        <v>46</v>
      </c>
      <c r="N714" s="7">
        <v>4</v>
      </c>
      <c r="O714" s="8">
        <v>45650.421331018515</v>
      </c>
      <c r="P714" s="9">
        <v>45653</v>
      </c>
      <c r="Q714" t="s">
        <v>74</v>
      </c>
      <c r="R714" t="s">
        <v>48</v>
      </c>
      <c r="S714" t="s">
        <v>49</v>
      </c>
      <c r="T714" t="s">
        <v>85</v>
      </c>
      <c r="U714" t="s">
        <v>2264</v>
      </c>
      <c r="V714">
        <v>71400</v>
      </c>
      <c r="W714" t="s">
        <v>48</v>
      </c>
      <c r="X714" t="s">
        <v>53</v>
      </c>
      <c r="Y714" t="s">
        <v>54</v>
      </c>
      <c r="Z714" s="12">
        <f>IF(N714&lt;=1,9,9+0.8*ROUNDUP(N714-1,0))</f>
        <v>11.4</v>
      </c>
      <c r="AA714" s="11">
        <v>-2</v>
      </c>
      <c r="AB714" s="11">
        <v>0</v>
      </c>
      <c r="AC714" s="11">
        <v>0</v>
      </c>
      <c r="AD714" s="11">
        <v>0</v>
      </c>
      <c r="AE714" s="11">
        <v>0</v>
      </c>
      <c r="AF714" s="11">
        <f t="shared" si="33"/>
        <v>0.56399999999999995</v>
      </c>
      <c r="AG714" s="11">
        <f t="shared" si="34"/>
        <v>9.9640000000000004</v>
      </c>
      <c r="AH714" s="11">
        <v>0</v>
      </c>
      <c r="AI714" s="11">
        <f t="shared" si="35"/>
        <v>9.9640000000000004</v>
      </c>
      <c r="AJ714" t="s">
        <v>62</v>
      </c>
    </row>
    <row r="715" spans="1:36" ht="15" customHeight="1" x14ac:dyDescent="0.35">
      <c r="A715">
        <v>10428918</v>
      </c>
      <c r="B715" t="s">
        <v>36</v>
      </c>
      <c r="C715" t="s">
        <v>37</v>
      </c>
      <c r="D715" s="6" t="s">
        <v>38</v>
      </c>
      <c r="E715" t="s">
        <v>2265</v>
      </c>
      <c r="F715" t="s">
        <v>40</v>
      </c>
      <c r="G715" t="s">
        <v>41</v>
      </c>
      <c r="H715" t="s">
        <v>2266</v>
      </c>
      <c r="I715" t="s">
        <v>43</v>
      </c>
      <c r="J715">
        <v>2</v>
      </c>
      <c r="K715" t="s">
        <v>44</v>
      </c>
      <c r="L715" t="s">
        <v>45</v>
      </c>
      <c r="M715" t="s">
        <v>46</v>
      </c>
      <c r="N715" s="7">
        <v>1</v>
      </c>
      <c r="O715" s="8">
        <v>45652.548726851855</v>
      </c>
      <c r="P715" s="9">
        <v>45653</v>
      </c>
      <c r="Q715" t="s">
        <v>47</v>
      </c>
      <c r="R715" t="s">
        <v>48</v>
      </c>
      <c r="S715" t="s">
        <v>49</v>
      </c>
      <c r="T715" t="s">
        <v>117</v>
      </c>
      <c r="U715" t="s">
        <v>2267</v>
      </c>
      <c r="V715">
        <v>43200</v>
      </c>
      <c r="W715" t="s">
        <v>48</v>
      </c>
      <c r="X715" t="s">
        <v>330</v>
      </c>
      <c r="Y715" t="s">
        <v>54</v>
      </c>
      <c r="Z715" s="12">
        <f>IF(N715&lt;=1,9,9+0.8*ROUNDUP(N715-1,0))</f>
        <v>9</v>
      </c>
      <c r="AA715" s="11">
        <v>-2</v>
      </c>
      <c r="AB715" s="11">
        <v>0</v>
      </c>
      <c r="AC715" s="11">
        <v>0</v>
      </c>
      <c r="AD715" s="11">
        <v>0</v>
      </c>
      <c r="AE715" s="11">
        <v>0</v>
      </c>
      <c r="AF715" s="11">
        <f t="shared" si="33"/>
        <v>0.42</v>
      </c>
      <c r="AG715" s="11">
        <f t="shared" si="34"/>
        <v>7.42</v>
      </c>
      <c r="AH715" s="11">
        <v>0</v>
      </c>
      <c r="AI715" s="11">
        <f t="shared" si="35"/>
        <v>7.42</v>
      </c>
      <c r="AJ715" t="s">
        <v>62</v>
      </c>
    </row>
    <row r="716" spans="1:36" ht="15" customHeight="1" x14ac:dyDescent="0.35">
      <c r="A716">
        <v>10428918</v>
      </c>
      <c r="B716" t="s">
        <v>36</v>
      </c>
      <c r="C716" t="s">
        <v>37</v>
      </c>
      <c r="D716" s="6" t="s">
        <v>38</v>
      </c>
      <c r="E716" t="s">
        <v>2268</v>
      </c>
      <c r="F716" t="s">
        <v>40</v>
      </c>
      <c r="G716" t="s">
        <v>41</v>
      </c>
      <c r="H716" t="s">
        <v>2269</v>
      </c>
      <c r="I716" t="s">
        <v>43</v>
      </c>
      <c r="J716">
        <v>2</v>
      </c>
      <c r="K716" t="s">
        <v>44</v>
      </c>
      <c r="L716" t="s">
        <v>45</v>
      </c>
      <c r="M716" t="s">
        <v>46</v>
      </c>
      <c r="N716" s="7">
        <v>1</v>
      </c>
      <c r="O716" s="8">
        <v>45649.738969907405</v>
      </c>
      <c r="P716" s="9">
        <v>45653</v>
      </c>
      <c r="Q716" t="s">
        <v>74</v>
      </c>
      <c r="R716" t="s">
        <v>48</v>
      </c>
      <c r="S716" t="s">
        <v>49</v>
      </c>
      <c r="T716" t="s">
        <v>117</v>
      </c>
      <c r="U716" t="s">
        <v>2270</v>
      </c>
      <c r="V716">
        <v>42600</v>
      </c>
      <c r="W716" t="s">
        <v>48</v>
      </c>
      <c r="X716" t="s">
        <v>172</v>
      </c>
      <c r="Y716" t="s">
        <v>54</v>
      </c>
      <c r="Z716" s="12">
        <f>IF(N716&lt;=1,9,9+0.8*ROUNDUP(N716-1,0))</f>
        <v>9</v>
      </c>
      <c r="AA716" s="11">
        <v>-2</v>
      </c>
      <c r="AB716" s="11">
        <v>0</v>
      </c>
      <c r="AC716" s="11">
        <v>0</v>
      </c>
      <c r="AD716" s="11">
        <v>0</v>
      </c>
      <c r="AE716" s="11">
        <v>0</v>
      </c>
      <c r="AF716" s="11">
        <f t="shared" si="33"/>
        <v>0.42</v>
      </c>
      <c r="AG716" s="11">
        <f t="shared" si="34"/>
        <v>7.42</v>
      </c>
      <c r="AH716" s="11">
        <v>0</v>
      </c>
      <c r="AI716" s="11">
        <f t="shared" si="35"/>
        <v>7.42</v>
      </c>
      <c r="AJ716" t="s">
        <v>62</v>
      </c>
    </row>
    <row r="717" spans="1:36" ht="15" customHeight="1" x14ac:dyDescent="0.35">
      <c r="A717">
        <v>10428918</v>
      </c>
      <c r="B717" t="s">
        <v>36</v>
      </c>
      <c r="C717" t="s">
        <v>37</v>
      </c>
      <c r="D717" s="6" t="s">
        <v>38</v>
      </c>
      <c r="E717" t="s">
        <v>2271</v>
      </c>
      <c r="F717" t="s">
        <v>40</v>
      </c>
      <c r="G717" t="s">
        <v>41</v>
      </c>
      <c r="H717" t="s">
        <v>2272</v>
      </c>
      <c r="I717" t="s">
        <v>43</v>
      </c>
      <c r="J717">
        <v>2</v>
      </c>
      <c r="K717" t="s">
        <v>44</v>
      </c>
      <c r="L717" t="s">
        <v>45</v>
      </c>
      <c r="M717" t="s">
        <v>46</v>
      </c>
      <c r="N717" s="7">
        <v>3</v>
      </c>
      <c r="O717" s="8">
        <v>45651.7109375</v>
      </c>
      <c r="P717" s="9">
        <v>45653</v>
      </c>
      <c r="Q717" t="s">
        <v>74</v>
      </c>
      <c r="R717" t="s">
        <v>48</v>
      </c>
      <c r="S717" t="s">
        <v>49</v>
      </c>
      <c r="T717" t="s">
        <v>170</v>
      </c>
      <c r="U717" t="s">
        <v>2273</v>
      </c>
      <c r="V717">
        <v>56000</v>
      </c>
      <c r="W717" t="s">
        <v>48</v>
      </c>
      <c r="X717" t="s">
        <v>343</v>
      </c>
      <c r="Y717" t="s">
        <v>54</v>
      </c>
      <c r="Z717" s="12">
        <f>IF(N717&lt;=1,9,9+0.8*ROUNDUP(N717-1,0))</f>
        <v>10.6</v>
      </c>
      <c r="AA717" s="11">
        <v>-2</v>
      </c>
      <c r="AB717" s="11">
        <v>0</v>
      </c>
      <c r="AC717" s="11">
        <v>0</v>
      </c>
      <c r="AD717" s="11">
        <v>0</v>
      </c>
      <c r="AE717" s="11">
        <v>0</v>
      </c>
      <c r="AF717" s="11">
        <f t="shared" si="33"/>
        <v>0.51600000000000001</v>
      </c>
      <c r="AG717" s="11">
        <f t="shared" si="34"/>
        <v>9.1159999999999997</v>
      </c>
      <c r="AH717" s="11">
        <v>0</v>
      </c>
      <c r="AI717" s="11">
        <f t="shared" si="35"/>
        <v>9.1159999999999997</v>
      </c>
      <c r="AJ717" t="s">
        <v>62</v>
      </c>
    </row>
    <row r="718" spans="1:36" ht="15" customHeight="1" x14ac:dyDescent="0.35">
      <c r="A718">
        <v>10428918</v>
      </c>
      <c r="B718" t="s">
        <v>36</v>
      </c>
      <c r="C718" t="s">
        <v>37</v>
      </c>
      <c r="D718" s="6" t="s">
        <v>38</v>
      </c>
      <c r="E718" t="s">
        <v>2274</v>
      </c>
      <c r="F718" t="s">
        <v>40</v>
      </c>
      <c r="G718" t="s">
        <v>41</v>
      </c>
      <c r="H718" t="s">
        <v>2275</v>
      </c>
      <c r="I718" t="s">
        <v>43</v>
      </c>
      <c r="J718">
        <v>2</v>
      </c>
      <c r="K718" t="s">
        <v>44</v>
      </c>
      <c r="L718" t="s">
        <v>45</v>
      </c>
      <c r="M718" t="s">
        <v>46</v>
      </c>
      <c r="N718" s="7">
        <v>2</v>
      </c>
      <c r="O718" s="8">
        <v>45652.548715277779</v>
      </c>
      <c r="P718" s="9">
        <v>45654</v>
      </c>
      <c r="Q718" t="s">
        <v>47</v>
      </c>
      <c r="R718" t="s">
        <v>48</v>
      </c>
      <c r="S718" t="s">
        <v>49</v>
      </c>
      <c r="T718" t="s">
        <v>69</v>
      </c>
      <c r="U718" t="s">
        <v>2276</v>
      </c>
      <c r="V718">
        <v>81700</v>
      </c>
      <c r="W718" t="s">
        <v>48</v>
      </c>
      <c r="X718" t="s">
        <v>841</v>
      </c>
      <c r="Y718" t="s">
        <v>54</v>
      </c>
      <c r="Z718" s="12">
        <f>IF(N718&lt;=1,9,9+0.8*ROUNDUP(N718-1,0))</f>
        <v>9.8000000000000007</v>
      </c>
      <c r="AA718" s="11">
        <v>-2</v>
      </c>
      <c r="AB718" s="11">
        <v>0</v>
      </c>
      <c r="AC718" s="11">
        <v>0</v>
      </c>
      <c r="AD718" s="11">
        <v>0</v>
      </c>
      <c r="AE718" s="11">
        <v>0</v>
      </c>
      <c r="AF718" s="11">
        <f t="shared" si="33"/>
        <v>0.46800000000000003</v>
      </c>
      <c r="AG718" s="11">
        <f t="shared" si="34"/>
        <v>8.2680000000000007</v>
      </c>
      <c r="AH718" s="11">
        <v>0</v>
      </c>
      <c r="AI718" s="11">
        <f t="shared" si="35"/>
        <v>8.2680000000000007</v>
      </c>
      <c r="AJ718" t="s">
        <v>62</v>
      </c>
    </row>
    <row r="719" spans="1:36" ht="15" customHeight="1" x14ac:dyDescent="0.35">
      <c r="A719">
        <v>10428918</v>
      </c>
      <c r="B719" t="s">
        <v>36</v>
      </c>
      <c r="C719" t="s">
        <v>37</v>
      </c>
      <c r="D719" s="6" t="s">
        <v>38</v>
      </c>
      <c r="E719" t="s">
        <v>2277</v>
      </c>
      <c r="F719" t="s">
        <v>40</v>
      </c>
      <c r="G719" t="s">
        <v>41</v>
      </c>
      <c r="H719" t="s">
        <v>2278</v>
      </c>
      <c r="I719" t="s">
        <v>43</v>
      </c>
      <c r="J719">
        <v>2</v>
      </c>
      <c r="K719" t="s">
        <v>44</v>
      </c>
      <c r="L719" t="s">
        <v>45</v>
      </c>
      <c r="M719" t="s">
        <v>46</v>
      </c>
      <c r="N719" s="7">
        <v>2</v>
      </c>
      <c r="O719" s="8">
        <v>45652.895879629628</v>
      </c>
      <c r="P719" s="9">
        <v>45654</v>
      </c>
      <c r="Q719" t="s">
        <v>58</v>
      </c>
      <c r="R719" t="s">
        <v>48</v>
      </c>
      <c r="S719" t="s">
        <v>49</v>
      </c>
      <c r="T719" t="s">
        <v>90</v>
      </c>
      <c r="U719" t="s">
        <v>2279</v>
      </c>
      <c r="V719">
        <v>20050</v>
      </c>
      <c r="W719" t="s">
        <v>48</v>
      </c>
      <c r="X719" t="s">
        <v>61</v>
      </c>
      <c r="Y719" t="s">
        <v>54</v>
      </c>
      <c r="Z719" s="12">
        <f>IF(N719&lt;=1,9,9+0.8*ROUNDUP(N719-1,0))</f>
        <v>9.8000000000000007</v>
      </c>
      <c r="AA719" s="11">
        <v>-2</v>
      </c>
      <c r="AB719" s="11">
        <v>0</v>
      </c>
      <c r="AC719" s="11">
        <v>0</v>
      </c>
      <c r="AD719" s="11">
        <v>0</v>
      </c>
      <c r="AE719" s="11">
        <v>0</v>
      </c>
      <c r="AF719" s="11">
        <f t="shared" si="33"/>
        <v>0.46800000000000003</v>
      </c>
      <c r="AG719" s="11">
        <f t="shared" si="34"/>
        <v>8.2680000000000007</v>
      </c>
      <c r="AH719" s="11">
        <v>0</v>
      </c>
      <c r="AI719" s="11">
        <f t="shared" si="35"/>
        <v>8.2680000000000007</v>
      </c>
      <c r="AJ719" t="s">
        <v>62</v>
      </c>
    </row>
    <row r="720" spans="1:36" ht="15" customHeight="1" x14ac:dyDescent="0.35">
      <c r="A720">
        <v>10428918</v>
      </c>
      <c r="B720" t="s">
        <v>36</v>
      </c>
      <c r="C720" t="s">
        <v>37</v>
      </c>
      <c r="D720" s="6" t="s">
        <v>38</v>
      </c>
      <c r="E720" t="s">
        <v>2280</v>
      </c>
      <c r="F720" t="s">
        <v>40</v>
      </c>
      <c r="G720" t="s">
        <v>41</v>
      </c>
      <c r="H720" t="s">
        <v>2281</v>
      </c>
      <c r="I720" t="s">
        <v>43</v>
      </c>
      <c r="J720">
        <v>2</v>
      </c>
      <c r="K720" t="s">
        <v>44</v>
      </c>
      <c r="L720" t="s">
        <v>45</v>
      </c>
      <c r="M720" t="s">
        <v>46</v>
      </c>
      <c r="N720" s="7">
        <v>1</v>
      </c>
      <c r="O720" s="8">
        <v>45652.905081018522</v>
      </c>
      <c r="P720" s="9">
        <v>45654</v>
      </c>
      <c r="Q720" t="s">
        <v>58</v>
      </c>
      <c r="R720" t="s">
        <v>48</v>
      </c>
      <c r="S720" t="s">
        <v>49</v>
      </c>
      <c r="T720" t="s">
        <v>65</v>
      </c>
      <c r="U720" t="s">
        <v>2282</v>
      </c>
      <c r="V720">
        <v>78300</v>
      </c>
      <c r="W720" t="s">
        <v>48</v>
      </c>
      <c r="X720" t="s">
        <v>406</v>
      </c>
      <c r="Y720" t="s">
        <v>54</v>
      </c>
      <c r="Z720" s="12">
        <f>IF(N720&lt;=1,9,9+0.8*ROUNDUP(N720-1,0))</f>
        <v>9</v>
      </c>
      <c r="AA720" s="11">
        <v>-2</v>
      </c>
      <c r="AB720" s="11">
        <v>0</v>
      </c>
      <c r="AC720" s="11">
        <v>0</v>
      </c>
      <c r="AD720" s="11">
        <v>0</v>
      </c>
      <c r="AE720" s="11">
        <v>0</v>
      </c>
      <c r="AF720" s="11">
        <f t="shared" si="33"/>
        <v>0.42</v>
      </c>
      <c r="AG720" s="11">
        <f t="shared" si="34"/>
        <v>7.42</v>
      </c>
      <c r="AH720" s="11">
        <v>0</v>
      </c>
      <c r="AI720" s="11">
        <f t="shared" si="35"/>
        <v>7.42</v>
      </c>
      <c r="AJ720" t="s">
        <v>62</v>
      </c>
    </row>
    <row r="721" spans="1:36" ht="15" customHeight="1" x14ac:dyDescent="0.35">
      <c r="A721">
        <v>10428918</v>
      </c>
      <c r="B721" t="s">
        <v>36</v>
      </c>
      <c r="C721" t="s">
        <v>37</v>
      </c>
      <c r="D721" s="6" t="s">
        <v>38</v>
      </c>
      <c r="E721" t="s">
        <v>2283</v>
      </c>
      <c r="F721" t="s">
        <v>40</v>
      </c>
      <c r="G721" t="s">
        <v>41</v>
      </c>
      <c r="H721" t="s">
        <v>2284</v>
      </c>
      <c r="I721" t="s">
        <v>43</v>
      </c>
      <c r="J721">
        <v>2</v>
      </c>
      <c r="K721" t="s">
        <v>44</v>
      </c>
      <c r="L721" t="s">
        <v>45</v>
      </c>
      <c r="M721" t="s">
        <v>46</v>
      </c>
      <c r="N721" s="7">
        <v>1</v>
      </c>
      <c r="O721" s="8">
        <v>45652.85359953704</v>
      </c>
      <c r="P721" s="9">
        <v>45654</v>
      </c>
      <c r="Q721" t="s">
        <v>58</v>
      </c>
      <c r="R721" t="s">
        <v>48</v>
      </c>
      <c r="S721" t="s">
        <v>49</v>
      </c>
      <c r="T721" t="s">
        <v>85</v>
      </c>
      <c r="U721" t="s">
        <v>2285</v>
      </c>
      <c r="V721">
        <v>71010</v>
      </c>
      <c r="W721" t="s">
        <v>48</v>
      </c>
      <c r="X721" t="s">
        <v>87</v>
      </c>
      <c r="Y721" t="s">
        <v>54</v>
      </c>
      <c r="Z721" s="12">
        <f>IF(N721&lt;=1,9,9+0.8*ROUNDUP(N721-1,0))</f>
        <v>9</v>
      </c>
      <c r="AA721" s="11">
        <v>-2</v>
      </c>
      <c r="AB721" s="11">
        <v>0</v>
      </c>
      <c r="AC721" s="11">
        <v>0</v>
      </c>
      <c r="AD721" s="11">
        <v>0</v>
      </c>
      <c r="AE721" s="11">
        <v>0</v>
      </c>
      <c r="AF721" s="11">
        <f t="shared" si="33"/>
        <v>0.42</v>
      </c>
      <c r="AG721" s="11">
        <f t="shared" si="34"/>
        <v>7.42</v>
      </c>
      <c r="AH721" s="11">
        <v>0</v>
      </c>
      <c r="AI721" s="11">
        <f t="shared" si="35"/>
        <v>7.42</v>
      </c>
      <c r="AJ721" t="s">
        <v>62</v>
      </c>
    </row>
    <row r="722" spans="1:36" ht="15" customHeight="1" x14ac:dyDescent="0.35">
      <c r="A722">
        <v>10428918</v>
      </c>
      <c r="B722" t="s">
        <v>36</v>
      </c>
      <c r="C722" t="s">
        <v>37</v>
      </c>
      <c r="D722" s="6" t="s">
        <v>38</v>
      </c>
      <c r="E722" t="s">
        <v>2286</v>
      </c>
      <c r="F722" t="s">
        <v>40</v>
      </c>
      <c r="G722" t="s">
        <v>41</v>
      </c>
      <c r="H722" t="s">
        <v>2287</v>
      </c>
      <c r="I722" t="s">
        <v>43</v>
      </c>
      <c r="J722">
        <v>2</v>
      </c>
      <c r="K722" t="s">
        <v>44</v>
      </c>
      <c r="L722" t="s">
        <v>45</v>
      </c>
      <c r="M722" t="s">
        <v>46</v>
      </c>
      <c r="N722" s="7">
        <v>1</v>
      </c>
      <c r="O722" s="8">
        <v>45652.474212962959</v>
      </c>
      <c r="P722" s="9">
        <v>45654</v>
      </c>
      <c r="Q722" t="s">
        <v>47</v>
      </c>
      <c r="R722" t="s">
        <v>48</v>
      </c>
      <c r="S722" t="s">
        <v>49</v>
      </c>
      <c r="T722" t="s">
        <v>59</v>
      </c>
      <c r="U722" t="s">
        <v>2288</v>
      </c>
      <c r="V722">
        <v>18500</v>
      </c>
      <c r="W722" t="s">
        <v>48</v>
      </c>
      <c r="X722" t="s">
        <v>1607</v>
      </c>
      <c r="Y722" t="s">
        <v>54</v>
      </c>
      <c r="Z722" s="12">
        <f>IF(N722&lt;=1,9,9+0.8*ROUNDUP(N722-1,0))</f>
        <v>9</v>
      </c>
      <c r="AA722" s="11">
        <v>-2</v>
      </c>
      <c r="AB722" s="11">
        <v>0</v>
      </c>
      <c r="AC722" s="11">
        <v>0</v>
      </c>
      <c r="AD722" s="11">
        <v>0</v>
      </c>
      <c r="AE722" s="11">
        <v>0</v>
      </c>
      <c r="AF722" s="11">
        <f t="shared" si="33"/>
        <v>0.42</v>
      </c>
      <c r="AG722" s="11">
        <f t="shared" si="34"/>
        <v>7.42</v>
      </c>
      <c r="AH722" s="11">
        <v>0</v>
      </c>
      <c r="AI722" s="11">
        <f t="shared" si="35"/>
        <v>7.42</v>
      </c>
      <c r="AJ722" t="s">
        <v>62</v>
      </c>
    </row>
    <row r="723" spans="1:36" ht="15" customHeight="1" x14ac:dyDescent="0.35">
      <c r="A723">
        <v>10428918</v>
      </c>
      <c r="B723" t="s">
        <v>36</v>
      </c>
      <c r="C723" t="s">
        <v>37</v>
      </c>
      <c r="D723" s="6" t="s">
        <v>38</v>
      </c>
      <c r="E723" t="s">
        <v>2289</v>
      </c>
      <c r="F723" t="s">
        <v>40</v>
      </c>
      <c r="G723" t="s">
        <v>41</v>
      </c>
      <c r="H723" t="s">
        <v>2290</v>
      </c>
      <c r="I723" t="s">
        <v>43</v>
      </c>
      <c r="J723">
        <v>2</v>
      </c>
      <c r="K723" t="s">
        <v>44</v>
      </c>
      <c r="L723" t="s">
        <v>45</v>
      </c>
      <c r="M723" t="s">
        <v>46</v>
      </c>
      <c r="N723" s="7">
        <v>1</v>
      </c>
      <c r="O723" s="8">
        <v>45652.905092592591</v>
      </c>
      <c r="P723" s="9">
        <v>45654</v>
      </c>
      <c r="Q723" t="s">
        <v>58</v>
      </c>
      <c r="R723" t="s">
        <v>48</v>
      </c>
      <c r="S723" t="s">
        <v>49</v>
      </c>
      <c r="T723" t="s">
        <v>117</v>
      </c>
      <c r="U723" t="s">
        <v>2291</v>
      </c>
      <c r="V723">
        <v>40400</v>
      </c>
      <c r="W723" t="s">
        <v>48</v>
      </c>
      <c r="X723" t="s">
        <v>1458</v>
      </c>
      <c r="Y723" t="s">
        <v>54</v>
      </c>
      <c r="Z723" s="12">
        <f>IF(N723&lt;=1,9,9+0.8*ROUNDUP(N723-1,0))</f>
        <v>9</v>
      </c>
      <c r="AA723" s="11">
        <v>-2</v>
      </c>
      <c r="AB723" s="11">
        <v>0</v>
      </c>
      <c r="AC723" s="11">
        <v>0</v>
      </c>
      <c r="AD723" s="11">
        <v>0</v>
      </c>
      <c r="AE723" s="11">
        <v>0</v>
      </c>
      <c r="AF723" s="11">
        <f t="shared" si="33"/>
        <v>0.42</v>
      </c>
      <c r="AG723" s="11">
        <f t="shared" si="34"/>
        <v>7.42</v>
      </c>
      <c r="AH723" s="11">
        <v>0</v>
      </c>
      <c r="AI723" s="11">
        <f t="shared" si="35"/>
        <v>7.42</v>
      </c>
      <c r="AJ723" t="s">
        <v>62</v>
      </c>
    </row>
    <row r="724" spans="1:36" ht="15" customHeight="1" x14ac:dyDescent="0.35">
      <c r="A724">
        <v>10428918</v>
      </c>
      <c r="B724" t="s">
        <v>36</v>
      </c>
      <c r="C724" t="s">
        <v>37</v>
      </c>
      <c r="D724" s="6" t="s">
        <v>38</v>
      </c>
      <c r="E724" t="s">
        <v>2292</v>
      </c>
      <c r="F724" t="s">
        <v>40</v>
      </c>
      <c r="G724" t="s">
        <v>41</v>
      </c>
      <c r="H724" t="s">
        <v>2293</v>
      </c>
      <c r="I724" t="s">
        <v>43</v>
      </c>
      <c r="J724">
        <v>2</v>
      </c>
      <c r="K724" t="s">
        <v>44</v>
      </c>
      <c r="L724" t="s">
        <v>45</v>
      </c>
      <c r="M724" t="s">
        <v>46</v>
      </c>
      <c r="N724" s="7">
        <v>1</v>
      </c>
      <c r="O724" s="8">
        <v>45652.895891203705</v>
      </c>
      <c r="P724" s="9">
        <v>45654</v>
      </c>
      <c r="Q724" t="s">
        <v>58</v>
      </c>
      <c r="R724" t="s">
        <v>48</v>
      </c>
      <c r="S724" t="s">
        <v>49</v>
      </c>
      <c r="T724" t="s">
        <v>65</v>
      </c>
      <c r="U724" t="s">
        <v>2294</v>
      </c>
      <c r="V724">
        <v>76100</v>
      </c>
      <c r="W724" t="s">
        <v>48</v>
      </c>
      <c r="X724" t="s">
        <v>480</v>
      </c>
      <c r="Y724" t="s">
        <v>54</v>
      </c>
      <c r="Z724" s="12">
        <f>IF(N724&lt;=1,9,9+0.8*ROUNDUP(N724-1,0))</f>
        <v>9</v>
      </c>
      <c r="AA724" s="11">
        <v>-2</v>
      </c>
      <c r="AB724" s="11">
        <v>0</v>
      </c>
      <c r="AC724" s="11">
        <v>0</v>
      </c>
      <c r="AD724" s="11">
        <v>0</v>
      </c>
      <c r="AE724" s="11">
        <v>0</v>
      </c>
      <c r="AF724" s="11">
        <f t="shared" si="33"/>
        <v>0.42</v>
      </c>
      <c r="AG724" s="11">
        <f t="shared" si="34"/>
        <v>7.42</v>
      </c>
      <c r="AH724" s="11">
        <v>0</v>
      </c>
      <c r="AI724" s="11">
        <f t="shared" si="35"/>
        <v>7.42</v>
      </c>
      <c r="AJ724" t="s">
        <v>62</v>
      </c>
    </row>
    <row r="725" spans="1:36" ht="15" customHeight="1" x14ac:dyDescent="0.35">
      <c r="A725">
        <v>10428918</v>
      </c>
      <c r="B725" t="s">
        <v>36</v>
      </c>
      <c r="C725" t="s">
        <v>37</v>
      </c>
      <c r="D725" s="6" t="s">
        <v>38</v>
      </c>
      <c r="E725" t="s">
        <v>2295</v>
      </c>
      <c r="F725" t="s">
        <v>40</v>
      </c>
      <c r="G725" t="s">
        <v>41</v>
      </c>
      <c r="H725" t="s">
        <v>2296</v>
      </c>
      <c r="I725" t="s">
        <v>43</v>
      </c>
      <c r="J725">
        <v>2</v>
      </c>
      <c r="K725" t="s">
        <v>44</v>
      </c>
      <c r="L725" t="s">
        <v>45</v>
      </c>
      <c r="M725" t="s">
        <v>46</v>
      </c>
      <c r="N725" s="7">
        <v>1</v>
      </c>
      <c r="O725" s="8">
        <v>45651.754131944443</v>
      </c>
      <c r="P725" s="9">
        <v>45654</v>
      </c>
      <c r="Q725" t="s">
        <v>47</v>
      </c>
      <c r="R725" t="s">
        <v>48</v>
      </c>
      <c r="S725" t="s">
        <v>49</v>
      </c>
      <c r="T725" t="s">
        <v>90</v>
      </c>
      <c r="U725" t="s">
        <v>2297</v>
      </c>
      <c r="V725">
        <v>21010</v>
      </c>
      <c r="W725" t="s">
        <v>48</v>
      </c>
      <c r="X725" t="s">
        <v>425</v>
      </c>
      <c r="Y725" t="s">
        <v>54</v>
      </c>
      <c r="Z725" s="12">
        <f>IF(N725&lt;=1,9,9+0.8*ROUNDUP(N725-1,0))</f>
        <v>9</v>
      </c>
      <c r="AA725" s="11">
        <v>-2</v>
      </c>
      <c r="AB725" s="11">
        <v>0</v>
      </c>
      <c r="AC725" s="11">
        <v>0</v>
      </c>
      <c r="AD725" s="11">
        <v>0</v>
      </c>
      <c r="AE725" s="11">
        <v>0</v>
      </c>
      <c r="AF725" s="11">
        <f t="shared" si="33"/>
        <v>0.42</v>
      </c>
      <c r="AG725" s="11">
        <f t="shared" si="34"/>
        <v>7.42</v>
      </c>
      <c r="AH725" s="11">
        <v>0</v>
      </c>
      <c r="AI725" s="11">
        <f t="shared" si="35"/>
        <v>7.42</v>
      </c>
      <c r="AJ725" t="s">
        <v>62</v>
      </c>
    </row>
    <row r="726" spans="1:36" ht="15" customHeight="1" x14ac:dyDescent="0.35">
      <c r="A726">
        <v>10428918</v>
      </c>
      <c r="B726" t="s">
        <v>36</v>
      </c>
      <c r="C726" t="s">
        <v>37</v>
      </c>
      <c r="D726" s="6" t="s">
        <v>38</v>
      </c>
      <c r="E726" t="s">
        <v>2298</v>
      </c>
      <c r="F726" t="s">
        <v>40</v>
      </c>
      <c r="G726" t="s">
        <v>41</v>
      </c>
      <c r="H726" t="s">
        <v>570</v>
      </c>
      <c r="I726" t="s">
        <v>43</v>
      </c>
      <c r="J726">
        <v>2</v>
      </c>
      <c r="K726" t="s">
        <v>44</v>
      </c>
      <c r="L726" t="s">
        <v>45</v>
      </c>
      <c r="M726" t="s">
        <v>46</v>
      </c>
      <c r="N726" s="7">
        <v>5</v>
      </c>
      <c r="O726" s="8">
        <v>45652.84648148148</v>
      </c>
      <c r="P726" s="9">
        <v>45654</v>
      </c>
      <c r="Q726" t="s">
        <v>58</v>
      </c>
      <c r="R726" t="s">
        <v>48</v>
      </c>
      <c r="S726" t="s">
        <v>49</v>
      </c>
      <c r="T726" t="s">
        <v>117</v>
      </c>
      <c r="U726" t="s">
        <v>571</v>
      </c>
      <c r="V726">
        <v>40000</v>
      </c>
      <c r="W726" t="s">
        <v>48</v>
      </c>
      <c r="X726" t="s">
        <v>473</v>
      </c>
      <c r="Y726" t="s">
        <v>54</v>
      </c>
      <c r="Z726" s="12">
        <f>IF(N726&lt;=1,9,9+0.8*ROUNDUP(N726-1,0))</f>
        <v>12.2</v>
      </c>
      <c r="AA726" s="11">
        <v>-2</v>
      </c>
      <c r="AB726" s="11">
        <v>0</v>
      </c>
      <c r="AC726" s="11">
        <v>0</v>
      </c>
      <c r="AD726" s="11">
        <v>0</v>
      </c>
      <c r="AE726" s="11">
        <v>0</v>
      </c>
      <c r="AF726" s="11">
        <f t="shared" si="33"/>
        <v>0.61199999999999999</v>
      </c>
      <c r="AG726" s="11">
        <f t="shared" si="34"/>
        <v>10.811999999999999</v>
      </c>
      <c r="AH726" s="11">
        <v>0</v>
      </c>
      <c r="AI726" s="11">
        <f t="shared" si="35"/>
        <v>10.811999999999999</v>
      </c>
      <c r="AJ726" t="s">
        <v>62</v>
      </c>
    </row>
    <row r="727" spans="1:36" ht="15" customHeight="1" x14ac:dyDescent="0.35">
      <c r="A727">
        <v>10428918</v>
      </c>
      <c r="B727" t="s">
        <v>36</v>
      </c>
      <c r="C727" t="s">
        <v>37</v>
      </c>
      <c r="D727" s="6" t="s">
        <v>38</v>
      </c>
      <c r="E727" t="s">
        <v>2299</v>
      </c>
      <c r="F727" t="s">
        <v>40</v>
      </c>
      <c r="G727" t="s">
        <v>41</v>
      </c>
      <c r="H727" t="s">
        <v>2300</v>
      </c>
      <c r="I727" t="s">
        <v>43</v>
      </c>
      <c r="J727">
        <v>2</v>
      </c>
      <c r="K727" t="s">
        <v>44</v>
      </c>
      <c r="L727" t="s">
        <v>45</v>
      </c>
      <c r="M727" t="s">
        <v>46</v>
      </c>
      <c r="N727" s="7">
        <v>1</v>
      </c>
      <c r="O727" s="8">
        <v>45651.739918981482</v>
      </c>
      <c r="P727" s="9">
        <v>45654</v>
      </c>
      <c r="Q727" t="s">
        <v>47</v>
      </c>
      <c r="R727" t="s">
        <v>48</v>
      </c>
      <c r="S727" t="s">
        <v>49</v>
      </c>
      <c r="T727" t="s">
        <v>85</v>
      </c>
      <c r="U727" t="s">
        <v>2301</v>
      </c>
      <c r="V727">
        <v>71050</v>
      </c>
      <c r="W727" t="s">
        <v>48</v>
      </c>
      <c r="X727" t="s">
        <v>87</v>
      </c>
      <c r="Y727" t="s">
        <v>54</v>
      </c>
      <c r="Z727" s="12">
        <f>IF(N727&lt;=1,9,9+0.8*ROUNDUP(N727-1,0))</f>
        <v>9</v>
      </c>
      <c r="AA727" s="11">
        <v>-2</v>
      </c>
      <c r="AB727" s="11">
        <v>0</v>
      </c>
      <c r="AC727" s="11">
        <v>0</v>
      </c>
      <c r="AD727" s="11">
        <v>0</v>
      </c>
      <c r="AE727" s="11">
        <v>0</v>
      </c>
      <c r="AF727" s="11">
        <f t="shared" si="33"/>
        <v>0.42</v>
      </c>
      <c r="AG727" s="11">
        <f t="shared" si="34"/>
        <v>7.42</v>
      </c>
      <c r="AH727" s="11">
        <v>0</v>
      </c>
      <c r="AI727" s="11">
        <f t="shared" si="35"/>
        <v>7.42</v>
      </c>
      <c r="AJ727" t="s">
        <v>62</v>
      </c>
    </row>
    <row r="728" spans="1:36" ht="15" customHeight="1" x14ac:dyDescent="0.35">
      <c r="A728">
        <v>10428918</v>
      </c>
      <c r="B728" t="s">
        <v>36</v>
      </c>
      <c r="C728" t="s">
        <v>37</v>
      </c>
      <c r="D728" s="6" t="s">
        <v>38</v>
      </c>
      <c r="E728" t="s">
        <v>2302</v>
      </c>
      <c r="F728" t="s">
        <v>40</v>
      </c>
      <c r="G728" t="s">
        <v>41</v>
      </c>
      <c r="H728" t="s">
        <v>2303</v>
      </c>
      <c r="I728" t="s">
        <v>43</v>
      </c>
      <c r="J728">
        <v>2</v>
      </c>
      <c r="K728" t="s">
        <v>44</v>
      </c>
      <c r="L728" t="s">
        <v>45</v>
      </c>
      <c r="M728" t="s">
        <v>46</v>
      </c>
      <c r="N728" s="7">
        <v>2</v>
      </c>
      <c r="O728" s="8">
        <v>45651.729178240741</v>
      </c>
      <c r="P728" s="9">
        <v>45654</v>
      </c>
      <c r="Q728" t="s">
        <v>47</v>
      </c>
      <c r="R728" t="s">
        <v>48</v>
      </c>
      <c r="S728" t="s">
        <v>49</v>
      </c>
      <c r="T728" t="s">
        <v>65</v>
      </c>
      <c r="U728" t="s">
        <v>2304</v>
      </c>
      <c r="V728">
        <v>76100</v>
      </c>
      <c r="W728" t="s">
        <v>48</v>
      </c>
      <c r="X728" t="s">
        <v>448</v>
      </c>
      <c r="Y728" t="s">
        <v>54</v>
      </c>
      <c r="Z728" s="12">
        <f>IF(N728&lt;=1,9,9+0.8*ROUNDUP(N728-1,0))</f>
        <v>9.8000000000000007</v>
      </c>
      <c r="AA728" s="11">
        <v>-2</v>
      </c>
      <c r="AB728" s="11">
        <v>0</v>
      </c>
      <c r="AC728" s="11">
        <v>0</v>
      </c>
      <c r="AD728" s="11">
        <v>0</v>
      </c>
      <c r="AE728" s="11">
        <v>0</v>
      </c>
      <c r="AF728" s="11">
        <f t="shared" si="33"/>
        <v>0.46800000000000003</v>
      </c>
      <c r="AG728" s="11">
        <f t="shared" si="34"/>
        <v>8.2680000000000007</v>
      </c>
      <c r="AH728" s="11">
        <v>0</v>
      </c>
      <c r="AI728" s="11">
        <f t="shared" si="35"/>
        <v>8.2680000000000007</v>
      </c>
      <c r="AJ728" t="s">
        <v>62</v>
      </c>
    </row>
    <row r="729" spans="1:36" ht="15" customHeight="1" x14ac:dyDescent="0.35">
      <c r="A729">
        <v>10428918</v>
      </c>
      <c r="B729" t="s">
        <v>36</v>
      </c>
      <c r="C729" t="s">
        <v>37</v>
      </c>
      <c r="D729" s="6" t="s">
        <v>38</v>
      </c>
      <c r="E729" t="s">
        <v>2305</v>
      </c>
      <c r="F729" t="s">
        <v>40</v>
      </c>
      <c r="G729" t="s">
        <v>41</v>
      </c>
      <c r="H729" t="s">
        <v>2306</v>
      </c>
      <c r="I729" t="s">
        <v>43</v>
      </c>
      <c r="J729">
        <v>2</v>
      </c>
      <c r="K729" t="s">
        <v>44</v>
      </c>
      <c r="L729" t="s">
        <v>45</v>
      </c>
      <c r="M729" t="s">
        <v>46</v>
      </c>
      <c r="N729" s="7">
        <v>6</v>
      </c>
      <c r="O729" s="8">
        <v>45652.858761574076</v>
      </c>
      <c r="P729" s="9">
        <v>45654</v>
      </c>
      <c r="Q729" t="s">
        <v>58</v>
      </c>
      <c r="R729" t="s">
        <v>48</v>
      </c>
      <c r="S729" t="s">
        <v>49</v>
      </c>
      <c r="T729" t="s">
        <v>59</v>
      </c>
      <c r="U729" t="s">
        <v>2307</v>
      </c>
      <c r="V729">
        <v>18300</v>
      </c>
      <c r="W729" t="s">
        <v>48</v>
      </c>
      <c r="X729" t="s">
        <v>831</v>
      </c>
      <c r="Y729" t="s">
        <v>54</v>
      </c>
      <c r="Z729" s="12">
        <f>IF(N729&lt;=1,9,9+0.8*ROUNDUP(N729-1,0))</f>
        <v>13</v>
      </c>
      <c r="AA729" s="11">
        <v>-2</v>
      </c>
      <c r="AB729" s="11">
        <v>0</v>
      </c>
      <c r="AC729" s="11">
        <v>0</v>
      </c>
      <c r="AD729" s="11">
        <v>0</v>
      </c>
      <c r="AE729" s="11">
        <v>0</v>
      </c>
      <c r="AF729" s="11">
        <f t="shared" si="33"/>
        <v>0.65999999999999992</v>
      </c>
      <c r="AG729" s="11">
        <f t="shared" si="34"/>
        <v>11.66</v>
      </c>
      <c r="AH729" s="11">
        <v>0</v>
      </c>
      <c r="AI729" s="11">
        <f t="shared" si="35"/>
        <v>11.66</v>
      </c>
      <c r="AJ729" t="s">
        <v>62</v>
      </c>
    </row>
    <row r="730" spans="1:36" ht="15" customHeight="1" x14ac:dyDescent="0.35">
      <c r="A730">
        <v>10428918</v>
      </c>
      <c r="B730" t="s">
        <v>36</v>
      </c>
      <c r="C730" t="s">
        <v>37</v>
      </c>
      <c r="D730" s="6" t="s">
        <v>38</v>
      </c>
      <c r="E730" t="s">
        <v>2308</v>
      </c>
      <c r="F730" t="s">
        <v>40</v>
      </c>
      <c r="G730" t="s">
        <v>41</v>
      </c>
      <c r="H730" t="s">
        <v>2309</v>
      </c>
      <c r="I730" t="s">
        <v>43</v>
      </c>
      <c r="J730">
        <v>2</v>
      </c>
      <c r="K730" t="s">
        <v>44</v>
      </c>
      <c r="L730" t="s">
        <v>45</v>
      </c>
      <c r="M730" t="s">
        <v>46</v>
      </c>
      <c r="N730" s="7">
        <v>2</v>
      </c>
      <c r="O730" s="8">
        <v>45652.548715277779</v>
      </c>
      <c r="P730" s="9">
        <v>45654</v>
      </c>
      <c r="Q730" t="s">
        <v>47</v>
      </c>
      <c r="R730" t="s">
        <v>48</v>
      </c>
      <c r="S730" t="s">
        <v>49</v>
      </c>
      <c r="T730" t="s">
        <v>117</v>
      </c>
      <c r="U730" t="s">
        <v>2310</v>
      </c>
      <c r="V730">
        <v>42200</v>
      </c>
      <c r="W730" t="s">
        <v>48</v>
      </c>
      <c r="X730" t="s">
        <v>53</v>
      </c>
      <c r="Y730" t="s">
        <v>54</v>
      </c>
      <c r="Z730" s="12">
        <f>IF(N730&lt;=1,9,9+0.8*ROUNDUP(N730-1,0))</f>
        <v>9.8000000000000007</v>
      </c>
      <c r="AA730" s="11">
        <v>-2</v>
      </c>
      <c r="AB730" s="11">
        <v>0</v>
      </c>
      <c r="AC730" s="11">
        <v>0</v>
      </c>
      <c r="AD730" s="11">
        <v>0</v>
      </c>
      <c r="AE730" s="11">
        <v>0</v>
      </c>
      <c r="AF730" s="11">
        <f t="shared" si="33"/>
        <v>0.46800000000000003</v>
      </c>
      <c r="AG730" s="11">
        <f t="shared" si="34"/>
        <v>8.2680000000000007</v>
      </c>
      <c r="AH730" s="11">
        <v>0</v>
      </c>
      <c r="AI730" s="11">
        <f t="shared" si="35"/>
        <v>8.2680000000000007</v>
      </c>
      <c r="AJ730" t="s">
        <v>62</v>
      </c>
    </row>
    <row r="731" spans="1:36" ht="15" customHeight="1" x14ac:dyDescent="0.35">
      <c r="A731">
        <v>10428918</v>
      </c>
      <c r="B731" t="s">
        <v>36</v>
      </c>
      <c r="C731" t="s">
        <v>37</v>
      </c>
      <c r="D731" s="6" t="s">
        <v>38</v>
      </c>
      <c r="E731" t="s">
        <v>2311</v>
      </c>
      <c r="F731" t="s">
        <v>40</v>
      </c>
      <c r="G731" t="s">
        <v>41</v>
      </c>
      <c r="H731" t="s">
        <v>2312</v>
      </c>
      <c r="I731" t="s">
        <v>43</v>
      </c>
      <c r="J731">
        <v>2</v>
      </c>
      <c r="K731" t="s">
        <v>44</v>
      </c>
      <c r="L731" t="s">
        <v>45</v>
      </c>
      <c r="M731" t="s">
        <v>46</v>
      </c>
      <c r="N731" s="7">
        <v>1</v>
      </c>
      <c r="O731" s="8">
        <v>45651.754131944443</v>
      </c>
      <c r="P731" s="9">
        <v>45654</v>
      </c>
      <c r="Q731" t="s">
        <v>47</v>
      </c>
      <c r="R731" t="s">
        <v>48</v>
      </c>
      <c r="S731" t="s">
        <v>49</v>
      </c>
      <c r="T731" t="s">
        <v>65</v>
      </c>
      <c r="U731" t="s">
        <v>2313</v>
      </c>
      <c r="V731">
        <v>75350</v>
      </c>
      <c r="W731" t="s">
        <v>48</v>
      </c>
      <c r="X731" t="s">
        <v>480</v>
      </c>
      <c r="Y731" t="s">
        <v>54</v>
      </c>
      <c r="Z731" s="12">
        <f>IF(N731&lt;=1,9,9+0.8*ROUNDUP(N731-1,0))</f>
        <v>9</v>
      </c>
      <c r="AA731" s="11">
        <v>-2</v>
      </c>
      <c r="AB731" s="11">
        <v>0</v>
      </c>
      <c r="AC731" s="11">
        <v>0</v>
      </c>
      <c r="AD731" s="11">
        <v>0</v>
      </c>
      <c r="AE731" s="11">
        <v>0</v>
      </c>
      <c r="AF731" s="11">
        <f t="shared" si="33"/>
        <v>0.42</v>
      </c>
      <c r="AG731" s="11">
        <f t="shared" si="34"/>
        <v>7.42</v>
      </c>
      <c r="AH731" s="11">
        <v>0</v>
      </c>
      <c r="AI731" s="11">
        <f t="shared" si="35"/>
        <v>7.42</v>
      </c>
      <c r="AJ731" t="s">
        <v>62</v>
      </c>
    </row>
    <row r="732" spans="1:36" ht="15" customHeight="1" x14ac:dyDescent="0.35">
      <c r="A732">
        <v>10428918</v>
      </c>
      <c r="B732" t="s">
        <v>36</v>
      </c>
      <c r="C732" t="s">
        <v>37</v>
      </c>
      <c r="D732" s="6" t="s">
        <v>38</v>
      </c>
      <c r="E732" t="s">
        <v>2314</v>
      </c>
      <c r="F732" t="s">
        <v>40</v>
      </c>
      <c r="G732" t="s">
        <v>41</v>
      </c>
      <c r="H732" t="s">
        <v>2315</v>
      </c>
      <c r="I732" t="s">
        <v>43</v>
      </c>
      <c r="J732">
        <v>2</v>
      </c>
      <c r="K732" t="s">
        <v>44</v>
      </c>
      <c r="L732" t="s">
        <v>45</v>
      </c>
      <c r="M732" t="s">
        <v>46</v>
      </c>
      <c r="N732" s="7">
        <v>1</v>
      </c>
      <c r="O732" s="8">
        <v>45652.751215277778</v>
      </c>
      <c r="P732" s="9">
        <v>45654</v>
      </c>
      <c r="Q732" t="s">
        <v>47</v>
      </c>
      <c r="R732" t="s">
        <v>48</v>
      </c>
      <c r="S732" t="s">
        <v>49</v>
      </c>
      <c r="T732" t="s">
        <v>59</v>
      </c>
      <c r="U732" t="s">
        <v>2316</v>
      </c>
      <c r="V732">
        <v>16200</v>
      </c>
      <c r="W732" t="s">
        <v>48</v>
      </c>
      <c r="X732" t="s">
        <v>2317</v>
      </c>
      <c r="Y732" t="s">
        <v>54</v>
      </c>
      <c r="Z732" s="12">
        <f>IF(N732&lt;=1,9,9+0.8*ROUNDUP(N732-1,0))</f>
        <v>9</v>
      </c>
      <c r="AA732" s="11">
        <v>-2</v>
      </c>
      <c r="AB732" s="11">
        <v>0</v>
      </c>
      <c r="AC732" s="11">
        <v>0</v>
      </c>
      <c r="AD732" s="11">
        <v>0</v>
      </c>
      <c r="AE732" s="11">
        <v>0</v>
      </c>
      <c r="AF732" s="11">
        <f t="shared" si="33"/>
        <v>0.42</v>
      </c>
      <c r="AG732" s="11">
        <f t="shared" si="34"/>
        <v>7.42</v>
      </c>
      <c r="AH732" s="11">
        <v>0</v>
      </c>
      <c r="AI732" s="11">
        <f t="shared" si="35"/>
        <v>7.42</v>
      </c>
      <c r="AJ732" t="s">
        <v>62</v>
      </c>
    </row>
    <row r="733" spans="1:36" ht="15" customHeight="1" x14ac:dyDescent="0.35">
      <c r="A733">
        <v>10428918</v>
      </c>
      <c r="B733" t="s">
        <v>36</v>
      </c>
      <c r="C733" t="s">
        <v>37</v>
      </c>
      <c r="D733" s="6" t="s">
        <v>38</v>
      </c>
      <c r="E733" t="s">
        <v>2318</v>
      </c>
      <c r="F733" t="s">
        <v>40</v>
      </c>
      <c r="G733" t="s">
        <v>41</v>
      </c>
      <c r="H733" t="s">
        <v>2319</v>
      </c>
      <c r="I733" t="s">
        <v>43</v>
      </c>
      <c r="J733">
        <v>2</v>
      </c>
      <c r="K733" t="s">
        <v>44</v>
      </c>
      <c r="L733" t="s">
        <v>45</v>
      </c>
      <c r="M733" t="s">
        <v>46</v>
      </c>
      <c r="N733" s="7">
        <v>1</v>
      </c>
      <c r="O733" s="8">
        <v>45652.882372685184</v>
      </c>
      <c r="P733" s="9">
        <v>45654</v>
      </c>
      <c r="Q733" t="s">
        <v>58</v>
      </c>
      <c r="R733" t="s">
        <v>48</v>
      </c>
      <c r="S733" t="s">
        <v>49</v>
      </c>
      <c r="T733" t="s">
        <v>117</v>
      </c>
      <c r="U733" t="s">
        <v>2320</v>
      </c>
      <c r="V733">
        <v>42100</v>
      </c>
      <c r="W733" t="s">
        <v>48</v>
      </c>
      <c r="X733" t="s">
        <v>623</v>
      </c>
      <c r="Y733" t="s">
        <v>54</v>
      </c>
      <c r="Z733" s="12">
        <f>IF(N733&lt;=1,9,9+0.8*ROUNDUP(N733-1,0))</f>
        <v>9</v>
      </c>
      <c r="AA733" s="11">
        <v>-2</v>
      </c>
      <c r="AB733" s="11">
        <v>0</v>
      </c>
      <c r="AC733" s="11">
        <v>0</v>
      </c>
      <c r="AD733" s="11">
        <v>0</v>
      </c>
      <c r="AE733" s="11">
        <v>0</v>
      </c>
      <c r="AF733" s="11">
        <f t="shared" si="33"/>
        <v>0.42</v>
      </c>
      <c r="AG733" s="11">
        <f t="shared" si="34"/>
        <v>7.42</v>
      </c>
      <c r="AH733" s="11">
        <v>0</v>
      </c>
      <c r="AI733" s="11">
        <f t="shared" si="35"/>
        <v>7.42</v>
      </c>
      <c r="AJ733" t="s">
        <v>62</v>
      </c>
    </row>
    <row r="734" spans="1:36" ht="15" customHeight="1" x14ac:dyDescent="0.35">
      <c r="A734">
        <v>10428918</v>
      </c>
      <c r="B734" t="s">
        <v>36</v>
      </c>
      <c r="C734" t="s">
        <v>37</v>
      </c>
      <c r="D734" s="6" t="s">
        <v>38</v>
      </c>
      <c r="E734" t="s">
        <v>2321</v>
      </c>
      <c r="F734" t="s">
        <v>40</v>
      </c>
      <c r="G734" t="s">
        <v>41</v>
      </c>
      <c r="H734" t="s">
        <v>2322</v>
      </c>
      <c r="I734" t="s">
        <v>43</v>
      </c>
      <c r="J734">
        <v>2</v>
      </c>
      <c r="K734" t="s">
        <v>44</v>
      </c>
      <c r="L734" t="s">
        <v>45</v>
      </c>
      <c r="M734" t="s">
        <v>46</v>
      </c>
      <c r="N734" s="7">
        <v>1</v>
      </c>
      <c r="O734" s="8">
        <v>45651.748263888891</v>
      </c>
      <c r="P734" s="9">
        <v>45654</v>
      </c>
      <c r="Q734" t="s">
        <v>47</v>
      </c>
      <c r="R734" t="s">
        <v>48</v>
      </c>
      <c r="S734" t="s">
        <v>49</v>
      </c>
      <c r="T734" t="s">
        <v>693</v>
      </c>
      <c r="U734" t="s">
        <v>2323</v>
      </c>
      <c r="V734">
        <v>2400</v>
      </c>
      <c r="W734" t="s">
        <v>48</v>
      </c>
      <c r="X734" t="s">
        <v>1874</v>
      </c>
      <c r="Y734" t="s">
        <v>54</v>
      </c>
      <c r="Z734" s="12">
        <f>IF(N734&lt;=1,9,9+0.8*ROUNDUP(N734-1,0))</f>
        <v>9</v>
      </c>
      <c r="AA734" s="11">
        <v>-2</v>
      </c>
      <c r="AB734" s="11">
        <v>0</v>
      </c>
      <c r="AC734" s="11">
        <v>0</v>
      </c>
      <c r="AD734" s="11">
        <v>0</v>
      </c>
      <c r="AE734" s="11">
        <v>0</v>
      </c>
      <c r="AF734" s="11">
        <f t="shared" si="33"/>
        <v>0.42</v>
      </c>
      <c r="AG734" s="11">
        <f t="shared" si="34"/>
        <v>7.42</v>
      </c>
      <c r="AH734" s="11">
        <v>0</v>
      </c>
      <c r="AI734" s="11">
        <f t="shared" si="35"/>
        <v>7.42</v>
      </c>
      <c r="AJ734" t="s">
        <v>62</v>
      </c>
    </row>
    <row r="735" spans="1:36" ht="15" customHeight="1" x14ac:dyDescent="0.35">
      <c r="A735">
        <v>10428918</v>
      </c>
      <c r="B735" t="s">
        <v>36</v>
      </c>
      <c r="C735" t="s">
        <v>37</v>
      </c>
      <c r="D735" s="6" t="s">
        <v>38</v>
      </c>
      <c r="E735" t="s">
        <v>2324</v>
      </c>
      <c r="F735" t="s">
        <v>40</v>
      </c>
      <c r="G735" t="s">
        <v>41</v>
      </c>
      <c r="H735" t="s">
        <v>2325</v>
      </c>
      <c r="I735" t="s">
        <v>43</v>
      </c>
      <c r="J735">
        <v>2</v>
      </c>
      <c r="K735" t="s">
        <v>44</v>
      </c>
      <c r="L735" t="s">
        <v>45</v>
      </c>
      <c r="M735" t="s">
        <v>46</v>
      </c>
      <c r="N735" s="7">
        <v>1</v>
      </c>
      <c r="O735" s="8">
        <v>45651.77076388889</v>
      </c>
      <c r="P735" s="9">
        <v>45654</v>
      </c>
      <c r="Q735" t="s">
        <v>47</v>
      </c>
      <c r="R735" t="s">
        <v>48</v>
      </c>
      <c r="S735" t="s">
        <v>49</v>
      </c>
      <c r="T735" t="s">
        <v>101</v>
      </c>
      <c r="U735" t="s">
        <v>2326</v>
      </c>
      <c r="V735">
        <v>32610</v>
      </c>
      <c r="W735" t="s">
        <v>48</v>
      </c>
      <c r="X735" t="s">
        <v>414</v>
      </c>
      <c r="Y735" t="s">
        <v>54</v>
      </c>
      <c r="Z735" s="12">
        <f>IF(N735&lt;=1,9,9+0.8*ROUNDUP(N735-1,0))</f>
        <v>9</v>
      </c>
      <c r="AA735" s="11">
        <v>-2</v>
      </c>
      <c r="AB735" s="11">
        <v>0</v>
      </c>
      <c r="AC735" s="11">
        <v>0</v>
      </c>
      <c r="AD735" s="11">
        <v>0</v>
      </c>
      <c r="AE735" s="11">
        <v>0</v>
      </c>
      <c r="AF735" s="11">
        <f t="shared" si="33"/>
        <v>0.42</v>
      </c>
      <c r="AG735" s="11">
        <f t="shared" si="34"/>
        <v>7.42</v>
      </c>
      <c r="AH735" s="11">
        <v>0</v>
      </c>
      <c r="AI735" s="11">
        <f t="shared" si="35"/>
        <v>7.42</v>
      </c>
      <c r="AJ735" t="s">
        <v>62</v>
      </c>
    </row>
    <row r="736" spans="1:36" ht="15" customHeight="1" x14ac:dyDescent="0.35">
      <c r="A736">
        <v>10428918</v>
      </c>
      <c r="B736" t="s">
        <v>36</v>
      </c>
      <c r="C736" t="s">
        <v>37</v>
      </c>
      <c r="D736" s="6" t="s">
        <v>38</v>
      </c>
      <c r="E736" t="s">
        <v>2327</v>
      </c>
      <c r="F736" t="s">
        <v>40</v>
      </c>
      <c r="G736" t="s">
        <v>41</v>
      </c>
      <c r="H736" t="s">
        <v>2328</v>
      </c>
      <c r="I736" t="s">
        <v>43</v>
      </c>
      <c r="J736">
        <v>2</v>
      </c>
      <c r="K736" t="s">
        <v>44</v>
      </c>
      <c r="L736" t="s">
        <v>45</v>
      </c>
      <c r="M736" t="s">
        <v>46</v>
      </c>
      <c r="N736" s="7">
        <v>1</v>
      </c>
      <c r="O736" s="8">
        <v>45652.550567129627</v>
      </c>
      <c r="P736" s="9">
        <v>45654</v>
      </c>
      <c r="Q736" t="s">
        <v>47</v>
      </c>
      <c r="R736" t="s">
        <v>48</v>
      </c>
      <c r="S736" t="s">
        <v>49</v>
      </c>
      <c r="T736" t="s">
        <v>90</v>
      </c>
      <c r="U736" t="s">
        <v>2329</v>
      </c>
      <c r="V736">
        <v>20050</v>
      </c>
      <c r="W736" t="s">
        <v>48</v>
      </c>
      <c r="X736" t="s">
        <v>1574</v>
      </c>
      <c r="Y736" t="s">
        <v>54</v>
      </c>
      <c r="Z736" s="12">
        <f>IF(N736&lt;=1,9,9+0.8*ROUNDUP(N736-1,0))</f>
        <v>9</v>
      </c>
      <c r="AA736" s="11">
        <v>-2</v>
      </c>
      <c r="AB736" s="11">
        <v>0</v>
      </c>
      <c r="AC736" s="11">
        <v>0</v>
      </c>
      <c r="AD736" s="11">
        <v>0</v>
      </c>
      <c r="AE736" s="11">
        <v>0</v>
      </c>
      <c r="AF736" s="11">
        <f t="shared" si="33"/>
        <v>0.42</v>
      </c>
      <c r="AG736" s="11">
        <f t="shared" si="34"/>
        <v>7.42</v>
      </c>
      <c r="AH736" s="11">
        <v>0</v>
      </c>
      <c r="AI736" s="11">
        <f t="shared" si="35"/>
        <v>7.42</v>
      </c>
      <c r="AJ736" t="s">
        <v>62</v>
      </c>
    </row>
    <row r="737" spans="1:36" ht="15" customHeight="1" x14ac:dyDescent="0.35">
      <c r="A737">
        <v>10428918</v>
      </c>
      <c r="B737" t="s">
        <v>36</v>
      </c>
      <c r="C737" t="s">
        <v>37</v>
      </c>
      <c r="D737" s="6" t="s">
        <v>38</v>
      </c>
      <c r="E737" t="s">
        <v>2330</v>
      </c>
      <c r="F737" t="s">
        <v>40</v>
      </c>
      <c r="G737" t="s">
        <v>41</v>
      </c>
      <c r="H737" t="s">
        <v>2331</v>
      </c>
      <c r="I737" t="s">
        <v>43</v>
      </c>
      <c r="J737">
        <v>2</v>
      </c>
      <c r="K737" t="s">
        <v>44</v>
      </c>
      <c r="L737" t="s">
        <v>45</v>
      </c>
      <c r="M737" t="s">
        <v>46</v>
      </c>
      <c r="N737" s="7">
        <v>1</v>
      </c>
      <c r="O737" s="8">
        <v>45652.548726851855</v>
      </c>
      <c r="P737" s="9">
        <v>45654</v>
      </c>
      <c r="Q737" t="s">
        <v>47</v>
      </c>
      <c r="R737" t="s">
        <v>48</v>
      </c>
      <c r="S737" t="s">
        <v>49</v>
      </c>
      <c r="T737" t="s">
        <v>75</v>
      </c>
      <c r="U737" t="s">
        <v>2332</v>
      </c>
      <c r="V737">
        <v>25150</v>
      </c>
      <c r="W737" t="s">
        <v>48</v>
      </c>
      <c r="X737" t="s">
        <v>316</v>
      </c>
      <c r="Y737" t="s">
        <v>54</v>
      </c>
      <c r="Z737" s="12">
        <f>IF(N737&lt;=1,9,9+0.8*ROUNDUP(N737-1,0))</f>
        <v>9</v>
      </c>
      <c r="AA737" s="11">
        <v>-2</v>
      </c>
      <c r="AB737" s="11">
        <v>0</v>
      </c>
      <c r="AC737" s="11">
        <v>0</v>
      </c>
      <c r="AD737" s="11">
        <v>0</v>
      </c>
      <c r="AE737" s="11">
        <v>0</v>
      </c>
      <c r="AF737" s="11">
        <f t="shared" si="33"/>
        <v>0.42</v>
      </c>
      <c r="AG737" s="11">
        <f t="shared" si="34"/>
        <v>7.42</v>
      </c>
      <c r="AH737" s="11">
        <v>0</v>
      </c>
      <c r="AI737" s="11">
        <f t="shared" si="35"/>
        <v>7.42</v>
      </c>
      <c r="AJ737" t="s">
        <v>62</v>
      </c>
    </row>
    <row r="738" spans="1:36" ht="15" customHeight="1" x14ac:dyDescent="0.35">
      <c r="A738">
        <v>10428918</v>
      </c>
      <c r="B738" t="s">
        <v>36</v>
      </c>
      <c r="C738" t="s">
        <v>37</v>
      </c>
      <c r="D738" s="6" t="s">
        <v>38</v>
      </c>
      <c r="E738" t="s">
        <v>2333</v>
      </c>
      <c r="F738" t="s">
        <v>40</v>
      </c>
      <c r="G738" t="s">
        <v>41</v>
      </c>
      <c r="H738" t="s">
        <v>1479</v>
      </c>
      <c r="I738" t="s">
        <v>43</v>
      </c>
      <c r="J738">
        <v>2</v>
      </c>
      <c r="K738" t="s">
        <v>44</v>
      </c>
      <c r="L738" t="s">
        <v>45</v>
      </c>
      <c r="M738" t="s">
        <v>46</v>
      </c>
      <c r="N738" s="7">
        <v>1</v>
      </c>
      <c r="O738" s="8">
        <v>45652.548726851855</v>
      </c>
      <c r="P738" s="9">
        <v>45654</v>
      </c>
      <c r="Q738" t="s">
        <v>47</v>
      </c>
      <c r="R738" t="s">
        <v>48</v>
      </c>
      <c r="S738" t="s">
        <v>49</v>
      </c>
      <c r="T738" t="s">
        <v>59</v>
      </c>
      <c r="U738" t="s">
        <v>1480</v>
      </c>
      <c r="V738">
        <v>18300</v>
      </c>
      <c r="W738" t="s">
        <v>48</v>
      </c>
      <c r="X738" t="s">
        <v>831</v>
      </c>
      <c r="Y738" t="s">
        <v>54</v>
      </c>
      <c r="Z738" s="12">
        <f>IF(N738&lt;=1,9,9+0.8*ROUNDUP(N738-1,0))</f>
        <v>9</v>
      </c>
      <c r="AA738" s="11">
        <v>-2</v>
      </c>
      <c r="AB738" s="11">
        <v>0</v>
      </c>
      <c r="AC738" s="11">
        <v>0</v>
      </c>
      <c r="AD738" s="11">
        <v>0</v>
      </c>
      <c r="AE738" s="11">
        <v>0</v>
      </c>
      <c r="AF738" s="11">
        <f t="shared" si="33"/>
        <v>0.42</v>
      </c>
      <c r="AG738" s="11">
        <f t="shared" si="34"/>
        <v>7.42</v>
      </c>
      <c r="AH738" s="11">
        <v>0</v>
      </c>
      <c r="AI738" s="11">
        <f t="shared" si="35"/>
        <v>7.42</v>
      </c>
      <c r="AJ738" t="s">
        <v>62</v>
      </c>
    </row>
    <row r="739" spans="1:36" ht="15" customHeight="1" x14ac:dyDescent="0.35">
      <c r="A739">
        <v>10428918</v>
      </c>
      <c r="B739" t="s">
        <v>36</v>
      </c>
      <c r="C739" t="s">
        <v>37</v>
      </c>
      <c r="D739" s="6" t="s">
        <v>38</v>
      </c>
      <c r="E739" t="s">
        <v>2334</v>
      </c>
      <c r="F739" t="s">
        <v>40</v>
      </c>
      <c r="G739" t="s">
        <v>41</v>
      </c>
      <c r="H739" t="s">
        <v>2335</v>
      </c>
      <c r="I739" t="s">
        <v>43</v>
      </c>
      <c r="J739">
        <v>2</v>
      </c>
      <c r="K739" t="s">
        <v>44</v>
      </c>
      <c r="L739" t="s">
        <v>45</v>
      </c>
      <c r="M739" t="s">
        <v>46</v>
      </c>
      <c r="N739" s="7">
        <v>1</v>
      </c>
      <c r="O739" s="8">
        <v>45652.867986111109</v>
      </c>
      <c r="P739" s="9">
        <v>45654</v>
      </c>
      <c r="Q739" t="s">
        <v>58</v>
      </c>
      <c r="R739" t="s">
        <v>48</v>
      </c>
      <c r="S739" t="s">
        <v>49</v>
      </c>
      <c r="T739" t="s">
        <v>117</v>
      </c>
      <c r="U739" t="s">
        <v>2336</v>
      </c>
      <c r="V739">
        <v>40300</v>
      </c>
      <c r="W739" t="s">
        <v>48</v>
      </c>
      <c r="X739" t="s">
        <v>53</v>
      </c>
      <c r="Y739" t="s">
        <v>54</v>
      </c>
      <c r="Z739" s="12">
        <f>IF(N739&lt;=1,9,9+0.8*ROUNDUP(N739-1,0))</f>
        <v>9</v>
      </c>
      <c r="AA739" s="11">
        <v>-2</v>
      </c>
      <c r="AB739" s="11">
        <v>0</v>
      </c>
      <c r="AC739" s="11">
        <v>0</v>
      </c>
      <c r="AD739" s="11">
        <v>0</v>
      </c>
      <c r="AE739" s="11">
        <v>0</v>
      </c>
      <c r="AF739" s="11">
        <f t="shared" si="33"/>
        <v>0.42</v>
      </c>
      <c r="AG739" s="11">
        <f t="shared" si="34"/>
        <v>7.42</v>
      </c>
      <c r="AH739" s="11">
        <v>0</v>
      </c>
      <c r="AI739" s="11">
        <f t="shared" si="35"/>
        <v>7.42</v>
      </c>
      <c r="AJ739" t="s">
        <v>62</v>
      </c>
    </row>
    <row r="740" spans="1:36" ht="15" customHeight="1" x14ac:dyDescent="0.35">
      <c r="A740">
        <v>10428918</v>
      </c>
      <c r="B740" t="s">
        <v>36</v>
      </c>
      <c r="C740" t="s">
        <v>37</v>
      </c>
      <c r="D740" s="6" t="s">
        <v>38</v>
      </c>
      <c r="E740" t="s">
        <v>2337</v>
      </c>
      <c r="F740" t="s">
        <v>40</v>
      </c>
      <c r="G740" t="s">
        <v>41</v>
      </c>
      <c r="H740" t="s">
        <v>2338</v>
      </c>
      <c r="I740" t="s">
        <v>43</v>
      </c>
      <c r="J740">
        <v>2</v>
      </c>
      <c r="K740" t="s">
        <v>44</v>
      </c>
      <c r="L740" t="s">
        <v>45</v>
      </c>
      <c r="M740" t="s">
        <v>46</v>
      </c>
      <c r="N740" s="7">
        <v>2</v>
      </c>
      <c r="O740" s="8">
        <v>45652.548726851855</v>
      </c>
      <c r="P740" s="9">
        <v>45654</v>
      </c>
      <c r="Q740" t="s">
        <v>47</v>
      </c>
      <c r="R740" t="s">
        <v>48</v>
      </c>
      <c r="S740" t="s">
        <v>49</v>
      </c>
      <c r="T740" t="s">
        <v>59</v>
      </c>
      <c r="U740" t="s">
        <v>2339</v>
      </c>
      <c r="V740">
        <v>18300</v>
      </c>
      <c r="W740" t="s">
        <v>48</v>
      </c>
      <c r="X740" t="s">
        <v>831</v>
      </c>
      <c r="Y740" t="s">
        <v>54</v>
      </c>
      <c r="Z740" s="12">
        <f>IF(N740&lt;=1,9,9+0.8*ROUNDUP(N740-1,0))</f>
        <v>9.8000000000000007</v>
      </c>
      <c r="AA740" s="11">
        <v>-2</v>
      </c>
      <c r="AB740" s="11">
        <v>0</v>
      </c>
      <c r="AC740" s="11">
        <v>0</v>
      </c>
      <c r="AD740" s="11">
        <v>0</v>
      </c>
      <c r="AE740" s="11">
        <v>0</v>
      </c>
      <c r="AF740" s="11">
        <f t="shared" si="33"/>
        <v>0.46800000000000003</v>
      </c>
      <c r="AG740" s="11">
        <f t="shared" si="34"/>
        <v>8.2680000000000007</v>
      </c>
      <c r="AH740" s="11">
        <v>0</v>
      </c>
      <c r="AI740" s="11">
        <f t="shared" si="35"/>
        <v>8.2680000000000007</v>
      </c>
      <c r="AJ740" t="s">
        <v>62</v>
      </c>
    </row>
    <row r="741" spans="1:36" ht="15" customHeight="1" x14ac:dyDescent="0.35">
      <c r="A741">
        <v>10428918</v>
      </c>
      <c r="B741" t="s">
        <v>36</v>
      </c>
      <c r="C741" t="s">
        <v>37</v>
      </c>
      <c r="D741" s="6" t="s">
        <v>38</v>
      </c>
      <c r="E741" t="s">
        <v>2340</v>
      </c>
      <c r="F741" t="s">
        <v>40</v>
      </c>
      <c r="G741" t="s">
        <v>41</v>
      </c>
      <c r="H741" t="s">
        <v>2341</v>
      </c>
      <c r="I741" t="s">
        <v>43</v>
      </c>
      <c r="J741">
        <v>2</v>
      </c>
      <c r="K741" t="s">
        <v>44</v>
      </c>
      <c r="L741" t="s">
        <v>45</v>
      </c>
      <c r="M741" t="s">
        <v>46</v>
      </c>
      <c r="N741" s="7">
        <v>1</v>
      </c>
      <c r="O741" s="8">
        <v>45651.797812500001</v>
      </c>
      <c r="P741" s="9">
        <v>45654</v>
      </c>
      <c r="Q741" t="s">
        <v>47</v>
      </c>
      <c r="R741" t="s">
        <v>48</v>
      </c>
      <c r="S741" t="s">
        <v>49</v>
      </c>
      <c r="T741" t="s">
        <v>117</v>
      </c>
      <c r="U741" t="s">
        <v>2342</v>
      </c>
      <c r="V741">
        <v>54200</v>
      </c>
      <c r="W741" t="s">
        <v>48</v>
      </c>
      <c r="X741" t="s">
        <v>1329</v>
      </c>
      <c r="Y741" t="s">
        <v>54</v>
      </c>
      <c r="Z741" s="12">
        <f>IF(N741&lt;=1,9,9+0.8*ROUNDUP(N741-1,0))</f>
        <v>9</v>
      </c>
      <c r="AA741" s="11">
        <v>-2</v>
      </c>
      <c r="AB741" s="11">
        <v>0</v>
      </c>
      <c r="AC741" s="11">
        <v>0</v>
      </c>
      <c r="AD741" s="11">
        <v>0</v>
      </c>
      <c r="AE741" s="11">
        <v>0</v>
      </c>
      <c r="AF741" s="11">
        <f t="shared" si="33"/>
        <v>0.42</v>
      </c>
      <c r="AG741" s="11">
        <f t="shared" si="34"/>
        <v>7.42</v>
      </c>
      <c r="AH741" s="11">
        <v>0</v>
      </c>
      <c r="AI741" s="11">
        <f t="shared" si="35"/>
        <v>7.42</v>
      </c>
      <c r="AJ741" t="s">
        <v>62</v>
      </c>
    </row>
    <row r="742" spans="1:36" ht="15" customHeight="1" x14ac:dyDescent="0.35">
      <c r="A742">
        <v>10428918</v>
      </c>
      <c r="B742" t="s">
        <v>36</v>
      </c>
      <c r="C742" t="s">
        <v>37</v>
      </c>
      <c r="D742" s="6" t="s">
        <v>38</v>
      </c>
      <c r="E742" t="s">
        <v>2343</v>
      </c>
      <c r="F742" t="s">
        <v>40</v>
      </c>
      <c r="G742" t="s">
        <v>41</v>
      </c>
      <c r="H742" t="s">
        <v>2344</v>
      </c>
      <c r="I742" t="s">
        <v>43</v>
      </c>
      <c r="J742">
        <v>2</v>
      </c>
      <c r="K742" t="s">
        <v>44</v>
      </c>
      <c r="L742" t="s">
        <v>45</v>
      </c>
      <c r="M742" t="s">
        <v>46</v>
      </c>
      <c r="N742" s="7">
        <v>6</v>
      </c>
      <c r="O742" s="8">
        <v>45651.589745370373</v>
      </c>
      <c r="P742" s="9">
        <v>45654</v>
      </c>
      <c r="Q742" t="s">
        <v>74</v>
      </c>
      <c r="R742" t="s">
        <v>48</v>
      </c>
      <c r="S742" t="s">
        <v>49</v>
      </c>
      <c r="T742" t="s">
        <v>69</v>
      </c>
      <c r="U742" t="s">
        <v>2345</v>
      </c>
      <c r="V742">
        <v>80250</v>
      </c>
      <c r="W742" t="s">
        <v>48</v>
      </c>
      <c r="X742" t="s">
        <v>761</v>
      </c>
      <c r="Y742" t="s">
        <v>54</v>
      </c>
      <c r="Z742" s="12">
        <f>IF(N742&lt;=1,9,9+0.8*ROUNDUP(N742-1,0))</f>
        <v>13</v>
      </c>
      <c r="AA742" s="11">
        <v>-2</v>
      </c>
      <c r="AB742" s="11">
        <v>0</v>
      </c>
      <c r="AC742" s="11">
        <v>0</v>
      </c>
      <c r="AD742" s="11">
        <v>0</v>
      </c>
      <c r="AE742" s="11">
        <v>0</v>
      </c>
      <c r="AF742" s="11">
        <f t="shared" si="33"/>
        <v>0.65999999999999992</v>
      </c>
      <c r="AG742" s="11">
        <f t="shared" si="34"/>
        <v>11.66</v>
      </c>
      <c r="AH742" s="11">
        <v>0</v>
      </c>
      <c r="AI742" s="11">
        <f t="shared" si="35"/>
        <v>11.66</v>
      </c>
      <c r="AJ742" t="s">
        <v>62</v>
      </c>
    </row>
    <row r="743" spans="1:36" ht="15" customHeight="1" x14ac:dyDescent="0.35">
      <c r="A743">
        <v>10428918</v>
      </c>
      <c r="B743" t="s">
        <v>36</v>
      </c>
      <c r="C743" t="s">
        <v>37</v>
      </c>
      <c r="D743" s="6" t="s">
        <v>38</v>
      </c>
      <c r="E743" t="s">
        <v>2346</v>
      </c>
      <c r="F743" t="s">
        <v>40</v>
      </c>
      <c r="G743" t="s">
        <v>41</v>
      </c>
      <c r="H743" t="s">
        <v>2347</v>
      </c>
      <c r="I743" t="s">
        <v>43</v>
      </c>
      <c r="J743">
        <v>2</v>
      </c>
      <c r="K743" t="s">
        <v>44</v>
      </c>
      <c r="L743" t="s">
        <v>45</v>
      </c>
      <c r="M743" t="s">
        <v>46</v>
      </c>
      <c r="N743" s="7">
        <v>2</v>
      </c>
      <c r="O743" s="8">
        <v>45652.882372685184</v>
      </c>
      <c r="P743" s="9">
        <v>45654</v>
      </c>
      <c r="Q743" t="s">
        <v>58</v>
      </c>
      <c r="R743" t="s">
        <v>48</v>
      </c>
      <c r="S743" t="s">
        <v>49</v>
      </c>
      <c r="T743" t="s">
        <v>90</v>
      </c>
      <c r="U743" t="s">
        <v>2348</v>
      </c>
      <c r="V743">
        <v>22100</v>
      </c>
      <c r="W743" t="s">
        <v>48</v>
      </c>
      <c r="X743" t="s">
        <v>61</v>
      </c>
      <c r="Y743" t="s">
        <v>54</v>
      </c>
      <c r="Z743" s="12">
        <f>IF(N743&lt;=1,9,9+0.8*ROUNDUP(N743-1,0))</f>
        <v>9.8000000000000007</v>
      </c>
      <c r="AA743" s="11">
        <v>-2</v>
      </c>
      <c r="AB743" s="11">
        <v>0</v>
      </c>
      <c r="AC743" s="11">
        <v>0</v>
      </c>
      <c r="AD743" s="11">
        <v>0</v>
      </c>
      <c r="AE743" s="11">
        <v>0</v>
      </c>
      <c r="AF743" s="11">
        <f t="shared" si="33"/>
        <v>0.46800000000000003</v>
      </c>
      <c r="AG743" s="11">
        <f t="shared" si="34"/>
        <v>8.2680000000000007</v>
      </c>
      <c r="AH743" s="11">
        <v>0</v>
      </c>
      <c r="AI743" s="11">
        <f t="shared" si="35"/>
        <v>8.2680000000000007</v>
      </c>
      <c r="AJ743" t="s">
        <v>62</v>
      </c>
    </row>
    <row r="744" spans="1:36" ht="15" customHeight="1" x14ac:dyDescent="0.35">
      <c r="A744">
        <v>10428918</v>
      </c>
      <c r="B744" t="s">
        <v>36</v>
      </c>
      <c r="C744" t="s">
        <v>37</v>
      </c>
      <c r="D744" s="6" t="s">
        <v>38</v>
      </c>
      <c r="E744" t="s">
        <v>2349</v>
      </c>
      <c r="F744" t="s">
        <v>40</v>
      </c>
      <c r="G744" t="s">
        <v>41</v>
      </c>
      <c r="H744" t="s">
        <v>766</v>
      </c>
      <c r="I744" t="s">
        <v>43</v>
      </c>
      <c r="J744">
        <v>2</v>
      </c>
      <c r="K744" t="s">
        <v>44</v>
      </c>
      <c r="L744" t="s">
        <v>45</v>
      </c>
      <c r="M744" t="s">
        <v>46</v>
      </c>
      <c r="N744" s="7">
        <v>4</v>
      </c>
      <c r="O744" s="8">
        <v>45652.895891203705</v>
      </c>
      <c r="P744" s="9">
        <v>45654</v>
      </c>
      <c r="Q744" t="s">
        <v>58</v>
      </c>
      <c r="R744" t="s">
        <v>48</v>
      </c>
      <c r="S744" t="s">
        <v>49</v>
      </c>
      <c r="T744" t="s">
        <v>65</v>
      </c>
      <c r="U744" t="s">
        <v>767</v>
      </c>
      <c r="V744">
        <v>75260</v>
      </c>
      <c r="W744" t="s">
        <v>48</v>
      </c>
      <c r="X744" t="s">
        <v>480</v>
      </c>
      <c r="Y744" t="s">
        <v>54</v>
      </c>
      <c r="Z744" s="12">
        <f>IF(N744&lt;=1,9,9+0.8*ROUNDUP(N744-1,0))</f>
        <v>11.4</v>
      </c>
      <c r="AA744" s="11">
        <v>-2</v>
      </c>
      <c r="AB744" s="11">
        <v>0</v>
      </c>
      <c r="AC744" s="11">
        <v>0</v>
      </c>
      <c r="AD744" s="11">
        <v>0</v>
      </c>
      <c r="AE744" s="11">
        <v>0</v>
      </c>
      <c r="AF744" s="11">
        <f t="shared" si="33"/>
        <v>0.56399999999999995</v>
      </c>
      <c r="AG744" s="11">
        <f t="shared" si="34"/>
        <v>9.9640000000000004</v>
      </c>
      <c r="AH744" s="11">
        <v>0</v>
      </c>
      <c r="AI744" s="11">
        <f t="shared" si="35"/>
        <v>9.9640000000000004</v>
      </c>
      <c r="AJ744" t="s">
        <v>62</v>
      </c>
    </row>
    <row r="745" spans="1:36" ht="15" customHeight="1" x14ac:dyDescent="0.35">
      <c r="A745">
        <v>10428918</v>
      </c>
      <c r="B745" t="s">
        <v>36</v>
      </c>
      <c r="C745" t="s">
        <v>37</v>
      </c>
      <c r="D745" s="6" t="s">
        <v>38</v>
      </c>
      <c r="E745" t="s">
        <v>2350</v>
      </c>
      <c r="F745" t="s">
        <v>40</v>
      </c>
      <c r="G745" t="s">
        <v>41</v>
      </c>
      <c r="H745" t="s">
        <v>2351</v>
      </c>
      <c r="I745" t="s">
        <v>43</v>
      </c>
      <c r="J745">
        <v>2</v>
      </c>
      <c r="K745" t="s">
        <v>44</v>
      </c>
      <c r="L745" t="s">
        <v>45</v>
      </c>
      <c r="M745" t="s">
        <v>46</v>
      </c>
      <c r="N745" s="7">
        <v>1</v>
      </c>
      <c r="O745" s="8">
        <v>45651.748263888891</v>
      </c>
      <c r="P745" s="9">
        <v>45654</v>
      </c>
      <c r="Q745" t="s">
        <v>47</v>
      </c>
      <c r="R745" t="s">
        <v>48</v>
      </c>
      <c r="S745" t="s">
        <v>49</v>
      </c>
      <c r="T745" t="s">
        <v>90</v>
      </c>
      <c r="U745" t="s">
        <v>2352</v>
      </c>
      <c r="V745">
        <v>21200</v>
      </c>
      <c r="W745" t="s">
        <v>48</v>
      </c>
      <c r="X745" t="s">
        <v>1574</v>
      </c>
      <c r="Y745" t="s">
        <v>54</v>
      </c>
      <c r="Z745" s="12">
        <f>IF(N745&lt;=1,9,9+0.8*ROUNDUP(N745-1,0))</f>
        <v>9</v>
      </c>
      <c r="AA745" s="11">
        <v>-2</v>
      </c>
      <c r="AB745" s="11">
        <v>0</v>
      </c>
      <c r="AC745" s="11">
        <v>0</v>
      </c>
      <c r="AD745" s="11">
        <v>0</v>
      </c>
      <c r="AE745" s="11">
        <v>0</v>
      </c>
      <c r="AF745" s="11">
        <f t="shared" si="33"/>
        <v>0.42</v>
      </c>
      <c r="AG745" s="11">
        <f t="shared" si="34"/>
        <v>7.42</v>
      </c>
      <c r="AH745" s="11">
        <v>0</v>
      </c>
      <c r="AI745" s="11">
        <f t="shared" si="35"/>
        <v>7.42</v>
      </c>
      <c r="AJ745" t="s">
        <v>62</v>
      </c>
    </row>
    <row r="746" spans="1:36" ht="15" customHeight="1" x14ac:dyDescent="0.35">
      <c r="A746">
        <v>10428918</v>
      </c>
      <c r="B746" t="s">
        <v>36</v>
      </c>
      <c r="C746" t="s">
        <v>37</v>
      </c>
      <c r="D746" s="6" t="s">
        <v>38</v>
      </c>
      <c r="E746" t="s">
        <v>2353</v>
      </c>
      <c r="F746" t="s">
        <v>40</v>
      </c>
      <c r="G746" t="s">
        <v>41</v>
      </c>
      <c r="H746" t="s">
        <v>2354</v>
      </c>
      <c r="I746" t="s">
        <v>43</v>
      </c>
      <c r="J746">
        <v>2</v>
      </c>
      <c r="K746" t="s">
        <v>44</v>
      </c>
      <c r="L746" t="s">
        <v>45</v>
      </c>
      <c r="M746" t="s">
        <v>46</v>
      </c>
      <c r="N746" s="7">
        <v>2</v>
      </c>
      <c r="O746" s="8">
        <v>45651.77076388889</v>
      </c>
      <c r="P746" s="9">
        <v>45654</v>
      </c>
      <c r="Q746" t="s">
        <v>47</v>
      </c>
      <c r="R746" t="s">
        <v>48</v>
      </c>
      <c r="S746" t="s">
        <v>49</v>
      </c>
      <c r="T746" t="s">
        <v>69</v>
      </c>
      <c r="U746" t="s">
        <v>2355</v>
      </c>
      <c r="V746">
        <v>81000</v>
      </c>
      <c r="W746" t="s">
        <v>48</v>
      </c>
      <c r="X746" t="s">
        <v>861</v>
      </c>
      <c r="Y746" t="s">
        <v>54</v>
      </c>
      <c r="Z746" s="12">
        <f>IF(N746&lt;=1,9,9+0.8*ROUNDUP(N746-1,0))</f>
        <v>9.8000000000000007</v>
      </c>
      <c r="AA746" s="11">
        <v>-2</v>
      </c>
      <c r="AB746" s="11">
        <v>0</v>
      </c>
      <c r="AC746" s="11">
        <v>0</v>
      </c>
      <c r="AD746" s="11">
        <v>0</v>
      </c>
      <c r="AE746" s="11">
        <v>0</v>
      </c>
      <c r="AF746" s="11">
        <f t="shared" si="33"/>
        <v>0.46800000000000003</v>
      </c>
      <c r="AG746" s="11">
        <f t="shared" si="34"/>
        <v>8.2680000000000007</v>
      </c>
      <c r="AH746" s="11">
        <v>0</v>
      </c>
      <c r="AI746" s="11">
        <f t="shared" si="35"/>
        <v>8.2680000000000007</v>
      </c>
      <c r="AJ746" t="s">
        <v>62</v>
      </c>
    </row>
    <row r="747" spans="1:36" ht="15" customHeight="1" x14ac:dyDescent="0.35">
      <c r="A747">
        <v>10428918</v>
      </c>
      <c r="B747" t="s">
        <v>36</v>
      </c>
      <c r="C747" t="s">
        <v>37</v>
      </c>
      <c r="D747" s="6" t="s">
        <v>38</v>
      </c>
      <c r="E747" t="s">
        <v>2356</v>
      </c>
      <c r="F747" t="s">
        <v>40</v>
      </c>
      <c r="G747" t="s">
        <v>41</v>
      </c>
      <c r="H747" t="s">
        <v>2357</v>
      </c>
      <c r="I747" t="s">
        <v>43</v>
      </c>
      <c r="J747">
        <v>2</v>
      </c>
      <c r="K747" t="s">
        <v>44</v>
      </c>
      <c r="L747" t="s">
        <v>45</v>
      </c>
      <c r="M747" t="s">
        <v>46</v>
      </c>
      <c r="N747" s="7">
        <v>1</v>
      </c>
      <c r="O747" s="8">
        <v>45652.905092592591</v>
      </c>
      <c r="P747" s="9">
        <v>45654</v>
      </c>
      <c r="Q747" t="s">
        <v>58</v>
      </c>
      <c r="R747" t="s">
        <v>48</v>
      </c>
      <c r="S747" t="s">
        <v>49</v>
      </c>
      <c r="T747" t="s">
        <v>59</v>
      </c>
      <c r="U747" t="s">
        <v>2358</v>
      </c>
      <c r="V747">
        <v>15300</v>
      </c>
      <c r="W747" t="s">
        <v>48</v>
      </c>
      <c r="X747" t="s">
        <v>61</v>
      </c>
      <c r="Y747" t="s">
        <v>54</v>
      </c>
      <c r="Z747" s="12">
        <f>IF(N747&lt;=1,9,9+0.8*ROUNDUP(N747-1,0))</f>
        <v>9</v>
      </c>
      <c r="AA747" s="11">
        <v>-2</v>
      </c>
      <c r="AB747" s="11">
        <v>0</v>
      </c>
      <c r="AC747" s="11">
        <v>0</v>
      </c>
      <c r="AD747" s="11">
        <v>0</v>
      </c>
      <c r="AE747" s="11">
        <v>0</v>
      </c>
      <c r="AF747" s="11">
        <f t="shared" si="33"/>
        <v>0.42</v>
      </c>
      <c r="AG747" s="11">
        <f t="shared" si="34"/>
        <v>7.42</v>
      </c>
      <c r="AH747" s="11">
        <v>0</v>
      </c>
      <c r="AI747" s="11">
        <f t="shared" si="35"/>
        <v>7.42</v>
      </c>
      <c r="AJ747" t="s">
        <v>62</v>
      </c>
    </row>
    <row r="748" spans="1:36" ht="15" customHeight="1" x14ac:dyDescent="0.35">
      <c r="A748">
        <v>10428918</v>
      </c>
      <c r="B748" t="s">
        <v>36</v>
      </c>
      <c r="C748" t="s">
        <v>37</v>
      </c>
      <c r="D748" s="6" t="s">
        <v>38</v>
      </c>
      <c r="E748" t="s">
        <v>2359</v>
      </c>
      <c r="F748" t="s">
        <v>40</v>
      </c>
      <c r="G748" t="s">
        <v>41</v>
      </c>
      <c r="H748" t="s">
        <v>2360</v>
      </c>
      <c r="I748" t="s">
        <v>43</v>
      </c>
      <c r="J748">
        <v>2</v>
      </c>
      <c r="K748" t="s">
        <v>44</v>
      </c>
      <c r="L748" t="s">
        <v>45</v>
      </c>
      <c r="M748" t="s">
        <v>46</v>
      </c>
      <c r="N748" s="7">
        <v>1</v>
      </c>
      <c r="O748" s="8">
        <v>45652.895879629628</v>
      </c>
      <c r="P748" s="9">
        <v>45654</v>
      </c>
      <c r="Q748" t="s">
        <v>58</v>
      </c>
      <c r="R748" t="s">
        <v>48</v>
      </c>
      <c r="S748" t="s">
        <v>49</v>
      </c>
      <c r="T748" t="s">
        <v>90</v>
      </c>
      <c r="U748" t="s">
        <v>2361</v>
      </c>
      <c r="V748">
        <v>22000</v>
      </c>
      <c r="W748" t="s">
        <v>48</v>
      </c>
      <c r="X748" t="s">
        <v>61</v>
      </c>
      <c r="Y748" t="s">
        <v>54</v>
      </c>
      <c r="Z748" s="12">
        <f>IF(N748&lt;=1,9,9+0.8*ROUNDUP(N748-1,0))</f>
        <v>9</v>
      </c>
      <c r="AA748" s="11">
        <v>-2</v>
      </c>
      <c r="AB748" s="11">
        <v>0</v>
      </c>
      <c r="AC748" s="11">
        <v>0</v>
      </c>
      <c r="AD748" s="11">
        <v>0</v>
      </c>
      <c r="AE748" s="11">
        <v>0</v>
      </c>
      <c r="AF748" s="11">
        <f t="shared" si="33"/>
        <v>0.42</v>
      </c>
      <c r="AG748" s="11">
        <f t="shared" si="34"/>
        <v>7.42</v>
      </c>
      <c r="AH748" s="11">
        <v>0</v>
      </c>
      <c r="AI748" s="11">
        <f t="shared" si="35"/>
        <v>7.42</v>
      </c>
      <c r="AJ748" t="s">
        <v>62</v>
      </c>
    </row>
    <row r="749" spans="1:36" ht="15" customHeight="1" x14ac:dyDescent="0.35">
      <c r="A749">
        <v>10428918</v>
      </c>
      <c r="B749" t="s">
        <v>36</v>
      </c>
      <c r="C749" t="s">
        <v>37</v>
      </c>
      <c r="D749" s="6" t="s">
        <v>38</v>
      </c>
      <c r="E749" t="s">
        <v>2362</v>
      </c>
      <c r="F749" t="s">
        <v>40</v>
      </c>
      <c r="G749" t="s">
        <v>41</v>
      </c>
      <c r="H749" t="s">
        <v>2363</v>
      </c>
      <c r="I749" t="s">
        <v>43</v>
      </c>
      <c r="J749">
        <v>2</v>
      </c>
      <c r="K749" t="s">
        <v>44</v>
      </c>
      <c r="L749" t="s">
        <v>45</v>
      </c>
      <c r="M749" t="s">
        <v>46</v>
      </c>
      <c r="N749" s="7">
        <v>2</v>
      </c>
      <c r="O749" s="8">
        <v>45652.548715277779</v>
      </c>
      <c r="P749" s="9">
        <v>45654</v>
      </c>
      <c r="Q749" t="s">
        <v>47</v>
      </c>
      <c r="R749" t="s">
        <v>48</v>
      </c>
      <c r="S749" t="s">
        <v>49</v>
      </c>
      <c r="T749" t="s">
        <v>69</v>
      </c>
      <c r="U749" t="s">
        <v>2364</v>
      </c>
      <c r="V749">
        <v>81200</v>
      </c>
      <c r="W749" t="s">
        <v>48</v>
      </c>
      <c r="X749" t="s">
        <v>53</v>
      </c>
      <c r="Y749" t="s">
        <v>54</v>
      </c>
      <c r="Z749" s="12">
        <f>IF(N749&lt;=1,9,9+0.8*ROUNDUP(N749-1,0))</f>
        <v>9.8000000000000007</v>
      </c>
      <c r="AA749" s="11">
        <v>-2</v>
      </c>
      <c r="AB749" s="11">
        <v>0</v>
      </c>
      <c r="AC749" s="11">
        <v>0</v>
      </c>
      <c r="AD749" s="11">
        <v>0</v>
      </c>
      <c r="AE749" s="11">
        <v>0</v>
      </c>
      <c r="AF749" s="11">
        <f t="shared" si="33"/>
        <v>0.46800000000000003</v>
      </c>
      <c r="AG749" s="11">
        <f t="shared" si="34"/>
        <v>8.2680000000000007</v>
      </c>
      <c r="AH749" s="11">
        <v>0</v>
      </c>
      <c r="AI749" s="11">
        <f t="shared" si="35"/>
        <v>8.2680000000000007</v>
      </c>
      <c r="AJ749" t="s">
        <v>62</v>
      </c>
    </row>
    <row r="750" spans="1:36" ht="15" customHeight="1" x14ac:dyDescent="0.35">
      <c r="A750">
        <v>10428918</v>
      </c>
      <c r="B750" t="s">
        <v>36</v>
      </c>
      <c r="C750" t="s">
        <v>37</v>
      </c>
      <c r="D750" s="6" t="s">
        <v>38</v>
      </c>
      <c r="E750" t="s">
        <v>2365</v>
      </c>
      <c r="F750" t="s">
        <v>40</v>
      </c>
      <c r="G750" t="s">
        <v>41</v>
      </c>
      <c r="H750" t="s">
        <v>2366</v>
      </c>
      <c r="I750" t="s">
        <v>43</v>
      </c>
      <c r="J750">
        <v>2</v>
      </c>
      <c r="K750" t="s">
        <v>44</v>
      </c>
      <c r="L750" t="s">
        <v>45</v>
      </c>
      <c r="M750" t="s">
        <v>46</v>
      </c>
      <c r="N750" s="7">
        <v>1</v>
      </c>
      <c r="O750" s="8">
        <v>45651.77076388889</v>
      </c>
      <c r="P750" s="9">
        <v>45654</v>
      </c>
      <c r="Q750" t="s">
        <v>47</v>
      </c>
      <c r="R750" t="s">
        <v>48</v>
      </c>
      <c r="S750" t="s">
        <v>49</v>
      </c>
      <c r="T750" t="s">
        <v>85</v>
      </c>
      <c r="U750" t="s">
        <v>2367</v>
      </c>
      <c r="V750">
        <v>71300</v>
      </c>
      <c r="W750" t="s">
        <v>48</v>
      </c>
      <c r="X750" t="s">
        <v>114</v>
      </c>
      <c r="Y750" t="s">
        <v>54</v>
      </c>
      <c r="Z750" s="12">
        <f>IF(N750&lt;=1,9,9+0.8*ROUNDUP(N750-1,0))</f>
        <v>9</v>
      </c>
      <c r="AA750" s="11">
        <v>-2</v>
      </c>
      <c r="AB750" s="11">
        <v>0</v>
      </c>
      <c r="AC750" s="11">
        <v>0</v>
      </c>
      <c r="AD750" s="11">
        <v>0</v>
      </c>
      <c r="AE750" s="11">
        <v>0</v>
      </c>
      <c r="AF750" s="11">
        <f t="shared" si="33"/>
        <v>0.42</v>
      </c>
      <c r="AG750" s="11">
        <f t="shared" si="34"/>
        <v>7.42</v>
      </c>
      <c r="AH750" s="11">
        <v>0</v>
      </c>
      <c r="AI750" s="11">
        <f t="shared" si="35"/>
        <v>7.42</v>
      </c>
      <c r="AJ750" t="s">
        <v>62</v>
      </c>
    </row>
    <row r="751" spans="1:36" ht="15" customHeight="1" x14ac:dyDescent="0.35">
      <c r="A751">
        <v>10428918</v>
      </c>
      <c r="B751" t="s">
        <v>36</v>
      </c>
      <c r="C751" t="s">
        <v>37</v>
      </c>
      <c r="D751" s="6" t="s">
        <v>38</v>
      </c>
      <c r="E751" t="s">
        <v>2368</v>
      </c>
      <c r="F751" t="s">
        <v>40</v>
      </c>
      <c r="G751" t="s">
        <v>41</v>
      </c>
      <c r="H751" t="s">
        <v>514</v>
      </c>
      <c r="I751" t="s">
        <v>43</v>
      </c>
      <c r="J751">
        <v>2</v>
      </c>
      <c r="K751" t="s">
        <v>44</v>
      </c>
      <c r="L751" t="s">
        <v>45</v>
      </c>
      <c r="M751" t="s">
        <v>46</v>
      </c>
      <c r="N751" s="7">
        <v>2</v>
      </c>
      <c r="O751" s="8">
        <v>45652.548715277779</v>
      </c>
      <c r="P751" s="9">
        <v>45654</v>
      </c>
      <c r="Q751" t="s">
        <v>47</v>
      </c>
      <c r="R751" t="s">
        <v>48</v>
      </c>
      <c r="S751" t="s">
        <v>49</v>
      </c>
      <c r="T751" t="s">
        <v>69</v>
      </c>
      <c r="U751" t="s">
        <v>2369</v>
      </c>
      <c r="V751">
        <v>81900</v>
      </c>
      <c r="W751" t="s">
        <v>48</v>
      </c>
      <c r="X751" t="s">
        <v>122</v>
      </c>
      <c r="Y751" t="s">
        <v>54</v>
      </c>
      <c r="Z751" s="12">
        <f>IF(N751&lt;=1,9,9+0.8*ROUNDUP(N751-1,0))</f>
        <v>9.8000000000000007</v>
      </c>
      <c r="AA751" s="11">
        <v>-2</v>
      </c>
      <c r="AB751" s="11">
        <v>0</v>
      </c>
      <c r="AC751" s="11">
        <v>0</v>
      </c>
      <c r="AD751" s="11">
        <v>0</v>
      </c>
      <c r="AE751" s="11">
        <v>0</v>
      </c>
      <c r="AF751" s="11">
        <f t="shared" si="33"/>
        <v>0.46800000000000003</v>
      </c>
      <c r="AG751" s="11">
        <f t="shared" si="34"/>
        <v>8.2680000000000007</v>
      </c>
      <c r="AH751" s="11">
        <v>0</v>
      </c>
      <c r="AI751" s="11">
        <f t="shared" si="35"/>
        <v>8.2680000000000007</v>
      </c>
      <c r="AJ751" t="s">
        <v>62</v>
      </c>
    </row>
    <row r="752" spans="1:36" ht="15" customHeight="1" x14ac:dyDescent="0.35">
      <c r="A752">
        <v>10428918</v>
      </c>
      <c r="B752" t="s">
        <v>36</v>
      </c>
      <c r="C752" t="s">
        <v>37</v>
      </c>
      <c r="D752" s="6" t="s">
        <v>38</v>
      </c>
      <c r="E752" t="s">
        <v>2370</v>
      </c>
      <c r="F752" t="s">
        <v>40</v>
      </c>
      <c r="G752" t="s">
        <v>41</v>
      </c>
      <c r="H752" t="s">
        <v>2371</v>
      </c>
      <c r="I752" t="s">
        <v>43</v>
      </c>
      <c r="J752">
        <v>2</v>
      </c>
      <c r="K752" t="s">
        <v>44</v>
      </c>
      <c r="L752" t="s">
        <v>45</v>
      </c>
      <c r="M752" t="s">
        <v>46</v>
      </c>
      <c r="N752" s="7">
        <v>2</v>
      </c>
      <c r="O752" s="8">
        <v>45652.895891203705</v>
      </c>
      <c r="P752" s="9">
        <v>45654</v>
      </c>
      <c r="Q752" t="s">
        <v>58</v>
      </c>
      <c r="R752" t="s">
        <v>48</v>
      </c>
      <c r="S752" t="s">
        <v>49</v>
      </c>
      <c r="T752" t="s">
        <v>170</v>
      </c>
      <c r="U752" t="s">
        <v>2372</v>
      </c>
      <c r="V752">
        <v>50400</v>
      </c>
      <c r="W752" t="s">
        <v>48</v>
      </c>
      <c r="X752" t="s">
        <v>365</v>
      </c>
      <c r="Y752" t="s">
        <v>54</v>
      </c>
      <c r="Z752" s="12">
        <f>IF(N752&lt;=1,9,9+0.8*ROUNDUP(N752-1,0))</f>
        <v>9.8000000000000007</v>
      </c>
      <c r="AA752" s="11">
        <v>-2</v>
      </c>
      <c r="AB752" s="11">
        <v>0</v>
      </c>
      <c r="AC752" s="11">
        <v>0</v>
      </c>
      <c r="AD752" s="11">
        <v>0</v>
      </c>
      <c r="AE752" s="11">
        <v>0</v>
      </c>
      <c r="AF752" s="11">
        <f t="shared" si="33"/>
        <v>0.46800000000000003</v>
      </c>
      <c r="AG752" s="11">
        <f t="shared" si="34"/>
        <v>8.2680000000000007</v>
      </c>
      <c r="AH752" s="11">
        <v>0</v>
      </c>
      <c r="AI752" s="11">
        <f t="shared" si="35"/>
        <v>8.2680000000000007</v>
      </c>
      <c r="AJ752" t="s">
        <v>62</v>
      </c>
    </row>
    <row r="753" spans="1:36" ht="15" customHeight="1" x14ac:dyDescent="0.35">
      <c r="A753">
        <v>10428918</v>
      </c>
      <c r="B753" t="s">
        <v>36</v>
      </c>
      <c r="C753" t="s">
        <v>37</v>
      </c>
      <c r="D753" s="6" t="s">
        <v>38</v>
      </c>
      <c r="E753" t="s">
        <v>2373</v>
      </c>
      <c r="F753" t="s">
        <v>40</v>
      </c>
      <c r="G753" t="s">
        <v>41</v>
      </c>
      <c r="H753" t="s">
        <v>2374</v>
      </c>
      <c r="I753" t="s">
        <v>43</v>
      </c>
      <c r="J753">
        <v>2</v>
      </c>
      <c r="K753" t="s">
        <v>44</v>
      </c>
      <c r="L753" t="s">
        <v>45</v>
      </c>
      <c r="M753" t="s">
        <v>46</v>
      </c>
      <c r="N753" s="7">
        <v>2</v>
      </c>
      <c r="O753" s="8">
        <v>45651.750381944446</v>
      </c>
      <c r="P753" s="9">
        <v>45654</v>
      </c>
      <c r="Q753" t="s">
        <v>47</v>
      </c>
      <c r="R753" t="s">
        <v>48</v>
      </c>
      <c r="S753" t="s">
        <v>49</v>
      </c>
      <c r="T753" t="s">
        <v>69</v>
      </c>
      <c r="U753" t="s">
        <v>2375</v>
      </c>
      <c r="V753">
        <v>81200</v>
      </c>
      <c r="W753" t="s">
        <v>48</v>
      </c>
      <c r="X753" t="s">
        <v>771</v>
      </c>
      <c r="Y753" t="s">
        <v>54</v>
      </c>
      <c r="Z753" s="12">
        <f>IF(N753&lt;=1,9,9+0.8*ROUNDUP(N753-1,0))</f>
        <v>9.8000000000000007</v>
      </c>
      <c r="AA753" s="11">
        <v>-2</v>
      </c>
      <c r="AB753" s="11">
        <v>0</v>
      </c>
      <c r="AC753" s="11">
        <v>0</v>
      </c>
      <c r="AD753" s="11">
        <v>0</v>
      </c>
      <c r="AE753" s="11">
        <v>0</v>
      </c>
      <c r="AF753" s="11">
        <f t="shared" si="33"/>
        <v>0.46800000000000003</v>
      </c>
      <c r="AG753" s="11">
        <f t="shared" si="34"/>
        <v>8.2680000000000007</v>
      </c>
      <c r="AH753" s="11">
        <v>0</v>
      </c>
      <c r="AI753" s="11">
        <f t="shared" si="35"/>
        <v>8.2680000000000007</v>
      </c>
      <c r="AJ753" t="s">
        <v>62</v>
      </c>
    </row>
    <row r="754" spans="1:36" ht="15" customHeight="1" x14ac:dyDescent="0.35">
      <c r="A754">
        <v>10428918</v>
      </c>
      <c r="B754" t="s">
        <v>36</v>
      </c>
      <c r="C754" t="s">
        <v>37</v>
      </c>
      <c r="D754" s="6" t="s">
        <v>38</v>
      </c>
      <c r="E754" t="s">
        <v>2376</v>
      </c>
      <c r="F754" t="s">
        <v>40</v>
      </c>
      <c r="G754" t="s">
        <v>41</v>
      </c>
      <c r="H754" t="s">
        <v>2377</v>
      </c>
      <c r="I754" t="s">
        <v>43</v>
      </c>
      <c r="J754">
        <v>2</v>
      </c>
      <c r="K754" t="s">
        <v>44</v>
      </c>
      <c r="L754" t="s">
        <v>45</v>
      </c>
      <c r="M754" t="s">
        <v>46</v>
      </c>
      <c r="N754" s="7">
        <v>1</v>
      </c>
      <c r="O754" s="8">
        <v>45652.882372685184</v>
      </c>
      <c r="P754" s="9">
        <v>45654</v>
      </c>
      <c r="Q754" t="s">
        <v>58</v>
      </c>
      <c r="R754" t="s">
        <v>48</v>
      </c>
      <c r="S754" t="s">
        <v>49</v>
      </c>
      <c r="T754" t="s">
        <v>117</v>
      </c>
      <c r="U754" t="s">
        <v>2378</v>
      </c>
      <c r="V754">
        <v>40400</v>
      </c>
      <c r="W754" t="s">
        <v>48</v>
      </c>
      <c r="X754" t="s">
        <v>943</v>
      </c>
      <c r="Y754" t="s">
        <v>54</v>
      </c>
      <c r="Z754" s="12">
        <f>IF(N754&lt;=1,9,9+0.8*ROUNDUP(N754-1,0))</f>
        <v>9</v>
      </c>
      <c r="AA754" s="11">
        <v>-2</v>
      </c>
      <c r="AB754" s="11">
        <v>0</v>
      </c>
      <c r="AC754" s="11">
        <v>0</v>
      </c>
      <c r="AD754" s="11">
        <v>0</v>
      </c>
      <c r="AE754" s="11">
        <v>0</v>
      </c>
      <c r="AF754" s="11">
        <f t="shared" si="33"/>
        <v>0.42</v>
      </c>
      <c r="AG754" s="11">
        <f t="shared" si="34"/>
        <v>7.42</v>
      </c>
      <c r="AH754" s="11">
        <v>0</v>
      </c>
      <c r="AI754" s="11">
        <f t="shared" si="35"/>
        <v>7.42</v>
      </c>
      <c r="AJ754" t="s">
        <v>62</v>
      </c>
    </row>
    <row r="755" spans="1:36" ht="15" customHeight="1" x14ac:dyDescent="0.35">
      <c r="A755">
        <v>10428918</v>
      </c>
      <c r="B755" t="s">
        <v>36</v>
      </c>
      <c r="C755" t="s">
        <v>37</v>
      </c>
      <c r="D755" s="6" t="s">
        <v>38</v>
      </c>
      <c r="E755" t="s">
        <v>2379</v>
      </c>
      <c r="F755" t="s">
        <v>40</v>
      </c>
      <c r="G755" t="s">
        <v>41</v>
      </c>
      <c r="H755" t="s">
        <v>2380</v>
      </c>
      <c r="I755" t="s">
        <v>43</v>
      </c>
      <c r="J755">
        <v>2</v>
      </c>
      <c r="K755" t="s">
        <v>44</v>
      </c>
      <c r="L755" t="s">
        <v>45</v>
      </c>
      <c r="M755" t="s">
        <v>46</v>
      </c>
      <c r="N755" s="7">
        <v>1</v>
      </c>
      <c r="O755" s="8">
        <v>45652.905092592591</v>
      </c>
      <c r="P755" s="9">
        <v>45654</v>
      </c>
      <c r="Q755" t="s">
        <v>58</v>
      </c>
      <c r="R755" t="s">
        <v>48</v>
      </c>
      <c r="S755" t="s">
        <v>49</v>
      </c>
      <c r="T755" t="s">
        <v>75</v>
      </c>
      <c r="U755" t="s">
        <v>2381</v>
      </c>
      <c r="V755">
        <v>26300</v>
      </c>
      <c r="W755" t="s">
        <v>48</v>
      </c>
      <c r="X755" t="s">
        <v>61</v>
      </c>
      <c r="Y755" t="s">
        <v>54</v>
      </c>
      <c r="Z755" s="12">
        <f>IF(N755&lt;=1,9,9+0.8*ROUNDUP(N755-1,0))</f>
        <v>9</v>
      </c>
      <c r="AA755" s="11">
        <v>-2</v>
      </c>
      <c r="AB755" s="11">
        <v>0</v>
      </c>
      <c r="AC755" s="11">
        <v>0</v>
      </c>
      <c r="AD755" s="11">
        <v>0</v>
      </c>
      <c r="AE755" s="11">
        <v>0</v>
      </c>
      <c r="AF755" s="11">
        <f t="shared" si="33"/>
        <v>0.42</v>
      </c>
      <c r="AG755" s="11">
        <f t="shared" si="34"/>
        <v>7.42</v>
      </c>
      <c r="AH755" s="11">
        <v>0</v>
      </c>
      <c r="AI755" s="11">
        <f t="shared" si="35"/>
        <v>7.42</v>
      </c>
      <c r="AJ755" t="s">
        <v>62</v>
      </c>
    </row>
    <row r="756" spans="1:36" ht="15" customHeight="1" x14ac:dyDescent="0.35">
      <c r="A756">
        <v>10428918</v>
      </c>
      <c r="B756" t="s">
        <v>36</v>
      </c>
      <c r="C756" t="s">
        <v>37</v>
      </c>
      <c r="D756" s="6" t="s">
        <v>38</v>
      </c>
      <c r="E756" t="s">
        <v>2382</v>
      </c>
      <c r="F756" t="s">
        <v>40</v>
      </c>
      <c r="G756" t="s">
        <v>41</v>
      </c>
      <c r="H756" t="s">
        <v>2383</v>
      </c>
      <c r="I756" t="s">
        <v>43</v>
      </c>
      <c r="J756">
        <v>2</v>
      </c>
      <c r="K756" t="s">
        <v>44</v>
      </c>
      <c r="L756" t="s">
        <v>45</v>
      </c>
      <c r="M756" t="s">
        <v>46</v>
      </c>
      <c r="N756" s="7">
        <v>2</v>
      </c>
      <c r="O756" s="8">
        <v>45649.792974537035</v>
      </c>
      <c r="P756" s="9">
        <v>45654</v>
      </c>
      <c r="Q756" t="s">
        <v>74</v>
      </c>
      <c r="R756" t="s">
        <v>48</v>
      </c>
      <c r="S756" t="s">
        <v>49</v>
      </c>
      <c r="T756" t="s">
        <v>69</v>
      </c>
      <c r="U756" t="s">
        <v>2384</v>
      </c>
      <c r="V756">
        <v>81100</v>
      </c>
      <c r="W756" t="s">
        <v>48</v>
      </c>
      <c r="X756" t="s">
        <v>53</v>
      </c>
      <c r="Y756" t="s">
        <v>54</v>
      </c>
      <c r="Z756" s="12">
        <f>IF(N756&lt;=1,9,9+0.8*ROUNDUP(N756-1,0))</f>
        <v>9.8000000000000007</v>
      </c>
      <c r="AA756" s="11">
        <v>-2</v>
      </c>
      <c r="AB756" s="11">
        <v>0</v>
      </c>
      <c r="AC756" s="11">
        <v>0</v>
      </c>
      <c r="AD756" s="11">
        <v>0</v>
      </c>
      <c r="AE756" s="11">
        <v>0</v>
      </c>
      <c r="AF756" s="11">
        <f t="shared" si="33"/>
        <v>0.46800000000000003</v>
      </c>
      <c r="AG756" s="11">
        <f t="shared" si="34"/>
        <v>8.2680000000000007</v>
      </c>
      <c r="AH756" s="11">
        <v>0</v>
      </c>
      <c r="AI756" s="11">
        <f t="shared" si="35"/>
        <v>8.2680000000000007</v>
      </c>
      <c r="AJ756" t="s">
        <v>62</v>
      </c>
    </row>
    <row r="757" spans="1:36" ht="15" customHeight="1" x14ac:dyDescent="0.35">
      <c r="A757">
        <v>10428918</v>
      </c>
      <c r="B757" t="s">
        <v>36</v>
      </c>
      <c r="C757" t="s">
        <v>37</v>
      </c>
      <c r="D757" s="6" t="s">
        <v>38</v>
      </c>
      <c r="E757" t="s">
        <v>2385</v>
      </c>
      <c r="F757" t="s">
        <v>40</v>
      </c>
      <c r="G757" t="s">
        <v>41</v>
      </c>
      <c r="H757" t="s">
        <v>2386</v>
      </c>
      <c r="I757" t="s">
        <v>43</v>
      </c>
      <c r="J757">
        <v>2</v>
      </c>
      <c r="K757" t="s">
        <v>44</v>
      </c>
      <c r="L757" t="s">
        <v>45</v>
      </c>
      <c r="M757" t="s">
        <v>46</v>
      </c>
      <c r="N757" s="7">
        <v>1</v>
      </c>
      <c r="O757" s="8">
        <v>45651.77076388889</v>
      </c>
      <c r="P757" s="9">
        <v>45654</v>
      </c>
      <c r="Q757" t="s">
        <v>47</v>
      </c>
      <c r="R757" t="s">
        <v>48</v>
      </c>
      <c r="S757" t="s">
        <v>49</v>
      </c>
      <c r="T757" t="s">
        <v>85</v>
      </c>
      <c r="U757" t="s">
        <v>2387</v>
      </c>
      <c r="V757">
        <v>70300</v>
      </c>
      <c r="W757" t="s">
        <v>48</v>
      </c>
      <c r="X757" t="s">
        <v>53</v>
      </c>
      <c r="Y757" t="s">
        <v>54</v>
      </c>
      <c r="Z757" s="12">
        <f>IF(N757&lt;=1,9,9+0.8*ROUNDUP(N757-1,0))</f>
        <v>9</v>
      </c>
      <c r="AA757" s="11">
        <v>-2</v>
      </c>
      <c r="AB757" s="11">
        <v>0</v>
      </c>
      <c r="AC757" s="11">
        <v>0</v>
      </c>
      <c r="AD757" s="11">
        <v>0</v>
      </c>
      <c r="AE757" s="11">
        <v>0</v>
      </c>
      <c r="AF757" s="11">
        <f t="shared" si="33"/>
        <v>0.42</v>
      </c>
      <c r="AG757" s="11">
        <f t="shared" si="34"/>
        <v>7.42</v>
      </c>
      <c r="AH757" s="11">
        <v>0</v>
      </c>
      <c r="AI757" s="11">
        <f t="shared" si="35"/>
        <v>7.42</v>
      </c>
      <c r="AJ757" t="s">
        <v>62</v>
      </c>
    </row>
    <row r="758" spans="1:36" ht="15" customHeight="1" x14ac:dyDescent="0.35">
      <c r="A758">
        <v>10428918</v>
      </c>
      <c r="B758" t="s">
        <v>36</v>
      </c>
      <c r="C758" t="s">
        <v>37</v>
      </c>
      <c r="D758" s="6" t="s">
        <v>38</v>
      </c>
      <c r="E758" t="s">
        <v>2388</v>
      </c>
      <c r="F758" t="s">
        <v>40</v>
      </c>
      <c r="G758" t="s">
        <v>41</v>
      </c>
      <c r="H758" t="s">
        <v>2389</v>
      </c>
      <c r="I758" t="s">
        <v>43</v>
      </c>
      <c r="J758">
        <v>2</v>
      </c>
      <c r="K758" t="s">
        <v>44</v>
      </c>
      <c r="L758" t="s">
        <v>45</v>
      </c>
      <c r="M758" t="s">
        <v>46</v>
      </c>
      <c r="N758" s="7">
        <v>2</v>
      </c>
      <c r="O758" s="8">
        <v>45652.905092592591</v>
      </c>
      <c r="P758" s="9">
        <v>45654</v>
      </c>
      <c r="Q758" t="s">
        <v>58</v>
      </c>
      <c r="R758" t="s">
        <v>48</v>
      </c>
      <c r="S758" t="s">
        <v>49</v>
      </c>
      <c r="T758" t="s">
        <v>117</v>
      </c>
      <c r="U758" t="s">
        <v>2390</v>
      </c>
      <c r="V758">
        <v>48020</v>
      </c>
      <c r="W758" t="s">
        <v>48</v>
      </c>
      <c r="X758" t="s">
        <v>254</v>
      </c>
      <c r="Y758" t="s">
        <v>54</v>
      </c>
      <c r="Z758" s="12">
        <f>IF(N758&lt;=1,9,9+0.8*ROUNDUP(N758-1,0))</f>
        <v>9.8000000000000007</v>
      </c>
      <c r="AA758" s="11">
        <v>-2</v>
      </c>
      <c r="AB758" s="11">
        <v>0</v>
      </c>
      <c r="AC758" s="11">
        <v>0</v>
      </c>
      <c r="AD758" s="11">
        <v>0</v>
      </c>
      <c r="AE758" s="11">
        <v>0</v>
      </c>
      <c r="AF758" s="11">
        <f t="shared" si="33"/>
        <v>0.46800000000000003</v>
      </c>
      <c r="AG758" s="11">
        <f t="shared" si="34"/>
        <v>8.2680000000000007</v>
      </c>
      <c r="AH758" s="11">
        <v>0</v>
      </c>
      <c r="AI758" s="11">
        <f t="shared" si="35"/>
        <v>8.2680000000000007</v>
      </c>
      <c r="AJ758" t="s">
        <v>62</v>
      </c>
    </row>
    <row r="759" spans="1:36" ht="15" customHeight="1" x14ac:dyDescent="0.35">
      <c r="A759">
        <v>10428918</v>
      </c>
      <c r="B759" t="s">
        <v>36</v>
      </c>
      <c r="C759" t="s">
        <v>37</v>
      </c>
      <c r="D759" s="6" t="s">
        <v>38</v>
      </c>
      <c r="E759" t="s">
        <v>2391</v>
      </c>
      <c r="F759" t="s">
        <v>40</v>
      </c>
      <c r="G759" t="s">
        <v>41</v>
      </c>
      <c r="H759" t="s">
        <v>2392</v>
      </c>
      <c r="I759" t="s">
        <v>43</v>
      </c>
      <c r="J759">
        <v>2</v>
      </c>
      <c r="K759" t="s">
        <v>44</v>
      </c>
      <c r="L759" t="s">
        <v>45</v>
      </c>
      <c r="M759" t="s">
        <v>46</v>
      </c>
      <c r="N759" s="7">
        <v>1</v>
      </c>
      <c r="O759" s="8">
        <v>45652.548726851855</v>
      </c>
      <c r="P759" s="9">
        <v>45654</v>
      </c>
      <c r="Q759" t="s">
        <v>47</v>
      </c>
      <c r="R759" t="s">
        <v>48</v>
      </c>
      <c r="S759" t="s">
        <v>49</v>
      </c>
      <c r="T759" t="s">
        <v>69</v>
      </c>
      <c r="U759" t="s">
        <v>2393</v>
      </c>
      <c r="V759">
        <v>81300</v>
      </c>
      <c r="W759" t="s">
        <v>48</v>
      </c>
      <c r="X759" t="s">
        <v>394</v>
      </c>
      <c r="Y759" t="s">
        <v>54</v>
      </c>
      <c r="Z759" s="12">
        <f>IF(N759&lt;=1,9,9+0.8*ROUNDUP(N759-1,0))</f>
        <v>9</v>
      </c>
      <c r="AA759" s="11">
        <v>-2</v>
      </c>
      <c r="AB759" s="11">
        <v>0</v>
      </c>
      <c r="AC759" s="11">
        <v>0</v>
      </c>
      <c r="AD759" s="11">
        <v>0</v>
      </c>
      <c r="AE759" s="11">
        <v>0</v>
      </c>
      <c r="AF759" s="11">
        <f t="shared" si="33"/>
        <v>0.42</v>
      </c>
      <c r="AG759" s="11">
        <f t="shared" si="34"/>
        <v>7.42</v>
      </c>
      <c r="AH759" s="11">
        <v>0</v>
      </c>
      <c r="AI759" s="11">
        <f t="shared" si="35"/>
        <v>7.42</v>
      </c>
      <c r="AJ759" t="s">
        <v>62</v>
      </c>
    </row>
    <row r="760" spans="1:36" ht="15" customHeight="1" x14ac:dyDescent="0.35">
      <c r="A760">
        <v>10428918</v>
      </c>
      <c r="B760" t="s">
        <v>36</v>
      </c>
      <c r="C760" t="s">
        <v>37</v>
      </c>
      <c r="D760" s="6" t="s">
        <v>38</v>
      </c>
      <c r="E760" t="s">
        <v>2394</v>
      </c>
      <c r="F760" t="s">
        <v>40</v>
      </c>
      <c r="G760" t="s">
        <v>41</v>
      </c>
      <c r="H760" t="s">
        <v>1876</v>
      </c>
      <c r="I760" t="s">
        <v>43</v>
      </c>
      <c r="J760">
        <v>2</v>
      </c>
      <c r="K760" t="s">
        <v>44</v>
      </c>
      <c r="L760" t="s">
        <v>45</v>
      </c>
      <c r="M760" t="s">
        <v>46</v>
      </c>
      <c r="N760" s="7">
        <v>1</v>
      </c>
      <c r="O760" s="8">
        <v>45652.882361111115</v>
      </c>
      <c r="P760" s="9">
        <v>45654</v>
      </c>
      <c r="Q760" t="s">
        <v>58</v>
      </c>
      <c r="R760" t="s">
        <v>48</v>
      </c>
      <c r="S760" t="s">
        <v>49</v>
      </c>
      <c r="T760" t="s">
        <v>75</v>
      </c>
      <c r="U760" t="s">
        <v>1877</v>
      </c>
      <c r="V760">
        <v>27000</v>
      </c>
      <c r="W760" t="s">
        <v>48</v>
      </c>
      <c r="X760" t="s">
        <v>61</v>
      </c>
      <c r="Y760" t="s">
        <v>54</v>
      </c>
      <c r="Z760" s="12">
        <f>IF(N760&lt;=1,9,9+0.8*ROUNDUP(N760-1,0))</f>
        <v>9</v>
      </c>
      <c r="AA760" s="11">
        <v>-2</v>
      </c>
      <c r="AB760" s="11">
        <v>0</v>
      </c>
      <c r="AC760" s="11">
        <v>0</v>
      </c>
      <c r="AD760" s="11">
        <v>0</v>
      </c>
      <c r="AE760" s="11">
        <v>0</v>
      </c>
      <c r="AF760" s="11">
        <f t="shared" si="33"/>
        <v>0.42</v>
      </c>
      <c r="AG760" s="11">
        <f t="shared" si="34"/>
        <v>7.42</v>
      </c>
      <c r="AH760" s="11">
        <v>0</v>
      </c>
      <c r="AI760" s="11">
        <f t="shared" si="35"/>
        <v>7.42</v>
      </c>
      <c r="AJ760" t="s">
        <v>62</v>
      </c>
    </row>
    <row r="761" spans="1:36" ht="15" customHeight="1" x14ac:dyDescent="0.35">
      <c r="A761">
        <v>10428918</v>
      </c>
      <c r="B761" t="s">
        <v>36</v>
      </c>
      <c r="C761" t="s">
        <v>37</v>
      </c>
      <c r="D761" s="6" t="s">
        <v>38</v>
      </c>
      <c r="E761" t="s">
        <v>2395</v>
      </c>
      <c r="F761" t="s">
        <v>40</v>
      </c>
      <c r="G761" t="s">
        <v>41</v>
      </c>
      <c r="H761" t="s">
        <v>2396</v>
      </c>
      <c r="I761" t="s">
        <v>43</v>
      </c>
      <c r="J761">
        <v>2</v>
      </c>
      <c r="K761" t="s">
        <v>44</v>
      </c>
      <c r="L761" t="s">
        <v>45</v>
      </c>
      <c r="M761" t="s">
        <v>46</v>
      </c>
      <c r="N761" s="7">
        <v>1</v>
      </c>
      <c r="O761" s="8">
        <v>45651.754131944443</v>
      </c>
      <c r="P761" s="9">
        <v>45654</v>
      </c>
      <c r="Q761" t="s">
        <v>47</v>
      </c>
      <c r="R761" t="s">
        <v>48</v>
      </c>
      <c r="S761" t="s">
        <v>49</v>
      </c>
      <c r="T761" t="s">
        <v>161</v>
      </c>
      <c r="U761" t="s">
        <v>2397</v>
      </c>
      <c r="V761">
        <v>14200</v>
      </c>
      <c r="W761" t="s">
        <v>48</v>
      </c>
      <c r="X761" t="s">
        <v>666</v>
      </c>
      <c r="Y761" t="s">
        <v>54</v>
      </c>
      <c r="Z761" s="12">
        <f>IF(N761&lt;=1,9,9+0.8*ROUNDUP(N761-1,0))</f>
        <v>9</v>
      </c>
      <c r="AA761" s="11">
        <v>-2</v>
      </c>
      <c r="AB761" s="11">
        <v>0</v>
      </c>
      <c r="AC761" s="11">
        <v>0</v>
      </c>
      <c r="AD761" s="11">
        <v>0</v>
      </c>
      <c r="AE761" s="11">
        <v>0</v>
      </c>
      <c r="AF761" s="11">
        <f t="shared" si="33"/>
        <v>0.42</v>
      </c>
      <c r="AG761" s="11">
        <f t="shared" si="34"/>
        <v>7.42</v>
      </c>
      <c r="AH761" s="11">
        <v>0</v>
      </c>
      <c r="AI761" s="11">
        <f t="shared" si="35"/>
        <v>7.42</v>
      </c>
      <c r="AJ761" t="s">
        <v>62</v>
      </c>
    </row>
    <row r="762" spans="1:36" ht="15" customHeight="1" x14ac:dyDescent="0.35">
      <c r="A762">
        <v>10428918</v>
      </c>
      <c r="B762" t="s">
        <v>36</v>
      </c>
      <c r="C762" t="s">
        <v>37</v>
      </c>
      <c r="D762" s="6" t="s">
        <v>38</v>
      </c>
      <c r="E762" t="s">
        <v>2398</v>
      </c>
      <c r="F762" t="s">
        <v>40</v>
      </c>
      <c r="G762" t="s">
        <v>41</v>
      </c>
      <c r="H762" t="s">
        <v>2399</v>
      </c>
      <c r="I762" t="s">
        <v>43</v>
      </c>
      <c r="J762">
        <v>2</v>
      </c>
      <c r="K762" t="s">
        <v>44</v>
      </c>
      <c r="L762" t="s">
        <v>45</v>
      </c>
      <c r="M762" t="s">
        <v>46</v>
      </c>
      <c r="N762" s="7">
        <v>2</v>
      </c>
      <c r="O762" s="8">
        <v>45651.7109375</v>
      </c>
      <c r="P762" s="9">
        <v>45654</v>
      </c>
      <c r="Q762" t="s">
        <v>47</v>
      </c>
      <c r="R762" t="s">
        <v>48</v>
      </c>
      <c r="S762" t="s">
        <v>49</v>
      </c>
      <c r="T762" t="s">
        <v>59</v>
      </c>
      <c r="U762" t="s">
        <v>2400</v>
      </c>
      <c r="V762">
        <v>16010</v>
      </c>
      <c r="W762" t="s">
        <v>48</v>
      </c>
      <c r="X762" t="s">
        <v>2401</v>
      </c>
      <c r="Y762" t="s">
        <v>54</v>
      </c>
      <c r="Z762" s="12">
        <f>IF(N762&lt;=1,9,9+0.8*ROUNDUP(N762-1,0))</f>
        <v>9.8000000000000007</v>
      </c>
      <c r="AA762" s="11">
        <v>-2</v>
      </c>
      <c r="AB762" s="11">
        <v>0</v>
      </c>
      <c r="AC762" s="11">
        <v>0</v>
      </c>
      <c r="AD762" s="11">
        <v>0</v>
      </c>
      <c r="AE762" s="11">
        <v>0</v>
      </c>
      <c r="AF762" s="11">
        <f t="shared" si="33"/>
        <v>0.46800000000000003</v>
      </c>
      <c r="AG762" s="11">
        <f t="shared" si="34"/>
        <v>8.2680000000000007</v>
      </c>
      <c r="AH762" s="11">
        <v>0</v>
      </c>
      <c r="AI762" s="11">
        <f t="shared" si="35"/>
        <v>8.2680000000000007</v>
      </c>
      <c r="AJ762" t="s">
        <v>62</v>
      </c>
    </row>
    <row r="763" spans="1:36" ht="15" customHeight="1" x14ac:dyDescent="0.35">
      <c r="A763">
        <v>10428918</v>
      </c>
      <c r="B763" t="s">
        <v>36</v>
      </c>
      <c r="C763" t="s">
        <v>37</v>
      </c>
      <c r="D763" s="6" t="s">
        <v>38</v>
      </c>
      <c r="E763" t="s">
        <v>2402</v>
      </c>
      <c r="F763" t="s">
        <v>40</v>
      </c>
      <c r="G763" t="s">
        <v>41</v>
      </c>
      <c r="H763" t="s">
        <v>605</v>
      </c>
      <c r="I763" t="s">
        <v>43</v>
      </c>
      <c r="J763">
        <v>2</v>
      </c>
      <c r="K763" t="s">
        <v>44</v>
      </c>
      <c r="L763" t="s">
        <v>45</v>
      </c>
      <c r="M763" t="s">
        <v>46</v>
      </c>
      <c r="N763" s="7">
        <v>2</v>
      </c>
      <c r="O763" s="8">
        <v>45652.548726851855</v>
      </c>
      <c r="P763" s="9">
        <v>45654</v>
      </c>
      <c r="Q763" t="s">
        <v>47</v>
      </c>
      <c r="R763" t="s">
        <v>48</v>
      </c>
      <c r="S763" t="s">
        <v>49</v>
      </c>
      <c r="T763" t="s">
        <v>59</v>
      </c>
      <c r="U763" t="s">
        <v>606</v>
      </c>
      <c r="V763">
        <v>18300</v>
      </c>
      <c r="W763" t="s">
        <v>48</v>
      </c>
      <c r="X763" t="s">
        <v>831</v>
      </c>
      <c r="Y763" t="s">
        <v>54</v>
      </c>
      <c r="Z763" s="12">
        <f>IF(N763&lt;=1,9,9+0.8*ROUNDUP(N763-1,0))</f>
        <v>9.8000000000000007</v>
      </c>
      <c r="AA763" s="11">
        <v>-2</v>
      </c>
      <c r="AB763" s="11">
        <v>0</v>
      </c>
      <c r="AC763" s="11">
        <v>0</v>
      </c>
      <c r="AD763" s="11">
        <v>0</v>
      </c>
      <c r="AE763" s="11">
        <v>0</v>
      </c>
      <c r="AF763" s="11">
        <f t="shared" si="33"/>
        <v>0.46800000000000003</v>
      </c>
      <c r="AG763" s="11">
        <f t="shared" si="34"/>
        <v>8.2680000000000007</v>
      </c>
      <c r="AH763" s="11">
        <v>0</v>
      </c>
      <c r="AI763" s="11">
        <f t="shared" si="35"/>
        <v>8.2680000000000007</v>
      </c>
      <c r="AJ763" t="s">
        <v>62</v>
      </c>
    </row>
    <row r="764" spans="1:36" ht="15" customHeight="1" x14ac:dyDescent="0.35">
      <c r="A764">
        <v>10428918</v>
      </c>
      <c r="B764" t="s">
        <v>36</v>
      </c>
      <c r="C764" t="s">
        <v>37</v>
      </c>
      <c r="D764" s="6" t="s">
        <v>38</v>
      </c>
      <c r="E764" t="s">
        <v>2403</v>
      </c>
      <c r="F764" t="s">
        <v>40</v>
      </c>
      <c r="G764" t="s">
        <v>41</v>
      </c>
      <c r="H764" t="s">
        <v>2404</v>
      </c>
      <c r="I764" t="s">
        <v>43</v>
      </c>
      <c r="J764">
        <v>2</v>
      </c>
      <c r="K764" t="s">
        <v>44</v>
      </c>
      <c r="L764" t="s">
        <v>45</v>
      </c>
      <c r="M764" t="s">
        <v>46</v>
      </c>
      <c r="N764" s="7">
        <v>2</v>
      </c>
      <c r="O764" s="8">
        <v>45647.816828703704</v>
      </c>
      <c r="P764" s="9">
        <v>45654</v>
      </c>
      <c r="Q764" t="s">
        <v>74</v>
      </c>
      <c r="R764" t="s">
        <v>48</v>
      </c>
      <c r="S764" t="s">
        <v>49</v>
      </c>
      <c r="T764" t="s">
        <v>80</v>
      </c>
      <c r="U764" t="s">
        <v>2405</v>
      </c>
      <c r="V764">
        <v>8000</v>
      </c>
      <c r="W764" t="s">
        <v>48</v>
      </c>
      <c r="X764" t="s">
        <v>2406</v>
      </c>
      <c r="Y764" t="s">
        <v>54</v>
      </c>
      <c r="Z764" s="12">
        <f>IF(N764&lt;=1,9,9+0.8*ROUNDUP(N764-1,0))</f>
        <v>9.8000000000000007</v>
      </c>
      <c r="AA764" s="11">
        <v>-2</v>
      </c>
      <c r="AB764" s="11">
        <v>0</v>
      </c>
      <c r="AC764" s="11">
        <v>0</v>
      </c>
      <c r="AD764" s="11">
        <v>0</v>
      </c>
      <c r="AE764" s="11">
        <v>0</v>
      </c>
      <c r="AF764" s="11">
        <f t="shared" si="33"/>
        <v>0.46800000000000003</v>
      </c>
      <c r="AG764" s="11">
        <f t="shared" si="34"/>
        <v>8.2680000000000007</v>
      </c>
      <c r="AH764" s="11">
        <v>0</v>
      </c>
      <c r="AI764" s="11">
        <f t="shared" si="35"/>
        <v>8.2680000000000007</v>
      </c>
      <c r="AJ764" t="s">
        <v>62</v>
      </c>
    </row>
    <row r="765" spans="1:36" ht="15" customHeight="1" x14ac:dyDescent="0.35">
      <c r="A765">
        <v>10428918</v>
      </c>
      <c r="B765" t="s">
        <v>36</v>
      </c>
      <c r="C765" t="s">
        <v>37</v>
      </c>
      <c r="D765" s="6" t="s">
        <v>38</v>
      </c>
      <c r="E765" t="s">
        <v>2407</v>
      </c>
      <c r="F765" t="s">
        <v>40</v>
      </c>
      <c r="G765" t="s">
        <v>41</v>
      </c>
      <c r="H765" t="s">
        <v>2408</v>
      </c>
      <c r="I765" t="s">
        <v>43</v>
      </c>
      <c r="J765">
        <v>2</v>
      </c>
      <c r="K765" t="s">
        <v>44</v>
      </c>
      <c r="L765" t="s">
        <v>45</v>
      </c>
      <c r="M765" t="s">
        <v>46</v>
      </c>
      <c r="N765" s="7">
        <v>1</v>
      </c>
      <c r="O765" s="8">
        <v>45649.705324074072</v>
      </c>
      <c r="P765" s="9">
        <v>45654</v>
      </c>
      <c r="Q765" t="s">
        <v>74</v>
      </c>
      <c r="R765" t="s">
        <v>48</v>
      </c>
      <c r="S765" t="s">
        <v>49</v>
      </c>
      <c r="T765" t="s">
        <v>80</v>
      </c>
      <c r="U765" t="s">
        <v>2409</v>
      </c>
      <c r="V765">
        <v>8000</v>
      </c>
      <c r="W765" t="s">
        <v>48</v>
      </c>
      <c r="X765" t="s">
        <v>145</v>
      </c>
      <c r="Y765" t="s">
        <v>54</v>
      </c>
      <c r="Z765" s="12">
        <f>IF(N765&lt;=1,9,9+0.8*ROUNDUP(N765-1,0))</f>
        <v>9</v>
      </c>
      <c r="AA765" s="11">
        <v>-2</v>
      </c>
      <c r="AB765" s="11">
        <v>0</v>
      </c>
      <c r="AC765" s="11">
        <v>0</v>
      </c>
      <c r="AD765" s="11">
        <v>0</v>
      </c>
      <c r="AE765" s="11">
        <v>0</v>
      </c>
      <c r="AF765" s="11">
        <f t="shared" si="33"/>
        <v>0.42</v>
      </c>
      <c r="AG765" s="11">
        <f t="shared" si="34"/>
        <v>7.42</v>
      </c>
      <c r="AH765" s="11">
        <v>0</v>
      </c>
      <c r="AI765" s="11">
        <f t="shared" si="35"/>
        <v>7.42</v>
      </c>
      <c r="AJ765" t="s">
        <v>62</v>
      </c>
    </row>
    <row r="766" spans="1:36" ht="15" customHeight="1" x14ac:dyDescent="0.35">
      <c r="A766">
        <v>10428918</v>
      </c>
      <c r="B766" t="s">
        <v>36</v>
      </c>
      <c r="C766" t="s">
        <v>37</v>
      </c>
      <c r="D766" s="6" t="s">
        <v>38</v>
      </c>
      <c r="E766" t="s">
        <v>2410</v>
      </c>
      <c r="F766" t="s">
        <v>40</v>
      </c>
      <c r="G766" t="s">
        <v>41</v>
      </c>
      <c r="H766" t="s">
        <v>2411</v>
      </c>
      <c r="I766" t="s">
        <v>43</v>
      </c>
      <c r="J766">
        <v>2</v>
      </c>
      <c r="K766" t="s">
        <v>44</v>
      </c>
      <c r="L766" t="s">
        <v>45</v>
      </c>
      <c r="M766" t="s">
        <v>46</v>
      </c>
      <c r="N766" s="7">
        <v>1</v>
      </c>
      <c r="O766" s="8">
        <v>45654.423773148148</v>
      </c>
      <c r="P766" s="9">
        <v>45655</v>
      </c>
      <c r="Q766" t="s">
        <v>74</v>
      </c>
      <c r="R766" t="s">
        <v>48</v>
      </c>
      <c r="S766" t="s">
        <v>49</v>
      </c>
      <c r="T766" t="s">
        <v>117</v>
      </c>
      <c r="U766" t="s">
        <v>2412</v>
      </c>
      <c r="V766">
        <v>47500</v>
      </c>
      <c r="W766" t="s">
        <v>48</v>
      </c>
      <c r="X766" t="s">
        <v>2413</v>
      </c>
      <c r="Y766" t="s">
        <v>54</v>
      </c>
      <c r="Z766" s="12">
        <f>IF(N766&lt;=1,9,9+0.8*ROUNDUP(N766-1,0))</f>
        <v>9</v>
      </c>
      <c r="AA766" s="11">
        <v>-2</v>
      </c>
      <c r="AB766" s="11">
        <v>0</v>
      </c>
      <c r="AC766" s="11">
        <v>0</v>
      </c>
      <c r="AD766" s="11">
        <v>0</v>
      </c>
      <c r="AE766" s="11">
        <v>0</v>
      </c>
      <c r="AF766" s="11">
        <f t="shared" si="33"/>
        <v>0.42</v>
      </c>
      <c r="AG766" s="11">
        <f t="shared" si="34"/>
        <v>7.42</v>
      </c>
      <c r="AH766" s="11">
        <v>0</v>
      </c>
      <c r="AI766" s="11">
        <f t="shared" si="35"/>
        <v>7.42</v>
      </c>
      <c r="AJ766" t="s">
        <v>62</v>
      </c>
    </row>
    <row r="767" spans="1:36" ht="15" customHeight="1" x14ac:dyDescent="0.35">
      <c r="A767">
        <v>10428918</v>
      </c>
      <c r="B767" t="s">
        <v>36</v>
      </c>
      <c r="C767" t="s">
        <v>37</v>
      </c>
      <c r="D767" s="6" t="s">
        <v>38</v>
      </c>
      <c r="E767" t="s">
        <v>2414</v>
      </c>
      <c r="F767" t="s">
        <v>40</v>
      </c>
      <c r="G767" t="s">
        <v>41</v>
      </c>
      <c r="H767" t="s">
        <v>2415</v>
      </c>
      <c r="I767" t="s">
        <v>43</v>
      </c>
      <c r="J767">
        <v>2</v>
      </c>
      <c r="K767" t="s">
        <v>44</v>
      </c>
      <c r="L767" t="s">
        <v>45</v>
      </c>
      <c r="M767" t="s">
        <v>46</v>
      </c>
      <c r="N767" s="7">
        <v>1</v>
      </c>
      <c r="O767" s="8">
        <v>45652.905092592591</v>
      </c>
      <c r="P767" s="9">
        <v>45655</v>
      </c>
      <c r="Q767" t="s">
        <v>58</v>
      </c>
      <c r="R767" t="s">
        <v>48</v>
      </c>
      <c r="S767" t="s">
        <v>49</v>
      </c>
      <c r="T767" t="s">
        <v>69</v>
      </c>
      <c r="U767" t="s">
        <v>2416</v>
      </c>
      <c r="V767">
        <v>84000</v>
      </c>
      <c r="W767" t="s">
        <v>48</v>
      </c>
      <c r="X767" t="s">
        <v>1714</v>
      </c>
      <c r="Y767" t="s">
        <v>54</v>
      </c>
      <c r="Z767" s="12">
        <f>IF(N767&lt;=1,9,9+0.8*ROUNDUP(N767-1,0))</f>
        <v>9</v>
      </c>
      <c r="AA767" s="11">
        <v>-2</v>
      </c>
      <c r="AB767" s="11">
        <v>0</v>
      </c>
      <c r="AC767" s="11">
        <v>0</v>
      </c>
      <c r="AD767" s="11">
        <v>0</v>
      </c>
      <c r="AE767" s="11">
        <v>0</v>
      </c>
      <c r="AF767" s="11">
        <f t="shared" si="33"/>
        <v>0.42</v>
      </c>
      <c r="AG767" s="11">
        <f t="shared" si="34"/>
        <v>7.42</v>
      </c>
      <c r="AH767" s="11">
        <v>0</v>
      </c>
      <c r="AI767" s="11">
        <f t="shared" si="35"/>
        <v>7.42</v>
      </c>
      <c r="AJ767" t="s">
        <v>62</v>
      </c>
    </row>
    <row r="768" spans="1:36" ht="15" customHeight="1" x14ac:dyDescent="0.35">
      <c r="A768">
        <v>10428918</v>
      </c>
      <c r="B768" t="s">
        <v>36</v>
      </c>
      <c r="C768" t="s">
        <v>37</v>
      </c>
      <c r="D768" s="6" t="s">
        <v>38</v>
      </c>
      <c r="E768" t="s">
        <v>2417</v>
      </c>
      <c r="F768" t="s">
        <v>40</v>
      </c>
      <c r="G768" t="s">
        <v>41</v>
      </c>
      <c r="H768" t="s">
        <v>2418</v>
      </c>
      <c r="I768" t="s">
        <v>43</v>
      </c>
      <c r="J768">
        <v>2</v>
      </c>
      <c r="K768" t="s">
        <v>44</v>
      </c>
      <c r="L768" t="s">
        <v>45</v>
      </c>
      <c r="M768" t="s">
        <v>46</v>
      </c>
      <c r="N768" s="7">
        <v>1</v>
      </c>
      <c r="O768" s="8">
        <v>45651.754131944443</v>
      </c>
      <c r="P768" s="9">
        <v>45655</v>
      </c>
      <c r="Q768" t="s">
        <v>47</v>
      </c>
      <c r="R768" t="s">
        <v>48</v>
      </c>
      <c r="S768" t="s">
        <v>49</v>
      </c>
      <c r="T768" t="s">
        <v>101</v>
      </c>
      <c r="U768" t="s">
        <v>2419</v>
      </c>
      <c r="V768">
        <v>32040</v>
      </c>
      <c r="W768" t="s">
        <v>48</v>
      </c>
      <c r="X768" t="s">
        <v>1120</v>
      </c>
      <c r="Y768" t="s">
        <v>54</v>
      </c>
      <c r="Z768" s="12">
        <f>IF(N768&lt;=1,9,9+0.8*ROUNDUP(N768-1,0))</f>
        <v>9</v>
      </c>
      <c r="AA768" s="11">
        <v>-2</v>
      </c>
      <c r="AB768" s="11">
        <v>0</v>
      </c>
      <c r="AC768" s="11">
        <v>0</v>
      </c>
      <c r="AD768" s="11">
        <v>0</v>
      </c>
      <c r="AE768" s="11">
        <v>0</v>
      </c>
      <c r="AF768" s="11">
        <f t="shared" si="33"/>
        <v>0.42</v>
      </c>
      <c r="AG768" s="11">
        <f t="shared" si="34"/>
        <v>7.42</v>
      </c>
      <c r="AH768" s="11">
        <v>0</v>
      </c>
      <c r="AI768" s="11">
        <f t="shared" si="35"/>
        <v>7.42</v>
      </c>
      <c r="AJ768" t="s">
        <v>62</v>
      </c>
    </row>
    <row r="769" spans="1:36" ht="15" customHeight="1" x14ac:dyDescent="0.35">
      <c r="A769">
        <v>10428918</v>
      </c>
      <c r="B769" t="s">
        <v>36</v>
      </c>
      <c r="C769" t="s">
        <v>37</v>
      </c>
      <c r="D769" s="6" t="s">
        <v>38</v>
      </c>
      <c r="E769" t="s">
        <v>2420</v>
      </c>
      <c r="F769" t="s">
        <v>40</v>
      </c>
      <c r="G769" t="s">
        <v>41</v>
      </c>
      <c r="H769" t="s">
        <v>570</v>
      </c>
      <c r="I769" t="s">
        <v>43</v>
      </c>
      <c r="J769">
        <v>2</v>
      </c>
      <c r="K769" t="s">
        <v>44</v>
      </c>
      <c r="L769" t="s">
        <v>45</v>
      </c>
      <c r="M769" t="s">
        <v>46</v>
      </c>
      <c r="N769" s="7">
        <v>4</v>
      </c>
      <c r="O769" s="8">
        <v>45652.668506944443</v>
      </c>
      <c r="P769" s="9">
        <v>45655</v>
      </c>
      <c r="Q769" t="s">
        <v>74</v>
      </c>
      <c r="R769" t="s">
        <v>48</v>
      </c>
      <c r="S769" t="s">
        <v>49</v>
      </c>
      <c r="T769" t="s">
        <v>117</v>
      </c>
      <c r="U769" t="s">
        <v>571</v>
      </c>
      <c r="V769">
        <v>40000</v>
      </c>
      <c r="W769" t="s">
        <v>48</v>
      </c>
      <c r="X769" t="s">
        <v>53</v>
      </c>
      <c r="Y769" t="s">
        <v>54</v>
      </c>
      <c r="Z769" s="12">
        <f>IF(N769&lt;=1,9,9+0.8*ROUNDUP(N769-1,0))</f>
        <v>11.4</v>
      </c>
      <c r="AA769" s="11">
        <v>-2</v>
      </c>
      <c r="AB769" s="11">
        <v>0</v>
      </c>
      <c r="AC769" s="11">
        <v>0</v>
      </c>
      <c r="AD769" s="11">
        <v>0</v>
      </c>
      <c r="AE769" s="11">
        <v>0</v>
      </c>
      <c r="AF769" s="11">
        <f t="shared" si="33"/>
        <v>0.56399999999999995</v>
      </c>
      <c r="AG769" s="11">
        <f t="shared" si="34"/>
        <v>9.9640000000000004</v>
      </c>
      <c r="AH769" s="11">
        <v>0</v>
      </c>
      <c r="AI769" s="11">
        <f t="shared" si="35"/>
        <v>9.9640000000000004</v>
      </c>
      <c r="AJ769" t="s">
        <v>62</v>
      </c>
    </row>
    <row r="770" spans="1:36" ht="15" customHeight="1" x14ac:dyDescent="0.35">
      <c r="A770">
        <v>10428918</v>
      </c>
      <c r="B770" t="s">
        <v>36</v>
      </c>
      <c r="C770" t="s">
        <v>37</v>
      </c>
      <c r="D770" s="6" t="s">
        <v>38</v>
      </c>
      <c r="E770" t="s">
        <v>2421</v>
      </c>
      <c r="F770" t="s">
        <v>40</v>
      </c>
      <c r="G770" t="s">
        <v>41</v>
      </c>
      <c r="H770" t="s">
        <v>2422</v>
      </c>
      <c r="I770" t="s">
        <v>43</v>
      </c>
      <c r="J770">
        <v>2</v>
      </c>
      <c r="K770" t="s">
        <v>44</v>
      </c>
      <c r="L770" t="s">
        <v>45</v>
      </c>
      <c r="M770" t="s">
        <v>46</v>
      </c>
      <c r="N770" s="7">
        <v>1</v>
      </c>
      <c r="O770" s="8">
        <v>45654.452175925922</v>
      </c>
      <c r="P770" s="9">
        <v>45655</v>
      </c>
      <c r="Q770" t="s">
        <v>74</v>
      </c>
      <c r="R770" t="s">
        <v>48</v>
      </c>
      <c r="S770" t="s">
        <v>49</v>
      </c>
      <c r="T770" t="s">
        <v>90</v>
      </c>
      <c r="U770" t="s">
        <v>2423</v>
      </c>
      <c r="V770">
        <v>21200</v>
      </c>
      <c r="W770" t="s">
        <v>48</v>
      </c>
      <c r="X770" t="s">
        <v>92</v>
      </c>
      <c r="Y770" t="s">
        <v>54</v>
      </c>
      <c r="Z770" s="12">
        <f>IF(N770&lt;=1,9,9+0.8*ROUNDUP(N770-1,0))</f>
        <v>9</v>
      </c>
      <c r="AA770" s="11">
        <v>-2</v>
      </c>
      <c r="AB770" s="11">
        <v>0</v>
      </c>
      <c r="AC770" s="11">
        <v>0</v>
      </c>
      <c r="AD770" s="11">
        <v>0</v>
      </c>
      <c r="AE770" s="11">
        <v>0</v>
      </c>
      <c r="AF770" s="11">
        <f t="shared" ref="AF770:AF833" si="36">(Z770+AA770+AC770+AE770)*6%</f>
        <v>0.42</v>
      </c>
      <c r="AG770" s="11">
        <f t="shared" ref="AG770:AG833" si="37">Z770+AA770+AC770+AE770+AF770</f>
        <v>7.42</v>
      </c>
      <c r="AH770" s="11">
        <v>0</v>
      </c>
      <c r="AI770" s="11">
        <f t="shared" ref="AI770:AI833" si="38">AG770+AH770</f>
        <v>7.42</v>
      </c>
      <c r="AJ770" t="s">
        <v>62</v>
      </c>
    </row>
    <row r="771" spans="1:36" ht="15" customHeight="1" x14ac:dyDescent="0.35">
      <c r="A771">
        <v>10428918</v>
      </c>
      <c r="B771" t="s">
        <v>36</v>
      </c>
      <c r="C771" t="s">
        <v>37</v>
      </c>
      <c r="D771" s="6" t="s">
        <v>38</v>
      </c>
      <c r="E771" t="s">
        <v>2424</v>
      </c>
      <c r="F771" t="s">
        <v>40</v>
      </c>
      <c r="G771" t="s">
        <v>41</v>
      </c>
      <c r="H771" t="s">
        <v>2425</v>
      </c>
      <c r="I771" t="s">
        <v>43</v>
      </c>
      <c r="J771">
        <v>2</v>
      </c>
      <c r="K771" t="s">
        <v>44</v>
      </c>
      <c r="L771" t="s">
        <v>45</v>
      </c>
      <c r="M771" t="s">
        <v>46</v>
      </c>
      <c r="N771" s="7">
        <v>1</v>
      </c>
      <c r="O771" s="8">
        <v>45653.798159722224</v>
      </c>
      <c r="P771" s="9">
        <v>45655</v>
      </c>
      <c r="Q771" t="s">
        <v>74</v>
      </c>
      <c r="R771" t="s">
        <v>48</v>
      </c>
      <c r="S771" t="s">
        <v>49</v>
      </c>
      <c r="T771" t="s">
        <v>90</v>
      </c>
      <c r="U771" t="s">
        <v>2426</v>
      </c>
      <c r="V771">
        <v>23000</v>
      </c>
      <c r="W771" t="s">
        <v>48</v>
      </c>
      <c r="X771" t="s">
        <v>92</v>
      </c>
      <c r="Y771" t="s">
        <v>54</v>
      </c>
      <c r="Z771" s="12">
        <f>IF(N771&lt;=1,9,9+0.8*ROUNDUP(N771-1,0))</f>
        <v>9</v>
      </c>
      <c r="AA771" s="11">
        <v>-2</v>
      </c>
      <c r="AB771" s="11">
        <v>0</v>
      </c>
      <c r="AC771" s="11">
        <v>0</v>
      </c>
      <c r="AD771" s="11">
        <v>0</v>
      </c>
      <c r="AE771" s="11">
        <v>0</v>
      </c>
      <c r="AF771" s="11">
        <f t="shared" si="36"/>
        <v>0.42</v>
      </c>
      <c r="AG771" s="11">
        <f t="shared" si="37"/>
        <v>7.42</v>
      </c>
      <c r="AH771" s="11">
        <v>0</v>
      </c>
      <c r="AI771" s="11">
        <f t="shared" si="38"/>
        <v>7.42</v>
      </c>
      <c r="AJ771" t="s">
        <v>62</v>
      </c>
    </row>
    <row r="772" spans="1:36" ht="15" customHeight="1" x14ac:dyDescent="0.35">
      <c r="A772">
        <v>10428918</v>
      </c>
      <c r="B772" t="s">
        <v>36</v>
      </c>
      <c r="C772" t="s">
        <v>37</v>
      </c>
      <c r="D772" s="6" t="s">
        <v>38</v>
      </c>
      <c r="E772" t="s">
        <v>2427</v>
      </c>
      <c r="F772" t="s">
        <v>40</v>
      </c>
      <c r="G772" t="s">
        <v>41</v>
      </c>
      <c r="H772" t="s">
        <v>2428</v>
      </c>
      <c r="I772" t="s">
        <v>43</v>
      </c>
      <c r="J772">
        <v>2</v>
      </c>
      <c r="K772" t="s">
        <v>44</v>
      </c>
      <c r="L772" t="s">
        <v>45</v>
      </c>
      <c r="M772" t="s">
        <v>46</v>
      </c>
      <c r="N772" s="7">
        <v>15</v>
      </c>
      <c r="O772" s="8">
        <v>45652.700023148151</v>
      </c>
      <c r="P772" s="9">
        <v>45655</v>
      </c>
      <c r="Q772" t="s">
        <v>58</v>
      </c>
      <c r="R772" t="s">
        <v>48</v>
      </c>
      <c r="S772" t="s">
        <v>49</v>
      </c>
      <c r="T772" t="s">
        <v>69</v>
      </c>
      <c r="U772" t="s">
        <v>2429</v>
      </c>
      <c r="V772">
        <v>81100</v>
      </c>
      <c r="W772" t="s">
        <v>48</v>
      </c>
      <c r="X772" t="s">
        <v>552</v>
      </c>
      <c r="Y772" t="s">
        <v>54</v>
      </c>
      <c r="Z772" s="12">
        <f>IF(N772&lt;=1,9,9+0.8*ROUNDUP(N772-1,0))</f>
        <v>20.200000000000003</v>
      </c>
      <c r="AA772" s="11">
        <v>-2</v>
      </c>
      <c r="AB772" s="11">
        <v>0</v>
      </c>
      <c r="AC772" s="11">
        <v>0</v>
      </c>
      <c r="AD772" s="11">
        <v>0</v>
      </c>
      <c r="AE772" s="11">
        <v>0</v>
      </c>
      <c r="AF772" s="11">
        <f t="shared" si="36"/>
        <v>1.0920000000000001</v>
      </c>
      <c r="AG772" s="11">
        <f t="shared" si="37"/>
        <v>19.292000000000002</v>
      </c>
      <c r="AH772" s="11">
        <v>0</v>
      </c>
      <c r="AI772" s="11">
        <f t="shared" si="38"/>
        <v>19.292000000000002</v>
      </c>
      <c r="AJ772" t="s">
        <v>62</v>
      </c>
    </row>
    <row r="773" spans="1:36" ht="15" customHeight="1" x14ac:dyDescent="0.35">
      <c r="A773">
        <v>10428918</v>
      </c>
      <c r="B773" t="s">
        <v>36</v>
      </c>
      <c r="C773" t="s">
        <v>37</v>
      </c>
      <c r="D773" s="6" t="s">
        <v>38</v>
      </c>
      <c r="E773" t="s">
        <v>2430</v>
      </c>
      <c r="F773" t="s">
        <v>40</v>
      </c>
      <c r="G773" t="s">
        <v>41</v>
      </c>
      <c r="H773" t="s">
        <v>2431</v>
      </c>
      <c r="I773" t="s">
        <v>43</v>
      </c>
      <c r="J773">
        <v>2</v>
      </c>
      <c r="K773" t="s">
        <v>44</v>
      </c>
      <c r="L773" t="s">
        <v>45</v>
      </c>
      <c r="M773" t="s">
        <v>46</v>
      </c>
      <c r="N773" s="7">
        <v>2</v>
      </c>
      <c r="O773" s="8">
        <v>45654.465231481481</v>
      </c>
      <c r="P773" s="9">
        <v>45655</v>
      </c>
      <c r="Q773" t="s">
        <v>74</v>
      </c>
      <c r="R773" t="s">
        <v>48</v>
      </c>
      <c r="S773" t="s">
        <v>49</v>
      </c>
      <c r="T773" t="s">
        <v>59</v>
      </c>
      <c r="U773" t="s">
        <v>2432</v>
      </c>
      <c r="V773">
        <v>17500</v>
      </c>
      <c r="W773" t="s">
        <v>48</v>
      </c>
      <c r="X773" t="s">
        <v>61</v>
      </c>
      <c r="Y773" t="s">
        <v>54</v>
      </c>
      <c r="Z773" s="12">
        <f>IF(N773&lt;=1,9,9+0.8*ROUNDUP(N773-1,0))</f>
        <v>9.8000000000000007</v>
      </c>
      <c r="AA773" s="11">
        <v>-2</v>
      </c>
      <c r="AB773" s="11">
        <v>0</v>
      </c>
      <c r="AC773" s="11">
        <v>0</v>
      </c>
      <c r="AD773" s="11">
        <v>0</v>
      </c>
      <c r="AE773" s="11">
        <v>0</v>
      </c>
      <c r="AF773" s="11">
        <f t="shared" si="36"/>
        <v>0.46800000000000003</v>
      </c>
      <c r="AG773" s="11">
        <f t="shared" si="37"/>
        <v>8.2680000000000007</v>
      </c>
      <c r="AH773" s="11">
        <v>0</v>
      </c>
      <c r="AI773" s="11">
        <f t="shared" si="38"/>
        <v>8.2680000000000007</v>
      </c>
      <c r="AJ773" t="s">
        <v>62</v>
      </c>
    </row>
    <row r="774" spans="1:36" ht="15" customHeight="1" x14ac:dyDescent="0.35">
      <c r="A774">
        <v>10428918</v>
      </c>
      <c r="B774" t="s">
        <v>36</v>
      </c>
      <c r="C774" t="s">
        <v>37</v>
      </c>
      <c r="D774" s="6" t="s">
        <v>38</v>
      </c>
      <c r="E774" t="s">
        <v>2433</v>
      </c>
      <c r="F774" t="s">
        <v>40</v>
      </c>
      <c r="G774" t="s">
        <v>41</v>
      </c>
      <c r="H774" t="s">
        <v>2434</v>
      </c>
      <c r="I774" t="s">
        <v>43</v>
      </c>
      <c r="J774">
        <v>2</v>
      </c>
      <c r="K774" t="s">
        <v>44</v>
      </c>
      <c r="L774" t="s">
        <v>45</v>
      </c>
      <c r="M774" t="s">
        <v>46</v>
      </c>
      <c r="N774" s="7">
        <v>1</v>
      </c>
      <c r="O774" s="8">
        <v>45654.483726851853</v>
      </c>
      <c r="P774" s="9">
        <v>45655</v>
      </c>
      <c r="Q774" t="s">
        <v>74</v>
      </c>
      <c r="R774" t="s">
        <v>48</v>
      </c>
      <c r="S774" t="s">
        <v>49</v>
      </c>
      <c r="T774" t="s">
        <v>59</v>
      </c>
      <c r="U774" t="s">
        <v>2435</v>
      </c>
      <c r="V774">
        <v>17500</v>
      </c>
      <c r="W774" t="s">
        <v>48</v>
      </c>
      <c r="X774" t="s">
        <v>61</v>
      </c>
      <c r="Y774" t="s">
        <v>54</v>
      </c>
      <c r="Z774" s="12">
        <f>IF(N774&lt;=1,9,9+0.8*ROUNDUP(N774-1,0))</f>
        <v>9</v>
      </c>
      <c r="AA774" s="11">
        <v>-2</v>
      </c>
      <c r="AB774" s="11">
        <v>0</v>
      </c>
      <c r="AC774" s="11">
        <v>0</v>
      </c>
      <c r="AD774" s="11">
        <v>0</v>
      </c>
      <c r="AE774" s="11">
        <v>0</v>
      </c>
      <c r="AF774" s="11">
        <f t="shared" si="36"/>
        <v>0.42</v>
      </c>
      <c r="AG774" s="11">
        <f t="shared" si="37"/>
        <v>7.42</v>
      </c>
      <c r="AH774" s="11">
        <v>0</v>
      </c>
      <c r="AI774" s="11">
        <f t="shared" si="38"/>
        <v>7.42</v>
      </c>
      <c r="AJ774" t="s">
        <v>62</v>
      </c>
    </row>
    <row r="775" spans="1:36" ht="15" customHeight="1" x14ac:dyDescent="0.35">
      <c r="A775">
        <v>10428918</v>
      </c>
      <c r="B775" t="s">
        <v>36</v>
      </c>
      <c r="C775" t="s">
        <v>37</v>
      </c>
      <c r="D775" s="6" t="s">
        <v>38</v>
      </c>
      <c r="E775" t="s">
        <v>2436</v>
      </c>
      <c r="F775" t="s">
        <v>40</v>
      </c>
      <c r="G775" t="s">
        <v>41</v>
      </c>
      <c r="H775" t="s">
        <v>2437</v>
      </c>
      <c r="I775" t="s">
        <v>43</v>
      </c>
      <c r="J775">
        <v>2</v>
      </c>
      <c r="K775" t="s">
        <v>44</v>
      </c>
      <c r="L775" t="s">
        <v>45</v>
      </c>
      <c r="M775" t="s">
        <v>46</v>
      </c>
      <c r="N775" s="7">
        <v>2</v>
      </c>
      <c r="O775" s="8">
        <v>45653.813726851855</v>
      </c>
      <c r="P775" s="9">
        <v>45655</v>
      </c>
      <c r="Q775" t="s">
        <v>74</v>
      </c>
      <c r="R775" t="s">
        <v>48</v>
      </c>
      <c r="S775" t="s">
        <v>49</v>
      </c>
      <c r="T775" t="s">
        <v>117</v>
      </c>
      <c r="U775" t="s">
        <v>2438</v>
      </c>
      <c r="V775">
        <v>47150</v>
      </c>
      <c r="W775" t="s">
        <v>48</v>
      </c>
      <c r="X775" t="s">
        <v>232</v>
      </c>
      <c r="Y775" t="s">
        <v>54</v>
      </c>
      <c r="Z775" s="12">
        <f>IF(N775&lt;=1,9,9+0.8*ROUNDUP(N775-1,0))</f>
        <v>9.8000000000000007</v>
      </c>
      <c r="AA775" s="11">
        <v>-2</v>
      </c>
      <c r="AB775" s="11">
        <v>0</v>
      </c>
      <c r="AC775" s="11">
        <v>0</v>
      </c>
      <c r="AD775" s="11">
        <v>0</v>
      </c>
      <c r="AE775" s="11">
        <v>0</v>
      </c>
      <c r="AF775" s="11">
        <f t="shared" si="36"/>
        <v>0.46800000000000003</v>
      </c>
      <c r="AG775" s="11">
        <f t="shared" si="37"/>
        <v>8.2680000000000007</v>
      </c>
      <c r="AH775" s="11">
        <v>0</v>
      </c>
      <c r="AI775" s="11">
        <f t="shared" si="38"/>
        <v>8.2680000000000007</v>
      </c>
      <c r="AJ775" t="s">
        <v>62</v>
      </c>
    </row>
    <row r="776" spans="1:36" ht="15" customHeight="1" x14ac:dyDescent="0.35">
      <c r="A776">
        <v>10428918</v>
      </c>
      <c r="B776" t="s">
        <v>36</v>
      </c>
      <c r="C776" t="s">
        <v>37</v>
      </c>
      <c r="D776" s="6" t="s">
        <v>38</v>
      </c>
      <c r="E776" t="s">
        <v>2439</v>
      </c>
      <c r="F776" t="s">
        <v>40</v>
      </c>
      <c r="G776" t="s">
        <v>41</v>
      </c>
      <c r="H776" t="s">
        <v>2440</v>
      </c>
      <c r="I776" t="s">
        <v>43</v>
      </c>
      <c r="J776">
        <v>2</v>
      </c>
      <c r="K776" t="s">
        <v>44</v>
      </c>
      <c r="L776" t="s">
        <v>45</v>
      </c>
      <c r="M776" t="s">
        <v>46</v>
      </c>
      <c r="N776" s="7">
        <v>5</v>
      </c>
      <c r="O776" s="8">
        <v>45652.529421296298</v>
      </c>
      <c r="P776" s="9">
        <v>45655</v>
      </c>
      <c r="Q776" t="s">
        <v>74</v>
      </c>
      <c r="R776" t="s">
        <v>48</v>
      </c>
      <c r="S776" t="s">
        <v>49</v>
      </c>
      <c r="T776" t="s">
        <v>101</v>
      </c>
      <c r="U776" t="s">
        <v>2441</v>
      </c>
      <c r="V776">
        <v>35800</v>
      </c>
      <c r="W776" t="s">
        <v>48</v>
      </c>
      <c r="X776" t="s">
        <v>1485</v>
      </c>
      <c r="Y776" t="s">
        <v>54</v>
      </c>
      <c r="Z776" s="12">
        <f>IF(N776&lt;=1,9,9+0.8*ROUNDUP(N776-1,0))</f>
        <v>12.2</v>
      </c>
      <c r="AA776" s="11">
        <v>-2</v>
      </c>
      <c r="AB776" s="11">
        <v>0</v>
      </c>
      <c r="AC776" s="11">
        <v>0</v>
      </c>
      <c r="AD776" s="11">
        <v>0</v>
      </c>
      <c r="AE776" s="11">
        <v>0</v>
      </c>
      <c r="AF776" s="11">
        <f t="shared" si="36"/>
        <v>0.61199999999999999</v>
      </c>
      <c r="AG776" s="11">
        <f t="shared" si="37"/>
        <v>10.811999999999999</v>
      </c>
      <c r="AH776" s="11">
        <v>0</v>
      </c>
      <c r="AI776" s="11">
        <f t="shared" si="38"/>
        <v>10.811999999999999</v>
      </c>
      <c r="AJ776" t="s">
        <v>62</v>
      </c>
    </row>
    <row r="777" spans="1:36" ht="15" customHeight="1" x14ac:dyDescent="0.35">
      <c r="A777">
        <v>10428918</v>
      </c>
      <c r="B777" t="s">
        <v>36</v>
      </c>
      <c r="C777" t="s">
        <v>37</v>
      </c>
      <c r="D777" s="6" t="s">
        <v>38</v>
      </c>
      <c r="E777" t="s">
        <v>2442</v>
      </c>
      <c r="F777" t="s">
        <v>40</v>
      </c>
      <c r="G777" t="s">
        <v>41</v>
      </c>
      <c r="H777" t="s">
        <v>2428</v>
      </c>
      <c r="I777" t="s">
        <v>43</v>
      </c>
      <c r="J777">
        <v>2</v>
      </c>
      <c r="K777" t="s">
        <v>44</v>
      </c>
      <c r="L777" t="s">
        <v>45</v>
      </c>
      <c r="M777" t="s">
        <v>46</v>
      </c>
      <c r="N777" s="7">
        <v>9</v>
      </c>
      <c r="O777" s="8">
        <v>45652.700023148151</v>
      </c>
      <c r="P777" s="9">
        <v>45655</v>
      </c>
      <c r="Q777" t="s">
        <v>74</v>
      </c>
      <c r="R777" t="s">
        <v>48</v>
      </c>
      <c r="S777" t="s">
        <v>49</v>
      </c>
      <c r="T777" t="s">
        <v>69</v>
      </c>
      <c r="U777" t="s">
        <v>2429</v>
      </c>
      <c r="V777">
        <v>81100</v>
      </c>
      <c r="W777" t="s">
        <v>48</v>
      </c>
      <c r="X777" t="s">
        <v>552</v>
      </c>
      <c r="Y777" t="s">
        <v>54</v>
      </c>
      <c r="Z777" s="12">
        <f>IF(N777&lt;=1,9,9+0.8*ROUNDUP(N777-1,0))</f>
        <v>15.4</v>
      </c>
      <c r="AA777" s="11">
        <v>-2</v>
      </c>
      <c r="AB777" s="11">
        <v>0</v>
      </c>
      <c r="AC777" s="11">
        <v>0</v>
      </c>
      <c r="AD777" s="11">
        <v>0</v>
      </c>
      <c r="AE777" s="11">
        <v>0</v>
      </c>
      <c r="AF777" s="11">
        <f t="shared" si="36"/>
        <v>0.80399999999999994</v>
      </c>
      <c r="AG777" s="11">
        <f t="shared" si="37"/>
        <v>14.204000000000001</v>
      </c>
      <c r="AH777" s="11">
        <v>0</v>
      </c>
      <c r="AI777" s="11">
        <f t="shared" si="38"/>
        <v>14.204000000000001</v>
      </c>
      <c r="AJ777" t="s">
        <v>62</v>
      </c>
    </row>
    <row r="778" spans="1:36" ht="15" customHeight="1" x14ac:dyDescent="0.35">
      <c r="A778">
        <v>10428918</v>
      </c>
      <c r="B778" t="s">
        <v>36</v>
      </c>
      <c r="C778" t="s">
        <v>37</v>
      </c>
      <c r="D778" s="6" t="s">
        <v>38</v>
      </c>
      <c r="E778" t="s">
        <v>2443</v>
      </c>
      <c r="F778" t="s">
        <v>40</v>
      </c>
      <c r="G778" t="s">
        <v>41</v>
      </c>
      <c r="H778" t="s">
        <v>2428</v>
      </c>
      <c r="I778" t="s">
        <v>43</v>
      </c>
      <c r="J778">
        <v>2</v>
      </c>
      <c r="K778" t="s">
        <v>44</v>
      </c>
      <c r="L778" t="s">
        <v>45</v>
      </c>
      <c r="M778" t="s">
        <v>46</v>
      </c>
      <c r="N778" s="7">
        <v>11</v>
      </c>
      <c r="O778" s="8">
        <v>45652.700023148151</v>
      </c>
      <c r="P778" s="9">
        <v>45655</v>
      </c>
      <c r="Q778" t="s">
        <v>74</v>
      </c>
      <c r="R778" t="s">
        <v>48</v>
      </c>
      <c r="S778" t="s">
        <v>49</v>
      </c>
      <c r="T778" t="s">
        <v>69</v>
      </c>
      <c r="U778" t="s">
        <v>2429</v>
      </c>
      <c r="V778">
        <v>81100</v>
      </c>
      <c r="W778" t="s">
        <v>48</v>
      </c>
      <c r="X778" t="s">
        <v>552</v>
      </c>
      <c r="Y778" t="s">
        <v>54</v>
      </c>
      <c r="Z778" s="12">
        <f>IF(N778&lt;=1,9,9+0.8*ROUNDUP(N778-1,0))</f>
        <v>17</v>
      </c>
      <c r="AA778" s="11">
        <v>-2</v>
      </c>
      <c r="AB778" s="11">
        <v>0</v>
      </c>
      <c r="AC778" s="11">
        <v>0</v>
      </c>
      <c r="AD778" s="11">
        <v>0</v>
      </c>
      <c r="AE778" s="11">
        <v>0</v>
      </c>
      <c r="AF778" s="11">
        <f t="shared" si="36"/>
        <v>0.89999999999999991</v>
      </c>
      <c r="AG778" s="11">
        <f t="shared" si="37"/>
        <v>15.9</v>
      </c>
      <c r="AH778" s="11">
        <v>0</v>
      </c>
      <c r="AI778" s="11">
        <f t="shared" si="38"/>
        <v>15.9</v>
      </c>
      <c r="AJ778" t="s">
        <v>62</v>
      </c>
    </row>
    <row r="779" spans="1:36" ht="15" customHeight="1" x14ac:dyDescent="0.35">
      <c r="A779">
        <v>10428918</v>
      </c>
      <c r="B779" t="s">
        <v>36</v>
      </c>
      <c r="C779" t="s">
        <v>37</v>
      </c>
      <c r="D779" s="6" t="s">
        <v>38</v>
      </c>
      <c r="E779" t="s">
        <v>2444</v>
      </c>
      <c r="F779" t="s">
        <v>40</v>
      </c>
      <c r="G779" t="s">
        <v>41</v>
      </c>
      <c r="H779" t="s">
        <v>2445</v>
      </c>
      <c r="I779" t="s">
        <v>43</v>
      </c>
      <c r="J779">
        <v>2</v>
      </c>
      <c r="K779" t="s">
        <v>44</v>
      </c>
      <c r="L779" t="s">
        <v>45</v>
      </c>
      <c r="M779" t="s">
        <v>46</v>
      </c>
      <c r="N779" s="7">
        <v>1</v>
      </c>
      <c r="O779" s="8">
        <v>45652.849687499998</v>
      </c>
      <c r="P779" s="9">
        <v>45655</v>
      </c>
      <c r="Q779" t="s">
        <v>58</v>
      </c>
      <c r="R779" t="s">
        <v>48</v>
      </c>
      <c r="S779" t="s">
        <v>49</v>
      </c>
      <c r="T779" t="s">
        <v>161</v>
      </c>
      <c r="U779" t="s">
        <v>2446</v>
      </c>
      <c r="V779">
        <v>11100</v>
      </c>
      <c r="W779" t="s">
        <v>48</v>
      </c>
      <c r="X779" t="s">
        <v>163</v>
      </c>
      <c r="Y779" t="s">
        <v>54</v>
      </c>
      <c r="Z779" s="12">
        <f>IF(N779&lt;=1,9,9+0.8*ROUNDUP(N779-1,0))</f>
        <v>9</v>
      </c>
      <c r="AA779" s="11">
        <v>-2</v>
      </c>
      <c r="AB779" s="11">
        <v>0</v>
      </c>
      <c r="AC779" s="11">
        <v>0</v>
      </c>
      <c r="AD779" s="11">
        <v>0</v>
      </c>
      <c r="AE779" s="11">
        <v>0</v>
      </c>
      <c r="AF779" s="11">
        <f t="shared" si="36"/>
        <v>0.42</v>
      </c>
      <c r="AG779" s="11">
        <f t="shared" si="37"/>
        <v>7.42</v>
      </c>
      <c r="AH779" s="11">
        <v>0</v>
      </c>
      <c r="AI779" s="11">
        <f t="shared" si="38"/>
        <v>7.42</v>
      </c>
      <c r="AJ779" t="s">
        <v>62</v>
      </c>
    </row>
    <row r="780" spans="1:36" ht="15" customHeight="1" x14ac:dyDescent="0.35">
      <c r="A780">
        <v>10428918</v>
      </c>
      <c r="B780" t="s">
        <v>36</v>
      </c>
      <c r="C780" t="s">
        <v>37</v>
      </c>
      <c r="D780" s="6" t="s">
        <v>38</v>
      </c>
      <c r="E780" t="s">
        <v>2447</v>
      </c>
      <c r="F780" t="s">
        <v>40</v>
      </c>
      <c r="G780" t="s">
        <v>41</v>
      </c>
      <c r="H780" t="s">
        <v>2448</v>
      </c>
      <c r="I780" t="s">
        <v>43</v>
      </c>
      <c r="J780">
        <v>2</v>
      </c>
      <c r="K780" t="s">
        <v>44</v>
      </c>
      <c r="L780" t="s">
        <v>45</v>
      </c>
      <c r="M780" t="s">
        <v>46</v>
      </c>
      <c r="N780" s="7">
        <v>3</v>
      </c>
      <c r="O780" s="8">
        <v>45652.882372685184</v>
      </c>
      <c r="P780" s="9">
        <v>45655</v>
      </c>
      <c r="Q780" t="s">
        <v>58</v>
      </c>
      <c r="R780" t="s">
        <v>48</v>
      </c>
      <c r="S780" t="s">
        <v>49</v>
      </c>
      <c r="T780" t="s">
        <v>80</v>
      </c>
      <c r="U780" t="s">
        <v>2449</v>
      </c>
      <c r="V780">
        <v>9200</v>
      </c>
      <c r="W780" t="s">
        <v>48</v>
      </c>
      <c r="X780" t="s">
        <v>1388</v>
      </c>
      <c r="Y780" t="s">
        <v>54</v>
      </c>
      <c r="Z780" s="12">
        <f>IF(N780&lt;=1,9,9+0.8*ROUNDUP(N780-1,0))</f>
        <v>10.6</v>
      </c>
      <c r="AA780" s="11">
        <v>-2</v>
      </c>
      <c r="AB780" s="11">
        <v>0</v>
      </c>
      <c r="AC780" s="11">
        <v>0</v>
      </c>
      <c r="AD780" s="11">
        <v>0</v>
      </c>
      <c r="AE780" s="11">
        <v>0</v>
      </c>
      <c r="AF780" s="11">
        <f t="shared" si="36"/>
        <v>0.51600000000000001</v>
      </c>
      <c r="AG780" s="11">
        <f t="shared" si="37"/>
        <v>9.1159999999999997</v>
      </c>
      <c r="AH780" s="11">
        <v>0</v>
      </c>
      <c r="AI780" s="11">
        <f t="shared" si="38"/>
        <v>9.1159999999999997</v>
      </c>
      <c r="AJ780" t="s">
        <v>62</v>
      </c>
    </row>
    <row r="781" spans="1:36" ht="15" customHeight="1" x14ac:dyDescent="0.35">
      <c r="A781">
        <v>10428918</v>
      </c>
      <c r="B781" t="s">
        <v>36</v>
      </c>
      <c r="C781" t="s">
        <v>37</v>
      </c>
      <c r="D781" s="6" t="s">
        <v>38</v>
      </c>
      <c r="E781" t="s">
        <v>2450</v>
      </c>
      <c r="F781" t="s">
        <v>40</v>
      </c>
      <c r="G781" t="s">
        <v>41</v>
      </c>
      <c r="H781" t="s">
        <v>2451</v>
      </c>
      <c r="I781" t="s">
        <v>43</v>
      </c>
      <c r="J781">
        <v>2</v>
      </c>
      <c r="K781" t="s">
        <v>44</v>
      </c>
      <c r="L781" t="s">
        <v>45</v>
      </c>
      <c r="M781" t="s">
        <v>46</v>
      </c>
      <c r="N781" s="7">
        <v>1</v>
      </c>
      <c r="O781" s="8">
        <v>45653.798148148147</v>
      </c>
      <c r="P781" s="9">
        <v>45655</v>
      </c>
      <c r="Q781" t="s">
        <v>74</v>
      </c>
      <c r="R781" t="s">
        <v>48</v>
      </c>
      <c r="S781" t="s">
        <v>49</v>
      </c>
      <c r="T781" t="s">
        <v>59</v>
      </c>
      <c r="U781" t="s">
        <v>2452</v>
      </c>
      <c r="V781">
        <v>16050</v>
      </c>
      <c r="W781" t="s">
        <v>48</v>
      </c>
      <c r="X781" t="s">
        <v>61</v>
      </c>
      <c r="Y781" t="s">
        <v>54</v>
      </c>
      <c r="Z781" s="12">
        <f>IF(N781&lt;=1,9,9+0.8*ROUNDUP(N781-1,0))</f>
        <v>9</v>
      </c>
      <c r="AA781" s="11">
        <v>-2</v>
      </c>
      <c r="AB781" s="11">
        <v>0</v>
      </c>
      <c r="AC781" s="11">
        <v>0</v>
      </c>
      <c r="AD781" s="11">
        <v>0</v>
      </c>
      <c r="AE781" s="11">
        <v>0</v>
      </c>
      <c r="AF781" s="11">
        <f t="shared" si="36"/>
        <v>0.42</v>
      </c>
      <c r="AG781" s="11">
        <f t="shared" si="37"/>
        <v>7.42</v>
      </c>
      <c r="AH781" s="11">
        <v>0</v>
      </c>
      <c r="AI781" s="11">
        <f t="shared" si="38"/>
        <v>7.42</v>
      </c>
      <c r="AJ781" t="s">
        <v>62</v>
      </c>
    </row>
    <row r="782" spans="1:36" ht="15" customHeight="1" x14ac:dyDescent="0.35">
      <c r="A782">
        <v>10428918</v>
      </c>
      <c r="B782" t="s">
        <v>36</v>
      </c>
      <c r="C782" t="s">
        <v>37</v>
      </c>
      <c r="D782" s="6" t="s">
        <v>38</v>
      </c>
      <c r="E782" t="s">
        <v>2453</v>
      </c>
      <c r="F782" t="s">
        <v>40</v>
      </c>
      <c r="G782" t="s">
        <v>41</v>
      </c>
      <c r="H782" t="s">
        <v>2454</v>
      </c>
      <c r="I782" t="s">
        <v>43</v>
      </c>
      <c r="J782">
        <v>2</v>
      </c>
      <c r="K782" t="s">
        <v>44</v>
      </c>
      <c r="L782" t="s">
        <v>45</v>
      </c>
      <c r="M782" t="s">
        <v>46</v>
      </c>
      <c r="N782" s="7">
        <v>1</v>
      </c>
      <c r="O782" s="8">
        <v>45652.880706018521</v>
      </c>
      <c r="P782" s="9">
        <v>45655</v>
      </c>
      <c r="Q782" t="s">
        <v>58</v>
      </c>
      <c r="R782" t="s">
        <v>48</v>
      </c>
      <c r="S782" t="s">
        <v>49</v>
      </c>
      <c r="T782" t="s">
        <v>69</v>
      </c>
      <c r="U782" t="s">
        <v>2455</v>
      </c>
      <c r="V782">
        <v>84900</v>
      </c>
      <c r="W782" t="s">
        <v>48</v>
      </c>
      <c r="X782" t="s">
        <v>53</v>
      </c>
      <c r="Y782" t="s">
        <v>54</v>
      </c>
      <c r="Z782" s="12">
        <f>IF(N782&lt;=1,9,9+0.8*ROUNDUP(N782-1,0))</f>
        <v>9</v>
      </c>
      <c r="AA782" s="11">
        <v>-2</v>
      </c>
      <c r="AB782" s="11">
        <v>0</v>
      </c>
      <c r="AC782" s="11">
        <v>0</v>
      </c>
      <c r="AD782" s="11">
        <v>0</v>
      </c>
      <c r="AE782" s="11">
        <v>0</v>
      </c>
      <c r="AF782" s="11">
        <f t="shared" si="36"/>
        <v>0.42</v>
      </c>
      <c r="AG782" s="11">
        <f t="shared" si="37"/>
        <v>7.42</v>
      </c>
      <c r="AH782" s="11">
        <v>0</v>
      </c>
      <c r="AI782" s="11">
        <f t="shared" si="38"/>
        <v>7.42</v>
      </c>
      <c r="AJ782" t="s">
        <v>62</v>
      </c>
    </row>
    <row r="783" spans="1:36" ht="15" customHeight="1" x14ac:dyDescent="0.35">
      <c r="A783">
        <v>10428918</v>
      </c>
      <c r="B783" t="s">
        <v>36</v>
      </c>
      <c r="C783" t="s">
        <v>37</v>
      </c>
      <c r="D783" s="6" t="s">
        <v>38</v>
      </c>
      <c r="E783" t="s">
        <v>2456</v>
      </c>
      <c r="F783" t="s">
        <v>40</v>
      </c>
      <c r="G783" t="s">
        <v>41</v>
      </c>
      <c r="H783" t="s">
        <v>2457</v>
      </c>
      <c r="I783" t="s">
        <v>43</v>
      </c>
      <c r="J783">
        <v>2</v>
      </c>
      <c r="K783" t="s">
        <v>44</v>
      </c>
      <c r="L783" t="s">
        <v>45</v>
      </c>
      <c r="M783" t="s">
        <v>46</v>
      </c>
      <c r="N783" s="7">
        <v>2</v>
      </c>
      <c r="O783" s="8">
        <v>45652.678935185184</v>
      </c>
      <c r="P783" s="9">
        <v>45655</v>
      </c>
      <c r="Q783" t="s">
        <v>74</v>
      </c>
      <c r="R783" t="s">
        <v>48</v>
      </c>
      <c r="S783" t="s">
        <v>49</v>
      </c>
      <c r="T783" t="s">
        <v>117</v>
      </c>
      <c r="U783" t="s">
        <v>2458</v>
      </c>
      <c r="V783">
        <v>43000</v>
      </c>
      <c r="W783" t="s">
        <v>48</v>
      </c>
      <c r="X783" t="s">
        <v>330</v>
      </c>
      <c r="Y783" t="s">
        <v>54</v>
      </c>
      <c r="Z783" s="12">
        <f>IF(N783&lt;=1,9,9+0.8*ROUNDUP(N783-1,0))</f>
        <v>9.8000000000000007</v>
      </c>
      <c r="AA783" s="11">
        <v>-2</v>
      </c>
      <c r="AB783" s="11">
        <v>0</v>
      </c>
      <c r="AC783" s="11">
        <v>0</v>
      </c>
      <c r="AD783" s="11">
        <v>0</v>
      </c>
      <c r="AE783" s="11">
        <v>0</v>
      </c>
      <c r="AF783" s="11">
        <f t="shared" si="36"/>
        <v>0.46800000000000003</v>
      </c>
      <c r="AG783" s="11">
        <f t="shared" si="37"/>
        <v>8.2680000000000007</v>
      </c>
      <c r="AH783" s="11">
        <v>0</v>
      </c>
      <c r="AI783" s="11">
        <f t="shared" si="38"/>
        <v>8.2680000000000007</v>
      </c>
      <c r="AJ783" t="s">
        <v>62</v>
      </c>
    </row>
    <row r="784" spans="1:36" ht="15" customHeight="1" x14ac:dyDescent="0.35">
      <c r="A784">
        <v>10428918</v>
      </c>
      <c r="B784" t="s">
        <v>36</v>
      </c>
      <c r="C784" t="s">
        <v>37</v>
      </c>
      <c r="D784" s="6" t="s">
        <v>38</v>
      </c>
      <c r="E784" t="s">
        <v>2459</v>
      </c>
      <c r="F784" t="s">
        <v>40</v>
      </c>
      <c r="G784" t="s">
        <v>41</v>
      </c>
      <c r="H784" t="s">
        <v>2460</v>
      </c>
      <c r="I784" t="s">
        <v>43</v>
      </c>
      <c r="J784">
        <v>2</v>
      </c>
      <c r="K784" t="s">
        <v>44</v>
      </c>
      <c r="L784" t="s">
        <v>45</v>
      </c>
      <c r="M784" t="s">
        <v>46</v>
      </c>
      <c r="N784" s="7">
        <v>3</v>
      </c>
      <c r="O784" s="8">
        <v>45652.863993055558</v>
      </c>
      <c r="P784" s="9">
        <v>45655</v>
      </c>
      <c r="Q784" t="s">
        <v>58</v>
      </c>
      <c r="R784" t="s">
        <v>48</v>
      </c>
      <c r="S784" t="s">
        <v>49</v>
      </c>
      <c r="T784" t="s">
        <v>117</v>
      </c>
      <c r="U784" t="s">
        <v>2461</v>
      </c>
      <c r="V784">
        <v>43650</v>
      </c>
      <c r="W784" t="s">
        <v>48</v>
      </c>
      <c r="X784" t="s">
        <v>191</v>
      </c>
      <c r="Y784" t="s">
        <v>54</v>
      </c>
      <c r="Z784" s="12">
        <f>IF(N784&lt;=1,9,9+0.8*ROUNDUP(N784-1,0))</f>
        <v>10.6</v>
      </c>
      <c r="AA784" s="11">
        <v>-2</v>
      </c>
      <c r="AB784" s="11">
        <v>0</v>
      </c>
      <c r="AC784" s="11">
        <v>0</v>
      </c>
      <c r="AD784" s="11">
        <v>0</v>
      </c>
      <c r="AE784" s="11">
        <v>0</v>
      </c>
      <c r="AF784" s="11">
        <f t="shared" si="36"/>
        <v>0.51600000000000001</v>
      </c>
      <c r="AG784" s="11">
        <f t="shared" si="37"/>
        <v>9.1159999999999997</v>
      </c>
      <c r="AH784" s="11">
        <v>0</v>
      </c>
      <c r="AI784" s="11">
        <f t="shared" si="38"/>
        <v>9.1159999999999997</v>
      </c>
      <c r="AJ784" t="s">
        <v>62</v>
      </c>
    </row>
    <row r="785" spans="1:36" ht="15" customHeight="1" x14ac:dyDescent="0.35">
      <c r="A785">
        <v>10428918</v>
      </c>
      <c r="B785" t="s">
        <v>36</v>
      </c>
      <c r="C785" t="s">
        <v>37</v>
      </c>
      <c r="D785" s="6" t="s">
        <v>38</v>
      </c>
      <c r="E785" t="s">
        <v>2462</v>
      </c>
      <c r="F785" t="s">
        <v>40</v>
      </c>
      <c r="G785" t="s">
        <v>41</v>
      </c>
      <c r="H785" t="s">
        <v>2463</v>
      </c>
      <c r="I785" t="s">
        <v>43</v>
      </c>
      <c r="J785">
        <v>2</v>
      </c>
      <c r="K785" t="s">
        <v>44</v>
      </c>
      <c r="L785" t="s">
        <v>45</v>
      </c>
      <c r="M785" t="s">
        <v>46</v>
      </c>
      <c r="N785" s="7">
        <v>1</v>
      </c>
      <c r="O785" s="8">
        <v>45648.809687499997</v>
      </c>
      <c r="P785" s="9">
        <v>45655</v>
      </c>
      <c r="Q785" t="s">
        <v>74</v>
      </c>
      <c r="R785" t="s">
        <v>48</v>
      </c>
      <c r="S785" t="s">
        <v>49</v>
      </c>
      <c r="T785" t="s">
        <v>69</v>
      </c>
      <c r="U785" t="s">
        <v>2464</v>
      </c>
      <c r="V785">
        <v>81400</v>
      </c>
      <c r="W785" t="s">
        <v>48</v>
      </c>
      <c r="X785" t="s">
        <v>394</v>
      </c>
      <c r="Y785" t="s">
        <v>54</v>
      </c>
      <c r="Z785" s="12">
        <f>IF(N785&lt;=1,9,9+0.8*ROUNDUP(N785-1,0))</f>
        <v>9</v>
      </c>
      <c r="AA785" s="11">
        <v>-2</v>
      </c>
      <c r="AB785" s="11">
        <v>0</v>
      </c>
      <c r="AC785" s="11">
        <v>0</v>
      </c>
      <c r="AD785" s="11">
        <v>0</v>
      </c>
      <c r="AE785" s="11">
        <v>0</v>
      </c>
      <c r="AF785" s="11">
        <f t="shared" si="36"/>
        <v>0.42</v>
      </c>
      <c r="AG785" s="11">
        <f t="shared" si="37"/>
        <v>7.42</v>
      </c>
      <c r="AH785" s="11">
        <v>0</v>
      </c>
      <c r="AI785" s="11">
        <f t="shared" si="38"/>
        <v>7.42</v>
      </c>
      <c r="AJ785" t="s">
        <v>62</v>
      </c>
    </row>
    <row r="786" spans="1:36" ht="15" customHeight="1" x14ac:dyDescent="0.35">
      <c r="A786">
        <v>10428918</v>
      </c>
      <c r="B786" t="s">
        <v>36</v>
      </c>
      <c r="C786" t="s">
        <v>37</v>
      </c>
      <c r="D786" s="6" t="s">
        <v>38</v>
      </c>
      <c r="E786" t="s">
        <v>2465</v>
      </c>
      <c r="F786" t="s">
        <v>40</v>
      </c>
      <c r="G786" t="s">
        <v>41</v>
      </c>
      <c r="H786" t="s">
        <v>2466</v>
      </c>
      <c r="I786" t="s">
        <v>43</v>
      </c>
      <c r="J786">
        <v>2</v>
      </c>
      <c r="K786" t="s">
        <v>44</v>
      </c>
      <c r="L786" t="s">
        <v>45</v>
      </c>
      <c r="M786" t="s">
        <v>46</v>
      </c>
      <c r="N786" s="7">
        <v>1</v>
      </c>
      <c r="O786" s="8">
        <v>45654.423773148148</v>
      </c>
      <c r="P786" s="9">
        <v>45655</v>
      </c>
      <c r="Q786" t="s">
        <v>74</v>
      </c>
      <c r="R786" t="s">
        <v>48</v>
      </c>
      <c r="S786" t="s">
        <v>49</v>
      </c>
      <c r="T786" t="s">
        <v>75</v>
      </c>
      <c r="U786" t="s">
        <v>2467</v>
      </c>
      <c r="V786">
        <v>28050</v>
      </c>
      <c r="W786" t="s">
        <v>48</v>
      </c>
      <c r="X786" t="s">
        <v>77</v>
      </c>
      <c r="Y786" t="s">
        <v>54</v>
      </c>
      <c r="Z786" s="12">
        <f>IF(N786&lt;=1,9,9+0.8*ROUNDUP(N786-1,0))</f>
        <v>9</v>
      </c>
      <c r="AA786" s="11">
        <v>-2</v>
      </c>
      <c r="AB786" s="11">
        <v>0</v>
      </c>
      <c r="AC786" s="11">
        <v>0</v>
      </c>
      <c r="AD786" s="11">
        <v>0</v>
      </c>
      <c r="AE786" s="11">
        <v>0</v>
      </c>
      <c r="AF786" s="11">
        <f t="shared" si="36"/>
        <v>0.42</v>
      </c>
      <c r="AG786" s="11">
        <f t="shared" si="37"/>
        <v>7.42</v>
      </c>
      <c r="AH786" s="11">
        <v>0</v>
      </c>
      <c r="AI786" s="11">
        <f t="shared" si="38"/>
        <v>7.42</v>
      </c>
      <c r="AJ786" t="s">
        <v>62</v>
      </c>
    </row>
    <row r="787" spans="1:36" ht="15" customHeight="1" x14ac:dyDescent="0.35">
      <c r="A787">
        <v>10428918</v>
      </c>
      <c r="B787" t="s">
        <v>36</v>
      </c>
      <c r="C787" t="s">
        <v>37</v>
      </c>
      <c r="D787" s="6" t="s">
        <v>38</v>
      </c>
      <c r="E787" t="s">
        <v>2468</v>
      </c>
      <c r="F787" t="s">
        <v>40</v>
      </c>
      <c r="G787" t="s">
        <v>41</v>
      </c>
      <c r="H787" t="s">
        <v>2469</v>
      </c>
      <c r="I787" t="s">
        <v>43</v>
      </c>
      <c r="J787">
        <v>2</v>
      </c>
      <c r="K787" t="s">
        <v>44</v>
      </c>
      <c r="L787" t="s">
        <v>45</v>
      </c>
      <c r="M787" t="s">
        <v>46</v>
      </c>
      <c r="N787" s="7">
        <v>2</v>
      </c>
      <c r="O787" s="8">
        <v>45652.895891203705</v>
      </c>
      <c r="P787" s="9">
        <v>45655</v>
      </c>
      <c r="Q787" t="s">
        <v>58</v>
      </c>
      <c r="R787" t="s">
        <v>48</v>
      </c>
      <c r="S787" t="s">
        <v>49</v>
      </c>
      <c r="T787" t="s">
        <v>170</v>
      </c>
      <c r="U787" t="s">
        <v>2470</v>
      </c>
      <c r="V787">
        <v>50300</v>
      </c>
      <c r="W787" t="s">
        <v>48</v>
      </c>
      <c r="X787" t="s">
        <v>53</v>
      </c>
      <c r="Y787" t="s">
        <v>54</v>
      </c>
      <c r="Z787" s="12">
        <f>IF(N787&lt;=1,9,9+0.8*ROUNDUP(N787-1,0))</f>
        <v>9.8000000000000007</v>
      </c>
      <c r="AA787" s="11">
        <v>-2</v>
      </c>
      <c r="AB787" s="11">
        <v>0</v>
      </c>
      <c r="AC787" s="11">
        <v>0</v>
      </c>
      <c r="AD787" s="11">
        <v>0</v>
      </c>
      <c r="AE787" s="11">
        <v>0</v>
      </c>
      <c r="AF787" s="11">
        <f t="shared" si="36"/>
        <v>0.46800000000000003</v>
      </c>
      <c r="AG787" s="11">
        <f t="shared" si="37"/>
        <v>8.2680000000000007</v>
      </c>
      <c r="AH787" s="11">
        <v>0</v>
      </c>
      <c r="AI787" s="11">
        <f t="shared" si="38"/>
        <v>8.2680000000000007</v>
      </c>
      <c r="AJ787" t="s">
        <v>62</v>
      </c>
    </row>
    <row r="788" spans="1:36" ht="15" customHeight="1" x14ac:dyDescent="0.35">
      <c r="A788">
        <v>10428918</v>
      </c>
      <c r="B788" t="s">
        <v>36</v>
      </c>
      <c r="C788" t="s">
        <v>37</v>
      </c>
      <c r="D788" s="6" t="s">
        <v>38</v>
      </c>
      <c r="E788" t="s">
        <v>2471</v>
      </c>
      <c r="F788" t="s">
        <v>40</v>
      </c>
      <c r="G788" t="s">
        <v>41</v>
      </c>
      <c r="H788" t="s">
        <v>2472</v>
      </c>
      <c r="I788" t="s">
        <v>43</v>
      </c>
      <c r="J788">
        <v>2</v>
      </c>
      <c r="K788" t="s">
        <v>44</v>
      </c>
      <c r="L788" t="s">
        <v>45</v>
      </c>
      <c r="M788" t="s">
        <v>46</v>
      </c>
      <c r="N788" s="7">
        <v>2</v>
      </c>
      <c r="O788" s="8">
        <v>45654.416643518518</v>
      </c>
      <c r="P788" s="9">
        <v>45655</v>
      </c>
      <c r="Q788" t="s">
        <v>74</v>
      </c>
      <c r="R788" t="s">
        <v>48</v>
      </c>
      <c r="S788" t="s">
        <v>49</v>
      </c>
      <c r="T788" t="s">
        <v>90</v>
      </c>
      <c r="U788" t="s">
        <v>2473</v>
      </c>
      <c r="V788">
        <v>21800</v>
      </c>
      <c r="W788" t="s">
        <v>48</v>
      </c>
      <c r="X788" t="s">
        <v>92</v>
      </c>
      <c r="Y788" t="s">
        <v>54</v>
      </c>
      <c r="Z788" s="12">
        <f>IF(N788&lt;=1,9,9+0.8*ROUNDUP(N788-1,0))</f>
        <v>9.8000000000000007</v>
      </c>
      <c r="AA788" s="11">
        <v>-2</v>
      </c>
      <c r="AB788" s="11">
        <v>0</v>
      </c>
      <c r="AC788" s="11">
        <v>0</v>
      </c>
      <c r="AD788" s="11">
        <v>0</v>
      </c>
      <c r="AE788" s="11">
        <v>0</v>
      </c>
      <c r="AF788" s="11">
        <f t="shared" si="36"/>
        <v>0.46800000000000003</v>
      </c>
      <c r="AG788" s="11">
        <f t="shared" si="37"/>
        <v>8.2680000000000007</v>
      </c>
      <c r="AH788" s="11">
        <v>0</v>
      </c>
      <c r="AI788" s="11">
        <f t="shared" si="38"/>
        <v>8.2680000000000007</v>
      </c>
      <c r="AJ788" t="s">
        <v>62</v>
      </c>
    </row>
    <row r="789" spans="1:36" ht="15" customHeight="1" x14ac:dyDescent="0.35">
      <c r="A789">
        <v>10428918</v>
      </c>
      <c r="B789" t="s">
        <v>36</v>
      </c>
      <c r="C789" t="s">
        <v>37</v>
      </c>
      <c r="D789" s="6" t="s">
        <v>38</v>
      </c>
      <c r="E789" t="s">
        <v>2474</v>
      </c>
      <c r="F789" t="s">
        <v>40</v>
      </c>
      <c r="G789" t="s">
        <v>41</v>
      </c>
      <c r="H789" t="s">
        <v>2475</v>
      </c>
      <c r="I789" t="s">
        <v>43</v>
      </c>
      <c r="J789">
        <v>2</v>
      </c>
      <c r="K789" t="s">
        <v>44</v>
      </c>
      <c r="L789" t="s">
        <v>45</v>
      </c>
      <c r="M789" t="s">
        <v>46</v>
      </c>
      <c r="N789" s="7">
        <v>2</v>
      </c>
      <c r="O789" s="8">
        <v>45652.882372685184</v>
      </c>
      <c r="P789" s="9">
        <v>45655</v>
      </c>
      <c r="Q789" t="s">
        <v>58</v>
      </c>
      <c r="R789" t="s">
        <v>48</v>
      </c>
      <c r="S789" t="s">
        <v>49</v>
      </c>
      <c r="T789" t="s">
        <v>101</v>
      </c>
      <c r="U789" t="s">
        <v>2476</v>
      </c>
      <c r="V789">
        <v>32600</v>
      </c>
      <c r="W789" t="s">
        <v>48</v>
      </c>
      <c r="X789" t="s">
        <v>754</v>
      </c>
      <c r="Y789" t="s">
        <v>54</v>
      </c>
      <c r="Z789" s="12">
        <f>IF(N789&lt;=1,9,9+0.8*ROUNDUP(N789-1,0))</f>
        <v>9.8000000000000007</v>
      </c>
      <c r="AA789" s="11">
        <v>-2</v>
      </c>
      <c r="AB789" s="11">
        <v>0</v>
      </c>
      <c r="AC789" s="11">
        <v>0</v>
      </c>
      <c r="AD789" s="11">
        <v>0</v>
      </c>
      <c r="AE789" s="11">
        <v>0</v>
      </c>
      <c r="AF789" s="11">
        <f t="shared" si="36"/>
        <v>0.46800000000000003</v>
      </c>
      <c r="AG789" s="11">
        <f t="shared" si="37"/>
        <v>8.2680000000000007</v>
      </c>
      <c r="AH789" s="11">
        <v>0</v>
      </c>
      <c r="AI789" s="11">
        <f t="shared" si="38"/>
        <v>8.2680000000000007</v>
      </c>
      <c r="AJ789" t="s">
        <v>62</v>
      </c>
    </row>
    <row r="790" spans="1:36" ht="15" customHeight="1" x14ac:dyDescent="0.35">
      <c r="A790">
        <v>10428918</v>
      </c>
      <c r="B790" t="s">
        <v>36</v>
      </c>
      <c r="C790" t="s">
        <v>37</v>
      </c>
      <c r="D790" s="6" t="s">
        <v>38</v>
      </c>
      <c r="E790" t="s">
        <v>2477</v>
      </c>
      <c r="F790" t="s">
        <v>40</v>
      </c>
      <c r="G790" t="s">
        <v>41</v>
      </c>
      <c r="H790" t="s">
        <v>2478</v>
      </c>
      <c r="I790" t="s">
        <v>43</v>
      </c>
      <c r="J790">
        <v>2</v>
      </c>
      <c r="K790" t="s">
        <v>44</v>
      </c>
      <c r="L790" t="s">
        <v>45</v>
      </c>
      <c r="M790" t="s">
        <v>46</v>
      </c>
      <c r="N790" s="7">
        <v>1</v>
      </c>
      <c r="O790" s="8">
        <v>45654.423773148148</v>
      </c>
      <c r="P790" s="9">
        <v>45655</v>
      </c>
      <c r="Q790" t="s">
        <v>74</v>
      </c>
      <c r="R790" t="s">
        <v>48</v>
      </c>
      <c r="S790" t="s">
        <v>49</v>
      </c>
      <c r="T790" t="s">
        <v>59</v>
      </c>
      <c r="U790" t="s">
        <v>2479</v>
      </c>
      <c r="V790">
        <v>17020</v>
      </c>
      <c r="W790" t="s">
        <v>48</v>
      </c>
      <c r="X790" t="s">
        <v>61</v>
      </c>
      <c r="Y790" t="s">
        <v>54</v>
      </c>
      <c r="Z790" s="12">
        <f>IF(N790&lt;=1,9,9+0.8*ROUNDUP(N790-1,0))</f>
        <v>9</v>
      </c>
      <c r="AA790" s="11">
        <v>-2</v>
      </c>
      <c r="AB790" s="11">
        <v>0</v>
      </c>
      <c r="AC790" s="11">
        <v>0</v>
      </c>
      <c r="AD790" s="11">
        <v>0</v>
      </c>
      <c r="AE790" s="11">
        <v>0</v>
      </c>
      <c r="AF790" s="11">
        <f t="shared" si="36"/>
        <v>0.42</v>
      </c>
      <c r="AG790" s="11">
        <f t="shared" si="37"/>
        <v>7.42</v>
      </c>
      <c r="AH790" s="11">
        <v>0</v>
      </c>
      <c r="AI790" s="11">
        <f t="shared" si="38"/>
        <v>7.42</v>
      </c>
      <c r="AJ790" t="s">
        <v>62</v>
      </c>
    </row>
    <row r="791" spans="1:36" ht="15" customHeight="1" x14ac:dyDescent="0.35">
      <c r="A791">
        <v>10428918</v>
      </c>
      <c r="B791" t="s">
        <v>36</v>
      </c>
      <c r="C791" t="s">
        <v>37</v>
      </c>
      <c r="D791" s="6" t="s">
        <v>38</v>
      </c>
      <c r="E791" t="s">
        <v>2480</v>
      </c>
      <c r="F791" t="s">
        <v>40</v>
      </c>
      <c r="G791" t="s">
        <v>41</v>
      </c>
      <c r="H791" t="s">
        <v>2481</v>
      </c>
      <c r="I791" t="s">
        <v>43</v>
      </c>
      <c r="J791">
        <v>2</v>
      </c>
      <c r="K791" t="s">
        <v>44</v>
      </c>
      <c r="L791" t="s">
        <v>45</v>
      </c>
      <c r="M791" t="s">
        <v>46</v>
      </c>
      <c r="N791" s="7">
        <v>1</v>
      </c>
      <c r="O791" s="8">
        <v>45654.577291666668</v>
      </c>
      <c r="P791" s="9">
        <v>45655</v>
      </c>
      <c r="Q791" t="s">
        <v>74</v>
      </c>
      <c r="R791" t="s">
        <v>48</v>
      </c>
      <c r="S791" t="s">
        <v>49</v>
      </c>
      <c r="T791" t="s">
        <v>59</v>
      </c>
      <c r="U791" t="s">
        <v>2482</v>
      </c>
      <c r="V791">
        <v>17500</v>
      </c>
      <c r="W791" t="s">
        <v>48</v>
      </c>
      <c r="X791" t="s">
        <v>61</v>
      </c>
      <c r="Y791" t="s">
        <v>54</v>
      </c>
      <c r="Z791" s="12">
        <f>IF(N791&lt;=1,9,9+0.8*ROUNDUP(N791-1,0))</f>
        <v>9</v>
      </c>
      <c r="AA791" s="11">
        <v>-2</v>
      </c>
      <c r="AB791" s="11">
        <v>0</v>
      </c>
      <c r="AC791" s="11">
        <v>0</v>
      </c>
      <c r="AD791" s="11">
        <v>0</v>
      </c>
      <c r="AE791" s="11">
        <v>0</v>
      </c>
      <c r="AF791" s="11">
        <f t="shared" si="36"/>
        <v>0.42</v>
      </c>
      <c r="AG791" s="11">
        <f t="shared" si="37"/>
        <v>7.42</v>
      </c>
      <c r="AH791" s="11">
        <v>0</v>
      </c>
      <c r="AI791" s="11">
        <f t="shared" si="38"/>
        <v>7.42</v>
      </c>
      <c r="AJ791" t="s">
        <v>62</v>
      </c>
    </row>
    <row r="792" spans="1:36" ht="15" customHeight="1" x14ac:dyDescent="0.35">
      <c r="A792">
        <v>10428918</v>
      </c>
      <c r="B792" t="s">
        <v>36</v>
      </c>
      <c r="C792" t="s">
        <v>37</v>
      </c>
      <c r="D792" s="6" t="s">
        <v>38</v>
      </c>
      <c r="E792" t="s">
        <v>2483</v>
      </c>
      <c r="F792" t="s">
        <v>40</v>
      </c>
      <c r="G792" t="s">
        <v>41</v>
      </c>
      <c r="H792" t="s">
        <v>2484</v>
      </c>
      <c r="I792" t="s">
        <v>43</v>
      </c>
      <c r="J792">
        <v>2</v>
      </c>
      <c r="K792" t="s">
        <v>44</v>
      </c>
      <c r="L792" t="s">
        <v>45</v>
      </c>
      <c r="M792" t="s">
        <v>46</v>
      </c>
      <c r="N792" s="7">
        <v>1</v>
      </c>
      <c r="O792" s="8">
        <v>45653.813715277778</v>
      </c>
      <c r="P792" s="9">
        <v>45655</v>
      </c>
      <c r="Q792" t="s">
        <v>74</v>
      </c>
      <c r="R792" t="s">
        <v>48</v>
      </c>
      <c r="S792" t="s">
        <v>49</v>
      </c>
      <c r="T792" t="s">
        <v>117</v>
      </c>
      <c r="U792" t="s">
        <v>2485</v>
      </c>
      <c r="V792">
        <v>41400</v>
      </c>
      <c r="W792" t="s">
        <v>48</v>
      </c>
      <c r="X792" t="s">
        <v>623</v>
      </c>
      <c r="Y792" t="s">
        <v>54</v>
      </c>
      <c r="Z792" s="12">
        <f>IF(N792&lt;=1,9,9+0.8*ROUNDUP(N792-1,0))</f>
        <v>9</v>
      </c>
      <c r="AA792" s="11">
        <v>-2</v>
      </c>
      <c r="AB792" s="11">
        <v>0</v>
      </c>
      <c r="AC792" s="11">
        <v>0</v>
      </c>
      <c r="AD792" s="11">
        <v>0</v>
      </c>
      <c r="AE792" s="11">
        <v>0</v>
      </c>
      <c r="AF792" s="11">
        <f t="shared" si="36"/>
        <v>0.42</v>
      </c>
      <c r="AG792" s="11">
        <f t="shared" si="37"/>
        <v>7.42</v>
      </c>
      <c r="AH792" s="11">
        <v>0</v>
      </c>
      <c r="AI792" s="11">
        <f t="shared" si="38"/>
        <v>7.42</v>
      </c>
      <c r="AJ792" t="s">
        <v>62</v>
      </c>
    </row>
    <row r="793" spans="1:36" ht="15" customHeight="1" x14ac:dyDescent="0.35">
      <c r="A793">
        <v>10428918</v>
      </c>
      <c r="B793" t="s">
        <v>36</v>
      </c>
      <c r="C793" t="s">
        <v>37</v>
      </c>
      <c r="D793" s="6" t="s">
        <v>38</v>
      </c>
      <c r="E793" t="s">
        <v>2486</v>
      </c>
      <c r="F793" t="s">
        <v>40</v>
      </c>
      <c r="G793" t="s">
        <v>41</v>
      </c>
      <c r="H793" t="s">
        <v>2487</v>
      </c>
      <c r="I793" t="s">
        <v>43</v>
      </c>
      <c r="J793">
        <v>2</v>
      </c>
      <c r="K793" t="s">
        <v>44</v>
      </c>
      <c r="L793" t="s">
        <v>45</v>
      </c>
      <c r="M793" t="s">
        <v>46</v>
      </c>
      <c r="N793" s="7">
        <v>1</v>
      </c>
      <c r="O793" s="8">
        <v>45649.738969907405</v>
      </c>
      <c r="P793" s="9">
        <v>45655</v>
      </c>
      <c r="Q793" t="s">
        <v>74</v>
      </c>
      <c r="R793" t="s">
        <v>48</v>
      </c>
      <c r="S793" t="s">
        <v>49</v>
      </c>
      <c r="T793" t="s">
        <v>69</v>
      </c>
      <c r="U793" t="s">
        <v>2488</v>
      </c>
      <c r="V793">
        <v>81200</v>
      </c>
      <c r="W793" t="s">
        <v>48</v>
      </c>
      <c r="X793" t="s">
        <v>771</v>
      </c>
      <c r="Y793" t="s">
        <v>54</v>
      </c>
      <c r="Z793" s="12">
        <f>IF(N793&lt;=1,9,9+0.8*ROUNDUP(N793-1,0))</f>
        <v>9</v>
      </c>
      <c r="AA793" s="11">
        <v>-2</v>
      </c>
      <c r="AB793" s="11">
        <v>0</v>
      </c>
      <c r="AC793" s="11">
        <v>0</v>
      </c>
      <c r="AD793" s="11">
        <v>0</v>
      </c>
      <c r="AE793" s="11">
        <v>0</v>
      </c>
      <c r="AF793" s="11">
        <f t="shared" si="36"/>
        <v>0.42</v>
      </c>
      <c r="AG793" s="11">
        <f t="shared" si="37"/>
        <v>7.42</v>
      </c>
      <c r="AH793" s="11">
        <v>0</v>
      </c>
      <c r="AI793" s="11">
        <f t="shared" si="38"/>
        <v>7.42</v>
      </c>
      <c r="AJ793" t="s">
        <v>62</v>
      </c>
    </row>
    <row r="794" spans="1:36" ht="15" customHeight="1" x14ac:dyDescent="0.35">
      <c r="A794">
        <v>10428918</v>
      </c>
      <c r="B794" t="s">
        <v>36</v>
      </c>
      <c r="C794" t="s">
        <v>37</v>
      </c>
      <c r="D794" s="6" t="s">
        <v>38</v>
      </c>
      <c r="E794" t="s">
        <v>2489</v>
      </c>
      <c r="F794" t="s">
        <v>40</v>
      </c>
      <c r="G794" t="s">
        <v>41</v>
      </c>
      <c r="H794" t="s">
        <v>2490</v>
      </c>
      <c r="I794" t="s">
        <v>43</v>
      </c>
      <c r="J794">
        <v>2</v>
      </c>
      <c r="K794" t="s">
        <v>44</v>
      </c>
      <c r="L794" t="s">
        <v>45</v>
      </c>
      <c r="M794" t="s">
        <v>46</v>
      </c>
      <c r="N794" s="7">
        <v>2</v>
      </c>
      <c r="O794" s="8">
        <v>45654.423773148148</v>
      </c>
      <c r="P794" s="9">
        <v>45655</v>
      </c>
      <c r="Q794" t="s">
        <v>74</v>
      </c>
      <c r="R794" t="s">
        <v>48</v>
      </c>
      <c r="S794" t="s">
        <v>49</v>
      </c>
      <c r="T794" t="s">
        <v>170</v>
      </c>
      <c r="U794" t="s">
        <v>2491</v>
      </c>
      <c r="V794">
        <v>53300</v>
      </c>
      <c r="W794" t="s">
        <v>48</v>
      </c>
      <c r="X794" t="s">
        <v>564</v>
      </c>
      <c r="Y794" t="s">
        <v>54</v>
      </c>
      <c r="Z794" s="12">
        <f>IF(N794&lt;=1,9,9+0.8*ROUNDUP(N794-1,0))</f>
        <v>9.8000000000000007</v>
      </c>
      <c r="AA794" s="11">
        <v>-2</v>
      </c>
      <c r="AB794" s="11">
        <v>0</v>
      </c>
      <c r="AC794" s="11">
        <v>0</v>
      </c>
      <c r="AD794" s="11">
        <v>0</v>
      </c>
      <c r="AE794" s="11">
        <v>0</v>
      </c>
      <c r="AF794" s="11">
        <f t="shared" si="36"/>
        <v>0.46800000000000003</v>
      </c>
      <c r="AG794" s="11">
        <f t="shared" si="37"/>
        <v>8.2680000000000007</v>
      </c>
      <c r="AH794" s="11">
        <v>0</v>
      </c>
      <c r="AI794" s="11">
        <f t="shared" si="38"/>
        <v>8.2680000000000007</v>
      </c>
      <c r="AJ794" t="s">
        <v>62</v>
      </c>
    </row>
    <row r="795" spans="1:36" ht="15" customHeight="1" x14ac:dyDescent="0.35">
      <c r="A795">
        <v>10428918</v>
      </c>
      <c r="B795" t="s">
        <v>36</v>
      </c>
      <c r="C795" t="s">
        <v>37</v>
      </c>
      <c r="D795" s="6" t="s">
        <v>38</v>
      </c>
      <c r="E795" t="s">
        <v>2492</v>
      </c>
      <c r="F795" t="s">
        <v>40</v>
      </c>
      <c r="G795" t="s">
        <v>41</v>
      </c>
      <c r="H795" t="s">
        <v>2493</v>
      </c>
      <c r="I795" t="s">
        <v>43</v>
      </c>
      <c r="J795">
        <v>2</v>
      </c>
      <c r="K795" t="s">
        <v>44</v>
      </c>
      <c r="L795" t="s">
        <v>45</v>
      </c>
      <c r="M795" t="s">
        <v>46</v>
      </c>
      <c r="N795" s="7">
        <v>1</v>
      </c>
      <c r="O795" s="8">
        <v>45652.905081018522</v>
      </c>
      <c r="P795" s="9">
        <v>45655</v>
      </c>
      <c r="Q795" t="s">
        <v>58</v>
      </c>
      <c r="R795" t="s">
        <v>48</v>
      </c>
      <c r="S795" t="s">
        <v>49</v>
      </c>
      <c r="T795" t="s">
        <v>117</v>
      </c>
      <c r="U795" t="s">
        <v>2494</v>
      </c>
      <c r="V795">
        <v>63000</v>
      </c>
      <c r="W795" t="s">
        <v>48</v>
      </c>
      <c r="X795" t="s">
        <v>53</v>
      </c>
      <c r="Y795" t="s">
        <v>54</v>
      </c>
      <c r="Z795" s="12">
        <f>IF(N795&lt;=1,9,9+0.8*ROUNDUP(N795-1,0))</f>
        <v>9</v>
      </c>
      <c r="AA795" s="11">
        <v>-2</v>
      </c>
      <c r="AB795" s="11">
        <v>0</v>
      </c>
      <c r="AC795" s="11">
        <v>0</v>
      </c>
      <c r="AD795" s="11">
        <v>0</v>
      </c>
      <c r="AE795" s="11">
        <v>0</v>
      </c>
      <c r="AF795" s="11">
        <f t="shared" si="36"/>
        <v>0.42</v>
      </c>
      <c r="AG795" s="11">
        <f t="shared" si="37"/>
        <v>7.42</v>
      </c>
      <c r="AH795" s="11">
        <v>0</v>
      </c>
      <c r="AI795" s="11">
        <f t="shared" si="38"/>
        <v>7.42</v>
      </c>
      <c r="AJ795" t="s">
        <v>62</v>
      </c>
    </row>
    <row r="796" spans="1:36" ht="15" customHeight="1" x14ac:dyDescent="0.35">
      <c r="A796">
        <v>10428918</v>
      </c>
      <c r="B796" t="s">
        <v>36</v>
      </c>
      <c r="C796" t="s">
        <v>37</v>
      </c>
      <c r="D796" s="6" t="s">
        <v>38</v>
      </c>
      <c r="E796" t="s">
        <v>2495</v>
      </c>
      <c r="F796" t="s">
        <v>40</v>
      </c>
      <c r="G796" t="s">
        <v>41</v>
      </c>
      <c r="H796" t="s">
        <v>2496</v>
      </c>
      <c r="I796" t="s">
        <v>43</v>
      </c>
      <c r="J796">
        <v>2</v>
      </c>
      <c r="K796" t="s">
        <v>44</v>
      </c>
      <c r="L796" t="s">
        <v>45</v>
      </c>
      <c r="M796" t="s">
        <v>46</v>
      </c>
      <c r="N796" s="7">
        <v>1</v>
      </c>
      <c r="O796" s="8">
        <v>45652.882372685184</v>
      </c>
      <c r="P796" s="9">
        <v>45655</v>
      </c>
      <c r="Q796" t="s">
        <v>58</v>
      </c>
      <c r="R796" t="s">
        <v>48</v>
      </c>
      <c r="S796" t="s">
        <v>49</v>
      </c>
      <c r="T796" t="s">
        <v>101</v>
      </c>
      <c r="U796" t="s">
        <v>2497</v>
      </c>
      <c r="V796">
        <v>36800</v>
      </c>
      <c r="W796" t="s">
        <v>48</v>
      </c>
      <c r="X796" t="s">
        <v>2498</v>
      </c>
      <c r="Y796" t="s">
        <v>54</v>
      </c>
      <c r="Z796" s="12">
        <f>IF(N796&lt;=1,9,9+0.8*ROUNDUP(N796-1,0))</f>
        <v>9</v>
      </c>
      <c r="AA796" s="11">
        <v>-2</v>
      </c>
      <c r="AB796" s="11">
        <v>0</v>
      </c>
      <c r="AC796" s="11">
        <v>0</v>
      </c>
      <c r="AD796" s="11">
        <v>0</v>
      </c>
      <c r="AE796" s="11">
        <v>0</v>
      </c>
      <c r="AF796" s="11">
        <f t="shared" si="36"/>
        <v>0.42</v>
      </c>
      <c r="AG796" s="11">
        <f t="shared" si="37"/>
        <v>7.42</v>
      </c>
      <c r="AH796" s="11">
        <v>0</v>
      </c>
      <c r="AI796" s="11">
        <f t="shared" si="38"/>
        <v>7.42</v>
      </c>
      <c r="AJ796" t="s">
        <v>62</v>
      </c>
    </row>
    <row r="797" spans="1:36" ht="15" customHeight="1" x14ac:dyDescent="0.35">
      <c r="A797">
        <v>10428918</v>
      </c>
      <c r="B797" t="s">
        <v>36</v>
      </c>
      <c r="C797" t="s">
        <v>37</v>
      </c>
      <c r="D797" s="6" t="s">
        <v>38</v>
      </c>
      <c r="E797" t="s">
        <v>2499</v>
      </c>
      <c r="F797" t="s">
        <v>40</v>
      </c>
      <c r="G797" t="s">
        <v>41</v>
      </c>
      <c r="H797" t="s">
        <v>2500</v>
      </c>
      <c r="I797" t="s">
        <v>43</v>
      </c>
      <c r="J797">
        <v>2</v>
      </c>
      <c r="K797" t="s">
        <v>44</v>
      </c>
      <c r="L797" t="s">
        <v>45</v>
      </c>
      <c r="M797" t="s">
        <v>46</v>
      </c>
      <c r="N797" s="7">
        <v>1</v>
      </c>
      <c r="O797" s="8">
        <v>45652.905081018522</v>
      </c>
      <c r="P797" s="9">
        <v>45655</v>
      </c>
      <c r="Q797" t="s">
        <v>58</v>
      </c>
      <c r="R797" t="s">
        <v>48</v>
      </c>
      <c r="S797" t="s">
        <v>49</v>
      </c>
      <c r="T797" t="s">
        <v>69</v>
      </c>
      <c r="U797" t="s">
        <v>2501</v>
      </c>
      <c r="V797">
        <v>81810</v>
      </c>
      <c r="W797" t="s">
        <v>48</v>
      </c>
      <c r="X797" t="s">
        <v>183</v>
      </c>
      <c r="Y797" t="s">
        <v>54</v>
      </c>
      <c r="Z797" s="12">
        <f>IF(N797&lt;=1,9,9+0.8*ROUNDUP(N797-1,0))</f>
        <v>9</v>
      </c>
      <c r="AA797" s="11">
        <v>-2</v>
      </c>
      <c r="AB797" s="11">
        <v>0</v>
      </c>
      <c r="AC797" s="11">
        <v>0</v>
      </c>
      <c r="AD797" s="11">
        <v>0</v>
      </c>
      <c r="AE797" s="11">
        <v>0</v>
      </c>
      <c r="AF797" s="11">
        <f t="shared" si="36"/>
        <v>0.42</v>
      </c>
      <c r="AG797" s="11">
        <f t="shared" si="37"/>
        <v>7.42</v>
      </c>
      <c r="AH797" s="11">
        <v>0</v>
      </c>
      <c r="AI797" s="11">
        <f t="shared" si="38"/>
        <v>7.42</v>
      </c>
      <c r="AJ797" t="s">
        <v>62</v>
      </c>
    </row>
    <row r="798" spans="1:36" ht="15" customHeight="1" x14ac:dyDescent="0.35">
      <c r="A798">
        <v>10428918</v>
      </c>
      <c r="B798" t="s">
        <v>36</v>
      </c>
      <c r="C798" t="s">
        <v>37</v>
      </c>
      <c r="D798" s="6" t="s">
        <v>38</v>
      </c>
      <c r="E798" t="s">
        <v>2502</v>
      </c>
      <c r="F798" t="s">
        <v>40</v>
      </c>
      <c r="G798" t="s">
        <v>41</v>
      </c>
      <c r="H798" t="s">
        <v>2503</v>
      </c>
      <c r="I798" t="s">
        <v>43</v>
      </c>
      <c r="J798">
        <v>2</v>
      </c>
      <c r="K798" t="s">
        <v>44</v>
      </c>
      <c r="L798" t="s">
        <v>45</v>
      </c>
      <c r="M798" t="s">
        <v>46</v>
      </c>
      <c r="N798" s="7">
        <v>12</v>
      </c>
      <c r="O798" s="8">
        <v>45654.455682870372</v>
      </c>
      <c r="P798" s="9">
        <v>45655</v>
      </c>
      <c r="Q798" t="s">
        <v>74</v>
      </c>
      <c r="R798" t="s">
        <v>48</v>
      </c>
      <c r="S798" t="s">
        <v>49</v>
      </c>
      <c r="T798" t="s">
        <v>75</v>
      </c>
      <c r="U798" t="s">
        <v>2504</v>
      </c>
      <c r="V798">
        <v>27050</v>
      </c>
      <c r="W798" t="s">
        <v>48</v>
      </c>
      <c r="X798" t="s">
        <v>2505</v>
      </c>
      <c r="Y798" t="s">
        <v>54</v>
      </c>
      <c r="Z798" s="12">
        <f>IF(N798&lt;=1,9,9+0.8*ROUNDUP(N798-1,0))</f>
        <v>17.8</v>
      </c>
      <c r="AA798" s="11">
        <v>-2</v>
      </c>
      <c r="AB798" s="11">
        <v>0</v>
      </c>
      <c r="AC798" s="11">
        <v>0</v>
      </c>
      <c r="AD798" s="11">
        <v>0</v>
      </c>
      <c r="AE798" s="11">
        <v>0</v>
      </c>
      <c r="AF798" s="11">
        <f t="shared" si="36"/>
        <v>0.94799999999999995</v>
      </c>
      <c r="AG798" s="11">
        <f t="shared" si="37"/>
        <v>16.748000000000001</v>
      </c>
      <c r="AH798" s="11">
        <v>0</v>
      </c>
      <c r="AI798" s="11">
        <f t="shared" si="38"/>
        <v>16.748000000000001</v>
      </c>
      <c r="AJ798" t="s">
        <v>62</v>
      </c>
    </row>
    <row r="799" spans="1:36" ht="15" customHeight="1" x14ac:dyDescent="0.35">
      <c r="A799">
        <v>10428918</v>
      </c>
      <c r="B799" t="s">
        <v>36</v>
      </c>
      <c r="C799" t="s">
        <v>37</v>
      </c>
      <c r="D799" s="6" t="s">
        <v>38</v>
      </c>
      <c r="E799" t="s">
        <v>2506</v>
      </c>
      <c r="F799" t="s">
        <v>40</v>
      </c>
      <c r="G799" t="s">
        <v>41</v>
      </c>
      <c r="H799" t="s">
        <v>2507</v>
      </c>
      <c r="I799" t="s">
        <v>43</v>
      </c>
      <c r="J799">
        <v>2</v>
      </c>
      <c r="K799" t="s">
        <v>44</v>
      </c>
      <c r="L799" t="s">
        <v>45</v>
      </c>
      <c r="M799" t="s">
        <v>46</v>
      </c>
      <c r="N799" s="7">
        <v>1</v>
      </c>
      <c r="O799" s="8">
        <v>45654.465231481481</v>
      </c>
      <c r="P799" s="9">
        <v>45655</v>
      </c>
      <c r="Q799" t="s">
        <v>74</v>
      </c>
      <c r="R799" t="s">
        <v>48</v>
      </c>
      <c r="S799" t="s">
        <v>49</v>
      </c>
      <c r="T799" t="s">
        <v>117</v>
      </c>
      <c r="U799" t="s">
        <v>2508</v>
      </c>
      <c r="V799">
        <v>43600</v>
      </c>
      <c r="W799" t="s">
        <v>48</v>
      </c>
      <c r="X799" t="s">
        <v>53</v>
      </c>
      <c r="Y799" t="s">
        <v>54</v>
      </c>
      <c r="Z799" s="12">
        <f>IF(N799&lt;=1,9,9+0.8*ROUNDUP(N799-1,0))</f>
        <v>9</v>
      </c>
      <c r="AA799" s="11">
        <v>-2</v>
      </c>
      <c r="AB799" s="11">
        <v>0</v>
      </c>
      <c r="AC799" s="11">
        <v>0</v>
      </c>
      <c r="AD799" s="11">
        <v>0</v>
      </c>
      <c r="AE799" s="11">
        <v>0</v>
      </c>
      <c r="AF799" s="11">
        <f t="shared" si="36"/>
        <v>0.42</v>
      </c>
      <c r="AG799" s="11">
        <f t="shared" si="37"/>
        <v>7.42</v>
      </c>
      <c r="AH799" s="11">
        <v>0</v>
      </c>
      <c r="AI799" s="11">
        <f t="shared" si="38"/>
        <v>7.42</v>
      </c>
      <c r="AJ799" t="s">
        <v>62</v>
      </c>
    </row>
    <row r="800" spans="1:36" ht="15" customHeight="1" x14ac:dyDescent="0.35">
      <c r="A800">
        <v>10428918</v>
      </c>
      <c r="B800" t="s">
        <v>36</v>
      </c>
      <c r="C800" t="s">
        <v>37</v>
      </c>
      <c r="D800" s="6" t="s">
        <v>38</v>
      </c>
      <c r="E800" t="s">
        <v>2509</v>
      </c>
      <c r="F800" t="s">
        <v>40</v>
      </c>
      <c r="G800" t="s">
        <v>41</v>
      </c>
      <c r="H800" t="s">
        <v>2510</v>
      </c>
      <c r="I800" t="s">
        <v>43</v>
      </c>
      <c r="J800">
        <v>2</v>
      </c>
      <c r="K800" t="s">
        <v>44</v>
      </c>
      <c r="L800" t="s">
        <v>45</v>
      </c>
      <c r="M800" t="s">
        <v>46</v>
      </c>
      <c r="N800" s="7">
        <v>1</v>
      </c>
      <c r="O800" s="8">
        <v>45654.452175925922</v>
      </c>
      <c r="P800" s="9">
        <v>45655</v>
      </c>
      <c r="Q800" t="s">
        <v>74</v>
      </c>
      <c r="R800" t="s">
        <v>48</v>
      </c>
      <c r="S800" t="s">
        <v>49</v>
      </c>
      <c r="T800" t="s">
        <v>59</v>
      </c>
      <c r="U800" t="s">
        <v>2511</v>
      </c>
      <c r="V800">
        <v>17000</v>
      </c>
      <c r="W800" t="s">
        <v>48</v>
      </c>
      <c r="X800" t="s">
        <v>61</v>
      </c>
      <c r="Y800" t="s">
        <v>54</v>
      </c>
      <c r="Z800" s="12">
        <f>IF(N800&lt;=1,9,9+0.8*ROUNDUP(N800-1,0))</f>
        <v>9</v>
      </c>
      <c r="AA800" s="11">
        <v>-2</v>
      </c>
      <c r="AB800" s="11">
        <v>0</v>
      </c>
      <c r="AC800" s="11">
        <v>0</v>
      </c>
      <c r="AD800" s="11">
        <v>0</v>
      </c>
      <c r="AE800" s="11">
        <v>0</v>
      </c>
      <c r="AF800" s="11">
        <f t="shared" si="36"/>
        <v>0.42</v>
      </c>
      <c r="AG800" s="11">
        <f t="shared" si="37"/>
        <v>7.42</v>
      </c>
      <c r="AH800" s="11">
        <v>0</v>
      </c>
      <c r="AI800" s="11">
        <f t="shared" si="38"/>
        <v>7.42</v>
      </c>
      <c r="AJ800" t="s">
        <v>62</v>
      </c>
    </row>
    <row r="801" spans="1:36" ht="15" customHeight="1" x14ac:dyDescent="0.35">
      <c r="A801">
        <v>10428918</v>
      </c>
      <c r="B801" t="s">
        <v>36</v>
      </c>
      <c r="C801" t="s">
        <v>37</v>
      </c>
      <c r="D801" s="6" t="s">
        <v>38</v>
      </c>
      <c r="E801" t="s">
        <v>2512</v>
      </c>
      <c r="F801" t="s">
        <v>40</v>
      </c>
      <c r="G801" t="s">
        <v>41</v>
      </c>
      <c r="H801" t="s">
        <v>2513</v>
      </c>
      <c r="I801" t="s">
        <v>43</v>
      </c>
      <c r="J801">
        <v>2</v>
      </c>
      <c r="K801" t="s">
        <v>44</v>
      </c>
      <c r="L801" t="s">
        <v>45</v>
      </c>
      <c r="M801" t="s">
        <v>46</v>
      </c>
      <c r="N801" s="7">
        <v>1</v>
      </c>
      <c r="O801" s="8">
        <v>45652.905092592591</v>
      </c>
      <c r="P801" s="9">
        <v>45655</v>
      </c>
      <c r="Q801" t="s">
        <v>58</v>
      </c>
      <c r="R801" t="s">
        <v>48</v>
      </c>
      <c r="S801" t="s">
        <v>49</v>
      </c>
      <c r="T801" t="s">
        <v>117</v>
      </c>
      <c r="U801" t="s">
        <v>2514</v>
      </c>
      <c r="V801">
        <v>43900</v>
      </c>
      <c r="W801" t="s">
        <v>48</v>
      </c>
      <c r="X801" t="s">
        <v>532</v>
      </c>
      <c r="Y801" t="s">
        <v>54</v>
      </c>
      <c r="Z801" s="12">
        <f>IF(N801&lt;=1,9,9+0.8*ROUNDUP(N801-1,0))</f>
        <v>9</v>
      </c>
      <c r="AA801" s="11">
        <v>-2</v>
      </c>
      <c r="AB801" s="11">
        <v>0</v>
      </c>
      <c r="AC801" s="11">
        <v>0</v>
      </c>
      <c r="AD801" s="11">
        <v>0</v>
      </c>
      <c r="AE801" s="11">
        <v>0</v>
      </c>
      <c r="AF801" s="11">
        <f t="shared" si="36"/>
        <v>0.42</v>
      </c>
      <c r="AG801" s="11">
        <f t="shared" si="37"/>
        <v>7.42</v>
      </c>
      <c r="AH801" s="11">
        <v>0</v>
      </c>
      <c r="AI801" s="11">
        <f t="shared" si="38"/>
        <v>7.42</v>
      </c>
      <c r="AJ801" t="s">
        <v>62</v>
      </c>
    </row>
    <row r="802" spans="1:36" ht="15" customHeight="1" x14ac:dyDescent="0.35">
      <c r="A802">
        <v>10428918</v>
      </c>
      <c r="B802" t="s">
        <v>36</v>
      </c>
      <c r="C802" t="s">
        <v>37</v>
      </c>
      <c r="D802" s="6" t="s">
        <v>38</v>
      </c>
      <c r="E802" t="s">
        <v>2515</v>
      </c>
      <c r="F802" t="s">
        <v>40</v>
      </c>
      <c r="G802" t="s">
        <v>41</v>
      </c>
      <c r="H802" t="s">
        <v>2516</v>
      </c>
      <c r="I802" t="s">
        <v>43</v>
      </c>
      <c r="J802">
        <v>2</v>
      </c>
      <c r="K802" t="s">
        <v>44</v>
      </c>
      <c r="L802" t="s">
        <v>45</v>
      </c>
      <c r="M802" t="s">
        <v>46</v>
      </c>
      <c r="N802" s="7">
        <v>1</v>
      </c>
      <c r="O802" s="8">
        <v>45622.64912037037</v>
      </c>
      <c r="P802" s="9">
        <v>45627</v>
      </c>
      <c r="Q802" t="s">
        <v>74</v>
      </c>
      <c r="R802" t="s">
        <v>48</v>
      </c>
      <c r="S802" t="s">
        <v>49</v>
      </c>
      <c r="T802" t="s">
        <v>59</v>
      </c>
      <c r="U802" t="s">
        <v>2517</v>
      </c>
      <c r="V802">
        <v>15350</v>
      </c>
      <c r="W802" t="s">
        <v>48</v>
      </c>
      <c r="X802" t="s">
        <v>61</v>
      </c>
      <c r="Y802" t="s">
        <v>54</v>
      </c>
      <c r="Z802" s="12">
        <f>IF(N802&lt;=1,9,9+0.8*ROUNDUP(N802-1,0))</f>
        <v>9</v>
      </c>
      <c r="AA802" s="11">
        <v>-2</v>
      </c>
      <c r="AB802" s="11">
        <v>0</v>
      </c>
      <c r="AC802" s="11">
        <v>0</v>
      </c>
      <c r="AD802" s="11">
        <v>0</v>
      </c>
      <c r="AE802" s="11">
        <v>0</v>
      </c>
      <c r="AF802" s="11">
        <f t="shared" si="36"/>
        <v>0.42</v>
      </c>
      <c r="AG802" s="11">
        <f t="shared" si="37"/>
        <v>7.42</v>
      </c>
      <c r="AH802" s="11">
        <v>0</v>
      </c>
      <c r="AI802" s="11">
        <f t="shared" si="38"/>
        <v>7.42</v>
      </c>
      <c r="AJ802" t="s">
        <v>62</v>
      </c>
    </row>
    <row r="803" spans="1:36" ht="15" customHeight="1" x14ac:dyDescent="0.35">
      <c r="A803">
        <v>10428918</v>
      </c>
      <c r="B803" t="s">
        <v>36</v>
      </c>
      <c r="C803" t="s">
        <v>37</v>
      </c>
      <c r="D803" s="6" t="s">
        <v>38</v>
      </c>
      <c r="E803" t="s">
        <v>2518</v>
      </c>
      <c r="F803" t="s">
        <v>40</v>
      </c>
      <c r="G803" t="s">
        <v>41</v>
      </c>
      <c r="H803" t="s">
        <v>2519</v>
      </c>
      <c r="I803" t="s">
        <v>43</v>
      </c>
      <c r="J803">
        <v>2</v>
      </c>
      <c r="K803" t="s">
        <v>44</v>
      </c>
      <c r="L803" t="s">
        <v>45</v>
      </c>
      <c r="M803" t="s">
        <v>46</v>
      </c>
      <c r="N803" s="7">
        <v>1</v>
      </c>
      <c r="O803" s="8">
        <v>45622.645879629628</v>
      </c>
      <c r="P803" s="9">
        <v>45627</v>
      </c>
      <c r="Q803" t="s">
        <v>74</v>
      </c>
      <c r="R803" t="s">
        <v>48</v>
      </c>
      <c r="S803" t="s">
        <v>49</v>
      </c>
      <c r="T803" t="s">
        <v>59</v>
      </c>
      <c r="U803" t="s">
        <v>2520</v>
      </c>
      <c r="V803">
        <v>17500</v>
      </c>
      <c r="W803" t="s">
        <v>48</v>
      </c>
      <c r="X803" t="s">
        <v>61</v>
      </c>
      <c r="Y803" t="s">
        <v>54</v>
      </c>
      <c r="Z803" s="12">
        <f>IF(N803&lt;=1,9,9+0.8*ROUNDUP(N803-1,0))</f>
        <v>9</v>
      </c>
      <c r="AA803" s="11">
        <v>-2</v>
      </c>
      <c r="AB803" s="11">
        <v>0</v>
      </c>
      <c r="AC803" s="11">
        <v>0</v>
      </c>
      <c r="AD803" s="11">
        <v>0</v>
      </c>
      <c r="AE803" s="11">
        <v>0</v>
      </c>
      <c r="AF803" s="11">
        <f t="shared" si="36"/>
        <v>0.42</v>
      </c>
      <c r="AG803" s="11">
        <f t="shared" si="37"/>
        <v>7.42</v>
      </c>
      <c r="AH803" s="11">
        <v>0</v>
      </c>
      <c r="AI803" s="11">
        <f t="shared" si="38"/>
        <v>7.42</v>
      </c>
      <c r="AJ803" t="s">
        <v>62</v>
      </c>
    </row>
    <row r="804" spans="1:36" ht="15" customHeight="1" x14ac:dyDescent="0.35">
      <c r="A804">
        <v>10428918</v>
      </c>
      <c r="B804" t="s">
        <v>36</v>
      </c>
      <c r="C804" t="s">
        <v>37</v>
      </c>
      <c r="D804" s="6" t="s">
        <v>38</v>
      </c>
      <c r="E804" t="s">
        <v>2521</v>
      </c>
      <c r="F804" t="s">
        <v>40</v>
      </c>
      <c r="G804" t="s">
        <v>41</v>
      </c>
      <c r="H804" t="s">
        <v>370</v>
      </c>
      <c r="I804" t="s">
        <v>43</v>
      </c>
      <c r="J804">
        <v>2</v>
      </c>
      <c r="K804" t="s">
        <v>44</v>
      </c>
      <c r="L804" t="s">
        <v>45</v>
      </c>
      <c r="M804" t="s">
        <v>46</v>
      </c>
      <c r="N804" s="7">
        <v>1</v>
      </c>
      <c r="O804" s="8">
        <v>45623.768773148149</v>
      </c>
      <c r="P804" s="9">
        <v>45628</v>
      </c>
      <c r="Q804" t="s">
        <v>74</v>
      </c>
      <c r="R804" t="s">
        <v>48</v>
      </c>
      <c r="S804" t="s">
        <v>49</v>
      </c>
      <c r="T804" t="s">
        <v>85</v>
      </c>
      <c r="U804" t="s">
        <v>2522</v>
      </c>
      <c r="V804">
        <v>72000</v>
      </c>
      <c r="W804" t="s">
        <v>48</v>
      </c>
      <c r="X804" t="s">
        <v>243</v>
      </c>
      <c r="Y804" t="s">
        <v>54</v>
      </c>
      <c r="Z804" s="12">
        <f>IF(N804&lt;=1,9,9+0.8*ROUNDUP(N804-1,0))</f>
        <v>9</v>
      </c>
      <c r="AA804" s="11">
        <v>-2</v>
      </c>
      <c r="AB804" s="11">
        <v>0</v>
      </c>
      <c r="AC804" s="11">
        <v>0</v>
      </c>
      <c r="AD804" s="11">
        <v>0</v>
      </c>
      <c r="AE804" s="11">
        <v>0</v>
      </c>
      <c r="AF804" s="11">
        <f t="shared" si="36"/>
        <v>0.42</v>
      </c>
      <c r="AG804" s="11">
        <f t="shared" si="37"/>
        <v>7.42</v>
      </c>
      <c r="AH804" s="11">
        <v>0</v>
      </c>
      <c r="AI804" s="11">
        <f t="shared" si="38"/>
        <v>7.42</v>
      </c>
      <c r="AJ804" t="s">
        <v>62</v>
      </c>
    </row>
    <row r="805" spans="1:36" ht="15" customHeight="1" x14ac:dyDescent="0.35">
      <c r="A805">
        <v>10428918</v>
      </c>
      <c r="B805" t="s">
        <v>36</v>
      </c>
      <c r="C805" t="s">
        <v>37</v>
      </c>
      <c r="D805" s="6" t="s">
        <v>38</v>
      </c>
      <c r="E805" t="s">
        <v>2523</v>
      </c>
      <c r="F805" t="s">
        <v>40</v>
      </c>
      <c r="G805" t="s">
        <v>41</v>
      </c>
      <c r="H805" t="s">
        <v>2524</v>
      </c>
      <c r="I805" t="s">
        <v>43</v>
      </c>
      <c r="J805">
        <v>2</v>
      </c>
      <c r="K805" t="s">
        <v>44</v>
      </c>
      <c r="L805" t="s">
        <v>45</v>
      </c>
      <c r="M805" t="s">
        <v>46</v>
      </c>
      <c r="N805" s="7">
        <v>1</v>
      </c>
      <c r="O805" s="8">
        <v>45623.666203703702</v>
      </c>
      <c r="P805" s="9">
        <v>45628</v>
      </c>
      <c r="Q805" t="s">
        <v>74</v>
      </c>
      <c r="R805" t="s">
        <v>48</v>
      </c>
      <c r="S805" t="s">
        <v>49</v>
      </c>
      <c r="T805" t="s">
        <v>170</v>
      </c>
      <c r="U805" t="s">
        <v>2525</v>
      </c>
      <c r="V805">
        <v>46050</v>
      </c>
      <c r="W805" t="s">
        <v>48</v>
      </c>
      <c r="X805" t="s">
        <v>1395</v>
      </c>
      <c r="Y805" t="s">
        <v>54</v>
      </c>
      <c r="Z805" s="12">
        <f>IF(N805&lt;=1,9,9+0.8*ROUNDUP(N805-1,0))</f>
        <v>9</v>
      </c>
      <c r="AA805" s="11">
        <v>-2</v>
      </c>
      <c r="AB805" s="11">
        <v>0</v>
      </c>
      <c r="AC805" s="11">
        <v>0</v>
      </c>
      <c r="AD805" s="11">
        <v>0</v>
      </c>
      <c r="AE805" s="11">
        <v>0</v>
      </c>
      <c r="AF805" s="11">
        <f t="shared" si="36"/>
        <v>0.42</v>
      </c>
      <c r="AG805" s="11">
        <f t="shared" si="37"/>
        <v>7.42</v>
      </c>
      <c r="AH805" s="11">
        <v>0</v>
      </c>
      <c r="AI805" s="11">
        <f t="shared" si="38"/>
        <v>7.42</v>
      </c>
      <c r="AJ805" t="s">
        <v>62</v>
      </c>
    </row>
    <row r="806" spans="1:36" ht="15" customHeight="1" x14ac:dyDescent="0.35">
      <c r="A806">
        <v>10428918</v>
      </c>
      <c r="B806" t="s">
        <v>36</v>
      </c>
      <c r="C806" t="s">
        <v>37</v>
      </c>
      <c r="D806" s="6" t="s">
        <v>38</v>
      </c>
      <c r="E806" t="s">
        <v>2526</v>
      </c>
      <c r="F806" t="s">
        <v>40</v>
      </c>
      <c r="G806" t="s">
        <v>41</v>
      </c>
      <c r="H806" t="s">
        <v>2524</v>
      </c>
      <c r="I806" t="s">
        <v>43</v>
      </c>
      <c r="J806">
        <v>2</v>
      </c>
      <c r="K806" t="s">
        <v>44</v>
      </c>
      <c r="L806" t="s">
        <v>45</v>
      </c>
      <c r="M806" t="s">
        <v>46</v>
      </c>
      <c r="N806" s="7">
        <v>1</v>
      </c>
      <c r="O806" s="8">
        <v>45623.447175925925</v>
      </c>
      <c r="P806" s="9">
        <v>45628</v>
      </c>
      <c r="Q806" t="s">
        <v>74</v>
      </c>
      <c r="R806" t="s">
        <v>48</v>
      </c>
      <c r="S806" t="s">
        <v>49</v>
      </c>
      <c r="T806" t="s">
        <v>170</v>
      </c>
      <c r="U806" t="s">
        <v>2525</v>
      </c>
      <c r="V806">
        <v>46050</v>
      </c>
      <c r="W806" t="s">
        <v>48</v>
      </c>
      <c r="X806" t="s">
        <v>1395</v>
      </c>
      <c r="Y806" t="s">
        <v>54</v>
      </c>
      <c r="Z806" s="12">
        <f>IF(N806&lt;=1,9,9+0.8*ROUNDUP(N806-1,0))</f>
        <v>9</v>
      </c>
      <c r="AA806" s="11">
        <v>-2</v>
      </c>
      <c r="AB806" s="11">
        <v>0</v>
      </c>
      <c r="AC806" s="11">
        <v>0</v>
      </c>
      <c r="AD806" s="11">
        <v>0</v>
      </c>
      <c r="AE806" s="11">
        <v>0</v>
      </c>
      <c r="AF806" s="11">
        <f t="shared" si="36"/>
        <v>0.42</v>
      </c>
      <c r="AG806" s="11">
        <f t="shared" si="37"/>
        <v>7.42</v>
      </c>
      <c r="AH806" s="11">
        <v>0</v>
      </c>
      <c r="AI806" s="11">
        <f t="shared" si="38"/>
        <v>7.42</v>
      </c>
      <c r="AJ806" t="s">
        <v>62</v>
      </c>
    </row>
    <row r="807" spans="1:36" ht="15" customHeight="1" x14ac:dyDescent="0.35">
      <c r="A807">
        <v>10428918</v>
      </c>
      <c r="B807" t="s">
        <v>36</v>
      </c>
      <c r="C807" t="s">
        <v>37</v>
      </c>
      <c r="D807" s="6" t="s">
        <v>38</v>
      </c>
      <c r="E807" t="s">
        <v>2527</v>
      </c>
      <c r="F807" t="s">
        <v>40</v>
      </c>
      <c r="G807" t="s">
        <v>41</v>
      </c>
      <c r="H807" t="s">
        <v>2528</v>
      </c>
      <c r="I807" t="s">
        <v>43</v>
      </c>
      <c r="J807">
        <v>2</v>
      </c>
      <c r="K807" t="s">
        <v>44</v>
      </c>
      <c r="L807" t="s">
        <v>45</v>
      </c>
      <c r="M807" t="s">
        <v>46</v>
      </c>
      <c r="N807" s="7">
        <v>1</v>
      </c>
      <c r="O807" s="8">
        <v>45623.547847222224</v>
      </c>
      <c r="P807" s="9">
        <v>45628</v>
      </c>
      <c r="Q807" t="s">
        <v>74</v>
      </c>
      <c r="R807" t="s">
        <v>48</v>
      </c>
      <c r="S807" t="s">
        <v>49</v>
      </c>
      <c r="T807" t="s">
        <v>117</v>
      </c>
      <c r="U807" t="s">
        <v>2529</v>
      </c>
      <c r="V807">
        <v>43000</v>
      </c>
      <c r="W807" t="s">
        <v>48</v>
      </c>
      <c r="X807" t="s">
        <v>330</v>
      </c>
      <c r="Y807" t="s">
        <v>54</v>
      </c>
      <c r="Z807" s="12">
        <f>IF(N807&lt;=1,9,9+0.8*ROUNDUP(N807-1,0))</f>
        <v>9</v>
      </c>
      <c r="AA807" s="11">
        <v>-2</v>
      </c>
      <c r="AB807" s="11">
        <v>0</v>
      </c>
      <c r="AC807" s="11">
        <v>0</v>
      </c>
      <c r="AD807" s="11">
        <v>0</v>
      </c>
      <c r="AE807" s="11">
        <v>0</v>
      </c>
      <c r="AF807" s="11">
        <f t="shared" si="36"/>
        <v>0.42</v>
      </c>
      <c r="AG807" s="11">
        <f t="shared" si="37"/>
        <v>7.42</v>
      </c>
      <c r="AH807" s="11">
        <v>0</v>
      </c>
      <c r="AI807" s="11">
        <f t="shared" si="38"/>
        <v>7.42</v>
      </c>
      <c r="AJ807" t="s">
        <v>62</v>
      </c>
    </row>
    <row r="808" spans="1:36" ht="15" customHeight="1" x14ac:dyDescent="0.35">
      <c r="A808">
        <v>10428918</v>
      </c>
      <c r="B808" t="s">
        <v>36</v>
      </c>
      <c r="C808" t="s">
        <v>37</v>
      </c>
      <c r="D808" s="6" t="s">
        <v>38</v>
      </c>
      <c r="E808" t="s">
        <v>2530</v>
      </c>
      <c r="F808" t="s">
        <v>40</v>
      </c>
      <c r="G808" t="s">
        <v>41</v>
      </c>
      <c r="H808" t="s">
        <v>2531</v>
      </c>
      <c r="I808" t="s">
        <v>43</v>
      </c>
      <c r="J808">
        <v>2</v>
      </c>
      <c r="K808" t="s">
        <v>44</v>
      </c>
      <c r="L808" t="s">
        <v>45</v>
      </c>
      <c r="M808" t="s">
        <v>46</v>
      </c>
      <c r="N808" s="7">
        <v>1</v>
      </c>
      <c r="O808" s="8">
        <v>45626.698449074072</v>
      </c>
      <c r="P808" s="9">
        <v>45628</v>
      </c>
      <c r="Q808" t="s">
        <v>74</v>
      </c>
      <c r="R808" t="s">
        <v>48</v>
      </c>
      <c r="S808" t="s">
        <v>49</v>
      </c>
      <c r="T808" t="s">
        <v>117</v>
      </c>
      <c r="U808" t="s">
        <v>2532</v>
      </c>
      <c r="V808">
        <v>42200</v>
      </c>
      <c r="W808" t="s">
        <v>48</v>
      </c>
      <c r="X808" t="s">
        <v>623</v>
      </c>
      <c r="Y808" t="s">
        <v>54</v>
      </c>
      <c r="Z808" s="12">
        <f>IF(N808&lt;=1,9,9+0.8*ROUNDUP(N808-1,0))</f>
        <v>9</v>
      </c>
      <c r="AA808" s="11">
        <v>-2</v>
      </c>
      <c r="AB808" s="11">
        <v>0</v>
      </c>
      <c r="AC808" s="11">
        <v>0</v>
      </c>
      <c r="AD808" s="11">
        <v>0</v>
      </c>
      <c r="AE808" s="11">
        <v>0</v>
      </c>
      <c r="AF808" s="11">
        <f t="shared" si="36"/>
        <v>0.42</v>
      </c>
      <c r="AG808" s="11">
        <f t="shared" si="37"/>
        <v>7.42</v>
      </c>
      <c r="AH808" s="11">
        <v>0</v>
      </c>
      <c r="AI808" s="11">
        <f t="shared" si="38"/>
        <v>7.42</v>
      </c>
      <c r="AJ808" t="s">
        <v>62</v>
      </c>
    </row>
    <row r="809" spans="1:36" ht="15" customHeight="1" x14ac:dyDescent="0.35">
      <c r="A809">
        <v>10428918</v>
      </c>
      <c r="B809" t="s">
        <v>36</v>
      </c>
      <c r="C809" t="s">
        <v>37</v>
      </c>
      <c r="D809" s="6" t="s">
        <v>38</v>
      </c>
      <c r="E809" t="s">
        <v>2533</v>
      </c>
      <c r="F809" t="s">
        <v>40</v>
      </c>
      <c r="G809" t="s">
        <v>41</v>
      </c>
      <c r="H809" t="s">
        <v>2534</v>
      </c>
      <c r="I809" t="s">
        <v>43</v>
      </c>
      <c r="J809">
        <v>2</v>
      </c>
      <c r="K809" t="s">
        <v>44</v>
      </c>
      <c r="L809" t="s">
        <v>45</v>
      </c>
      <c r="M809" t="s">
        <v>46</v>
      </c>
      <c r="N809" s="7">
        <v>1</v>
      </c>
      <c r="O809" s="8">
        <v>45622.842685185184</v>
      </c>
      <c r="P809" s="9">
        <v>45628</v>
      </c>
      <c r="Q809" t="s">
        <v>74</v>
      </c>
      <c r="R809" t="s">
        <v>48</v>
      </c>
      <c r="S809" t="s">
        <v>49</v>
      </c>
      <c r="T809" t="s">
        <v>170</v>
      </c>
      <c r="U809" t="s">
        <v>2535</v>
      </c>
      <c r="V809">
        <v>51100</v>
      </c>
      <c r="W809" t="s">
        <v>48</v>
      </c>
      <c r="X809" t="s">
        <v>350</v>
      </c>
      <c r="Y809" t="s">
        <v>54</v>
      </c>
      <c r="Z809" s="12">
        <f>IF(N809&lt;=1,9,9+0.8*ROUNDUP(N809-1,0))</f>
        <v>9</v>
      </c>
      <c r="AA809" s="11">
        <v>-2</v>
      </c>
      <c r="AB809" s="11">
        <v>0</v>
      </c>
      <c r="AC809" s="11">
        <v>0</v>
      </c>
      <c r="AD809" s="11">
        <v>0</v>
      </c>
      <c r="AE809" s="11">
        <v>0</v>
      </c>
      <c r="AF809" s="11">
        <f t="shared" si="36"/>
        <v>0.42</v>
      </c>
      <c r="AG809" s="11">
        <f t="shared" si="37"/>
        <v>7.42</v>
      </c>
      <c r="AH809" s="11">
        <v>0</v>
      </c>
      <c r="AI809" s="11">
        <f t="shared" si="38"/>
        <v>7.42</v>
      </c>
      <c r="AJ809" t="s">
        <v>62</v>
      </c>
    </row>
    <row r="810" spans="1:36" ht="15" customHeight="1" x14ac:dyDescent="0.35">
      <c r="A810">
        <v>10428918</v>
      </c>
      <c r="B810" t="s">
        <v>36</v>
      </c>
      <c r="C810" t="s">
        <v>37</v>
      </c>
      <c r="D810" s="6" t="s">
        <v>38</v>
      </c>
      <c r="E810" t="s">
        <v>2536</v>
      </c>
      <c r="F810" t="s">
        <v>40</v>
      </c>
      <c r="G810" t="s">
        <v>41</v>
      </c>
      <c r="H810" t="s">
        <v>2537</v>
      </c>
      <c r="I810" t="s">
        <v>43</v>
      </c>
      <c r="J810">
        <v>2</v>
      </c>
      <c r="K810" t="s">
        <v>44</v>
      </c>
      <c r="L810" t="s">
        <v>45</v>
      </c>
      <c r="M810" t="s">
        <v>46</v>
      </c>
      <c r="N810" s="7">
        <v>1</v>
      </c>
      <c r="O810" s="8">
        <v>45622.83662037037</v>
      </c>
      <c r="P810" s="9">
        <v>45628</v>
      </c>
      <c r="Q810" t="s">
        <v>74</v>
      </c>
      <c r="R810" t="s">
        <v>48</v>
      </c>
      <c r="S810" t="s">
        <v>49</v>
      </c>
      <c r="T810" t="s">
        <v>170</v>
      </c>
      <c r="U810" t="s">
        <v>2538</v>
      </c>
      <c r="V810">
        <v>51200</v>
      </c>
      <c r="W810" t="s">
        <v>48</v>
      </c>
      <c r="X810" t="s">
        <v>1794</v>
      </c>
      <c r="Y810" t="s">
        <v>54</v>
      </c>
      <c r="Z810" s="12">
        <f>IF(N810&lt;=1,9,9+0.8*ROUNDUP(N810-1,0))</f>
        <v>9</v>
      </c>
      <c r="AA810" s="11">
        <v>-2</v>
      </c>
      <c r="AB810" s="11">
        <v>0</v>
      </c>
      <c r="AC810" s="11">
        <v>0</v>
      </c>
      <c r="AD810" s="11">
        <v>0</v>
      </c>
      <c r="AE810" s="11">
        <v>0</v>
      </c>
      <c r="AF810" s="11">
        <f t="shared" si="36"/>
        <v>0.42</v>
      </c>
      <c r="AG810" s="11">
        <f t="shared" si="37"/>
        <v>7.42</v>
      </c>
      <c r="AH810" s="11">
        <v>0</v>
      </c>
      <c r="AI810" s="11">
        <f t="shared" si="38"/>
        <v>7.42</v>
      </c>
      <c r="AJ810" t="s">
        <v>62</v>
      </c>
    </row>
    <row r="811" spans="1:36" ht="15" customHeight="1" x14ac:dyDescent="0.35">
      <c r="A811">
        <v>10428918</v>
      </c>
      <c r="B811" t="s">
        <v>36</v>
      </c>
      <c r="C811" t="s">
        <v>37</v>
      </c>
      <c r="D811" s="6" t="s">
        <v>38</v>
      </c>
      <c r="E811" t="s">
        <v>2539</v>
      </c>
      <c r="F811" t="s">
        <v>40</v>
      </c>
      <c r="G811" t="s">
        <v>41</v>
      </c>
      <c r="H811" t="s">
        <v>2540</v>
      </c>
      <c r="I811" t="s">
        <v>43</v>
      </c>
      <c r="J811">
        <v>2</v>
      </c>
      <c r="K811" t="s">
        <v>44</v>
      </c>
      <c r="L811" t="s">
        <v>45</v>
      </c>
      <c r="M811" t="s">
        <v>46</v>
      </c>
      <c r="N811" s="7">
        <v>2</v>
      </c>
      <c r="O811" s="8">
        <v>45626.608275462961</v>
      </c>
      <c r="P811" s="9">
        <v>45628</v>
      </c>
      <c r="Q811" t="s">
        <v>74</v>
      </c>
      <c r="R811" t="s">
        <v>48</v>
      </c>
      <c r="S811" t="s">
        <v>49</v>
      </c>
      <c r="T811" t="s">
        <v>117</v>
      </c>
      <c r="U811" t="s">
        <v>2541</v>
      </c>
      <c r="V811">
        <v>42000</v>
      </c>
      <c r="W811" t="s">
        <v>48</v>
      </c>
      <c r="X811" t="s">
        <v>149</v>
      </c>
      <c r="Y811" t="s">
        <v>54</v>
      </c>
      <c r="Z811" s="12">
        <f>IF(N811&lt;=1,9,9+0.8*ROUNDUP(N811-1,0))</f>
        <v>9.8000000000000007</v>
      </c>
      <c r="AA811" s="11">
        <v>-2</v>
      </c>
      <c r="AB811" s="11">
        <v>0</v>
      </c>
      <c r="AC811" s="11">
        <v>0</v>
      </c>
      <c r="AD811" s="11">
        <v>0</v>
      </c>
      <c r="AE811" s="11">
        <v>0</v>
      </c>
      <c r="AF811" s="11">
        <f t="shared" si="36"/>
        <v>0.46800000000000003</v>
      </c>
      <c r="AG811" s="11">
        <f t="shared" si="37"/>
        <v>8.2680000000000007</v>
      </c>
      <c r="AH811" s="11">
        <v>0</v>
      </c>
      <c r="AI811" s="11">
        <f t="shared" si="38"/>
        <v>8.2680000000000007</v>
      </c>
      <c r="AJ811" t="s">
        <v>62</v>
      </c>
    </row>
    <row r="812" spans="1:36" ht="15" customHeight="1" x14ac:dyDescent="0.35">
      <c r="A812">
        <v>10428918</v>
      </c>
      <c r="B812" t="s">
        <v>36</v>
      </c>
      <c r="C812" t="s">
        <v>37</v>
      </c>
      <c r="D812" s="6" t="s">
        <v>38</v>
      </c>
      <c r="E812" t="s">
        <v>2542</v>
      </c>
      <c r="F812" t="s">
        <v>40</v>
      </c>
      <c r="G812" t="s">
        <v>41</v>
      </c>
      <c r="H812" t="s">
        <v>2543</v>
      </c>
      <c r="I812" t="s">
        <v>43</v>
      </c>
      <c r="J812">
        <v>2</v>
      </c>
      <c r="K812" t="s">
        <v>44</v>
      </c>
      <c r="L812" t="s">
        <v>45</v>
      </c>
      <c r="M812" t="s">
        <v>46</v>
      </c>
      <c r="N812" s="7">
        <v>1</v>
      </c>
      <c r="O812" s="8">
        <v>45622.824189814812</v>
      </c>
      <c r="P812" s="9">
        <v>45628</v>
      </c>
      <c r="Q812" t="s">
        <v>74</v>
      </c>
      <c r="R812" t="s">
        <v>48</v>
      </c>
      <c r="S812" t="s">
        <v>49</v>
      </c>
      <c r="T812" t="s">
        <v>101</v>
      </c>
      <c r="U812" t="s">
        <v>2544</v>
      </c>
      <c r="V812">
        <v>31300</v>
      </c>
      <c r="W812" t="s">
        <v>48</v>
      </c>
      <c r="X812" t="s">
        <v>2545</v>
      </c>
      <c r="Y812" t="s">
        <v>54</v>
      </c>
      <c r="Z812" s="12">
        <f>IF(N812&lt;=1,9,9+0.8*ROUNDUP(N812-1,0))</f>
        <v>9</v>
      </c>
      <c r="AA812" s="11">
        <v>-2</v>
      </c>
      <c r="AB812" s="11">
        <v>0</v>
      </c>
      <c r="AC812" s="11">
        <v>0</v>
      </c>
      <c r="AD812" s="11">
        <v>0</v>
      </c>
      <c r="AE812" s="11">
        <v>0</v>
      </c>
      <c r="AF812" s="11">
        <f t="shared" si="36"/>
        <v>0.42</v>
      </c>
      <c r="AG812" s="11">
        <f t="shared" si="37"/>
        <v>7.42</v>
      </c>
      <c r="AH812" s="11">
        <v>0</v>
      </c>
      <c r="AI812" s="11">
        <f t="shared" si="38"/>
        <v>7.42</v>
      </c>
      <c r="AJ812" t="s">
        <v>62</v>
      </c>
    </row>
    <row r="813" spans="1:36" ht="15" customHeight="1" x14ac:dyDescent="0.35">
      <c r="A813">
        <v>10428918</v>
      </c>
      <c r="B813" t="s">
        <v>36</v>
      </c>
      <c r="C813" t="s">
        <v>37</v>
      </c>
      <c r="D813" s="6" t="s">
        <v>38</v>
      </c>
      <c r="E813" t="s">
        <v>2546</v>
      </c>
      <c r="F813" t="s">
        <v>40</v>
      </c>
      <c r="G813" t="s">
        <v>41</v>
      </c>
      <c r="H813" t="s">
        <v>1109</v>
      </c>
      <c r="I813" t="s">
        <v>43</v>
      </c>
      <c r="J813">
        <v>2</v>
      </c>
      <c r="K813" t="s">
        <v>44</v>
      </c>
      <c r="L813" t="s">
        <v>45</v>
      </c>
      <c r="M813" t="s">
        <v>46</v>
      </c>
      <c r="N813" s="7">
        <v>1</v>
      </c>
      <c r="O813" s="8">
        <v>45626.627071759256</v>
      </c>
      <c r="P813" s="9">
        <v>45628</v>
      </c>
      <c r="Q813" t="s">
        <v>74</v>
      </c>
      <c r="R813" t="s">
        <v>48</v>
      </c>
      <c r="S813" t="s">
        <v>49</v>
      </c>
      <c r="T813" t="s">
        <v>117</v>
      </c>
      <c r="U813" t="s">
        <v>1110</v>
      </c>
      <c r="V813">
        <v>43000</v>
      </c>
      <c r="W813" t="s">
        <v>48</v>
      </c>
      <c r="X813" t="s">
        <v>53</v>
      </c>
      <c r="Y813" t="s">
        <v>54</v>
      </c>
      <c r="Z813" s="12">
        <f>IF(N813&lt;=1,9,9+0.8*ROUNDUP(N813-1,0))</f>
        <v>9</v>
      </c>
      <c r="AA813" s="11">
        <v>-2</v>
      </c>
      <c r="AB813" s="11">
        <v>0</v>
      </c>
      <c r="AC813" s="11">
        <v>0</v>
      </c>
      <c r="AD813" s="11">
        <v>0</v>
      </c>
      <c r="AE813" s="11">
        <v>0</v>
      </c>
      <c r="AF813" s="11">
        <f t="shared" si="36"/>
        <v>0.42</v>
      </c>
      <c r="AG813" s="11">
        <f t="shared" si="37"/>
        <v>7.42</v>
      </c>
      <c r="AH813" s="11">
        <v>0</v>
      </c>
      <c r="AI813" s="11">
        <f t="shared" si="38"/>
        <v>7.42</v>
      </c>
      <c r="AJ813" t="s">
        <v>62</v>
      </c>
    </row>
    <row r="814" spans="1:36" ht="15" customHeight="1" x14ac:dyDescent="0.35">
      <c r="A814">
        <v>10428918</v>
      </c>
      <c r="B814" t="s">
        <v>36</v>
      </c>
      <c r="C814" t="s">
        <v>37</v>
      </c>
      <c r="D814" s="6" t="s">
        <v>38</v>
      </c>
      <c r="E814" t="s">
        <v>2547</v>
      </c>
      <c r="F814" t="s">
        <v>40</v>
      </c>
      <c r="G814" t="s">
        <v>41</v>
      </c>
      <c r="H814" t="s">
        <v>2548</v>
      </c>
      <c r="I814" t="s">
        <v>43</v>
      </c>
      <c r="J814">
        <v>2</v>
      </c>
      <c r="K814" t="s">
        <v>44</v>
      </c>
      <c r="L814" t="s">
        <v>45</v>
      </c>
      <c r="M814" t="s">
        <v>46</v>
      </c>
      <c r="N814" s="7">
        <v>1</v>
      </c>
      <c r="O814" s="8">
        <v>45623.595601851855</v>
      </c>
      <c r="P814" s="9">
        <v>45628</v>
      </c>
      <c r="Q814" t="s">
        <v>47</v>
      </c>
      <c r="R814" t="s">
        <v>48</v>
      </c>
      <c r="S814" t="s">
        <v>49</v>
      </c>
      <c r="T814" t="s">
        <v>170</v>
      </c>
      <c r="U814" t="s">
        <v>2549</v>
      </c>
      <c r="V814">
        <v>53300</v>
      </c>
      <c r="W814" t="s">
        <v>48</v>
      </c>
      <c r="X814" t="s">
        <v>53</v>
      </c>
      <c r="Y814" t="s">
        <v>54</v>
      </c>
      <c r="Z814" s="12">
        <f>IF(N814&lt;=1,9,9+0.8*ROUNDUP(N814-1,0))</f>
        <v>9</v>
      </c>
      <c r="AA814" s="11">
        <v>-2</v>
      </c>
      <c r="AB814" s="11">
        <v>0</v>
      </c>
      <c r="AC814" s="11">
        <v>0</v>
      </c>
      <c r="AD814" s="11">
        <v>0</v>
      </c>
      <c r="AE814" s="11">
        <v>0</v>
      </c>
      <c r="AF814" s="11">
        <f t="shared" si="36"/>
        <v>0.42</v>
      </c>
      <c r="AG814" s="11">
        <f t="shared" si="37"/>
        <v>7.42</v>
      </c>
      <c r="AH814" s="11">
        <v>0</v>
      </c>
      <c r="AI814" s="11">
        <f t="shared" si="38"/>
        <v>7.42</v>
      </c>
      <c r="AJ814" t="s">
        <v>62</v>
      </c>
    </row>
    <row r="815" spans="1:36" ht="15" customHeight="1" x14ac:dyDescent="0.35">
      <c r="A815">
        <v>10428918</v>
      </c>
      <c r="B815" t="s">
        <v>36</v>
      </c>
      <c r="C815" t="s">
        <v>37</v>
      </c>
      <c r="D815" s="6" t="s">
        <v>38</v>
      </c>
      <c r="E815" t="s">
        <v>2550</v>
      </c>
      <c r="F815" t="s">
        <v>40</v>
      </c>
      <c r="G815" t="s">
        <v>41</v>
      </c>
      <c r="H815" t="s">
        <v>2551</v>
      </c>
      <c r="I815" t="s">
        <v>43</v>
      </c>
      <c r="J815">
        <v>2</v>
      </c>
      <c r="K815" t="s">
        <v>44</v>
      </c>
      <c r="L815" t="s">
        <v>45</v>
      </c>
      <c r="M815" t="s">
        <v>46</v>
      </c>
      <c r="N815" s="7">
        <v>1</v>
      </c>
      <c r="O815" s="8">
        <v>45626.825891203705</v>
      </c>
      <c r="P815" s="9">
        <v>45628</v>
      </c>
      <c r="Q815" t="s">
        <v>74</v>
      </c>
      <c r="R815" t="s">
        <v>48</v>
      </c>
      <c r="S815" t="s">
        <v>49</v>
      </c>
      <c r="T815" t="s">
        <v>59</v>
      </c>
      <c r="U815" t="s">
        <v>2552</v>
      </c>
      <c r="V815">
        <v>18500</v>
      </c>
      <c r="W815" t="s">
        <v>48</v>
      </c>
      <c r="X815" t="s">
        <v>61</v>
      </c>
      <c r="Y815" t="s">
        <v>54</v>
      </c>
      <c r="Z815" s="12">
        <f>IF(N815&lt;=1,9,9+0.8*ROUNDUP(N815-1,0))</f>
        <v>9</v>
      </c>
      <c r="AA815" s="11">
        <v>-2</v>
      </c>
      <c r="AB815" s="11">
        <v>0</v>
      </c>
      <c r="AC815" s="11">
        <v>0</v>
      </c>
      <c r="AD815" s="11">
        <v>0</v>
      </c>
      <c r="AE815" s="11">
        <v>0</v>
      </c>
      <c r="AF815" s="11">
        <f t="shared" si="36"/>
        <v>0.42</v>
      </c>
      <c r="AG815" s="11">
        <f t="shared" si="37"/>
        <v>7.42</v>
      </c>
      <c r="AH815" s="11">
        <v>0</v>
      </c>
      <c r="AI815" s="11">
        <f t="shared" si="38"/>
        <v>7.42</v>
      </c>
      <c r="AJ815" t="s">
        <v>62</v>
      </c>
    </row>
    <row r="816" spans="1:36" ht="15" customHeight="1" x14ac:dyDescent="0.35">
      <c r="A816">
        <v>10428918</v>
      </c>
      <c r="B816" t="s">
        <v>36</v>
      </c>
      <c r="C816" t="s">
        <v>37</v>
      </c>
      <c r="D816" s="6" t="s">
        <v>38</v>
      </c>
      <c r="E816" t="s">
        <v>2553</v>
      </c>
      <c r="F816" t="s">
        <v>40</v>
      </c>
      <c r="G816" t="s">
        <v>41</v>
      </c>
      <c r="H816" t="s">
        <v>2554</v>
      </c>
      <c r="I816" t="s">
        <v>43</v>
      </c>
      <c r="J816">
        <v>2</v>
      </c>
      <c r="K816" t="s">
        <v>44</v>
      </c>
      <c r="L816" t="s">
        <v>45</v>
      </c>
      <c r="M816" t="s">
        <v>46</v>
      </c>
      <c r="N816" s="7">
        <v>1</v>
      </c>
      <c r="O816" s="8">
        <v>45626.613391203704</v>
      </c>
      <c r="P816" s="9">
        <v>45628</v>
      </c>
      <c r="Q816" t="s">
        <v>74</v>
      </c>
      <c r="R816" t="s">
        <v>48</v>
      </c>
      <c r="S816" t="s">
        <v>49</v>
      </c>
      <c r="T816" t="s">
        <v>117</v>
      </c>
      <c r="U816" t="s">
        <v>2555</v>
      </c>
      <c r="V816">
        <v>41050</v>
      </c>
      <c r="W816" t="s">
        <v>48</v>
      </c>
      <c r="X816" t="s">
        <v>662</v>
      </c>
      <c r="Y816" t="s">
        <v>54</v>
      </c>
      <c r="Z816" s="12">
        <f>IF(N816&lt;=1,9,9+0.8*ROUNDUP(N816-1,0))</f>
        <v>9</v>
      </c>
      <c r="AA816" s="11">
        <v>-2</v>
      </c>
      <c r="AB816" s="11">
        <v>0</v>
      </c>
      <c r="AC816" s="11">
        <v>0</v>
      </c>
      <c r="AD816" s="11">
        <v>0</v>
      </c>
      <c r="AE816" s="11">
        <v>0</v>
      </c>
      <c r="AF816" s="11">
        <f t="shared" si="36"/>
        <v>0.42</v>
      </c>
      <c r="AG816" s="11">
        <f t="shared" si="37"/>
        <v>7.42</v>
      </c>
      <c r="AH816" s="11">
        <v>0</v>
      </c>
      <c r="AI816" s="11">
        <f t="shared" si="38"/>
        <v>7.42</v>
      </c>
      <c r="AJ816" t="s">
        <v>62</v>
      </c>
    </row>
    <row r="817" spans="1:36" ht="15" customHeight="1" x14ac:dyDescent="0.35">
      <c r="A817">
        <v>10428918</v>
      </c>
      <c r="B817" t="s">
        <v>36</v>
      </c>
      <c r="C817" t="s">
        <v>37</v>
      </c>
      <c r="D817" s="6" t="s">
        <v>38</v>
      </c>
      <c r="E817" t="s">
        <v>2556</v>
      </c>
      <c r="F817" t="s">
        <v>40</v>
      </c>
      <c r="G817" t="s">
        <v>41</v>
      </c>
      <c r="H817" t="s">
        <v>2557</v>
      </c>
      <c r="I817" t="s">
        <v>43</v>
      </c>
      <c r="J817">
        <v>2</v>
      </c>
      <c r="K817" t="s">
        <v>44</v>
      </c>
      <c r="L817" t="s">
        <v>45</v>
      </c>
      <c r="M817" t="s">
        <v>46</v>
      </c>
      <c r="N817" s="7">
        <v>1</v>
      </c>
      <c r="O817" s="8">
        <v>45624.453356481485</v>
      </c>
      <c r="P817" s="9">
        <v>45628</v>
      </c>
      <c r="Q817" t="s">
        <v>47</v>
      </c>
      <c r="R817" t="s">
        <v>48</v>
      </c>
      <c r="S817" t="s">
        <v>49</v>
      </c>
      <c r="T817" t="s">
        <v>117</v>
      </c>
      <c r="U817" t="s">
        <v>2558</v>
      </c>
      <c r="V817">
        <v>47301</v>
      </c>
      <c r="W817" t="s">
        <v>48</v>
      </c>
      <c r="X817" t="s">
        <v>53</v>
      </c>
      <c r="Y817" t="s">
        <v>54</v>
      </c>
      <c r="Z817" s="12">
        <f>IF(N817&lt;=1,9,9+0.8*ROUNDUP(N817-1,0))</f>
        <v>9</v>
      </c>
      <c r="AA817" s="11">
        <v>-2</v>
      </c>
      <c r="AB817" s="11">
        <v>0</v>
      </c>
      <c r="AC817" s="11">
        <v>0</v>
      </c>
      <c r="AD817" s="11">
        <v>0</v>
      </c>
      <c r="AE817" s="11">
        <v>0</v>
      </c>
      <c r="AF817" s="11">
        <f t="shared" si="36"/>
        <v>0.42</v>
      </c>
      <c r="AG817" s="11">
        <f t="shared" si="37"/>
        <v>7.42</v>
      </c>
      <c r="AH817" s="11">
        <v>0</v>
      </c>
      <c r="AI817" s="11">
        <f t="shared" si="38"/>
        <v>7.42</v>
      </c>
      <c r="AJ817" t="s">
        <v>62</v>
      </c>
    </row>
    <row r="818" spans="1:36" ht="15" customHeight="1" x14ac:dyDescent="0.35">
      <c r="A818">
        <v>10428918</v>
      </c>
      <c r="B818" t="s">
        <v>36</v>
      </c>
      <c r="C818" t="s">
        <v>37</v>
      </c>
      <c r="D818" s="6" t="s">
        <v>38</v>
      </c>
      <c r="E818" t="s">
        <v>2559</v>
      </c>
      <c r="F818" t="s">
        <v>40</v>
      </c>
      <c r="G818" t="s">
        <v>41</v>
      </c>
      <c r="H818" t="s">
        <v>2560</v>
      </c>
      <c r="I818" t="s">
        <v>43</v>
      </c>
      <c r="J818">
        <v>2</v>
      </c>
      <c r="K818" t="s">
        <v>44</v>
      </c>
      <c r="L818" t="s">
        <v>45</v>
      </c>
      <c r="M818" t="s">
        <v>46</v>
      </c>
      <c r="N818" s="7">
        <v>1</v>
      </c>
      <c r="O818" s="8">
        <v>45626.741180555553</v>
      </c>
      <c r="P818" s="9">
        <v>45628</v>
      </c>
      <c r="Q818" t="s">
        <v>74</v>
      </c>
      <c r="R818" t="s">
        <v>48</v>
      </c>
      <c r="S818" t="s">
        <v>49</v>
      </c>
      <c r="T818" t="s">
        <v>101</v>
      </c>
      <c r="U818" t="s">
        <v>2561</v>
      </c>
      <c r="V818">
        <v>34850</v>
      </c>
      <c r="W818" t="s">
        <v>48</v>
      </c>
      <c r="X818" t="s">
        <v>827</v>
      </c>
      <c r="Y818" t="s">
        <v>54</v>
      </c>
      <c r="Z818" s="12">
        <f>IF(N818&lt;=1,9,9+0.8*ROUNDUP(N818-1,0))</f>
        <v>9</v>
      </c>
      <c r="AA818" s="11">
        <v>-2</v>
      </c>
      <c r="AB818" s="11">
        <v>0</v>
      </c>
      <c r="AC818" s="11">
        <v>0</v>
      </c>
      <c r="AD818" s="11">
        <v>0</v>
      </c>
      <c r="AE818" s="11">
        <v>0</v>
      </c>
      <c r="AF818" s="11">
        <f t="shared" si="36"/>
        <v>0.42</v>
      </c>
      <c r="AG818" s="11">
        <f t="shared" si="37"/>
        <v>7.42</v>
      </c>
      <c r="AH818" s="11">
        <v>0</v>
      </c>
      <c r="AI818" s="11">
        <f t="shared" si="38"/>
        <v>7.42</v>
      </c>
      <c r="AJ818" t="s">
        <v>62</v>
      </c>
    </row>
    <row r="819" spans="1:36" ht="15" customHeight="1" x14ac:dyDescent="0.35">
      <c r="A819">
        <v>10428918</v>
      </c>
      <c r="B819" t="s">
        <v>36</v>
      </c>
      <c r="C819" t="s">
        <v>37</v>
      </c>
      <c r="D819" s="6" t="s">
        <v>38</v>
      </c>
      <c r="E819" t="s">
        <v>2562</v>
      </c>
      <c r="F819" t="s">
        <v>40</v>
      </c>
      <c r="G819" t="s">
        <v>41</v>
      </c>
      <c r="H819" t="s">
        <v>2563</v>
      </c>
      <c r="I819" t="s">
        <v>43</v>
      </c>
      <c r="J819">
        <v>2</v>
      </c>
      <c r="K819" t="s">
        <v>44</v>
      </c>
      <c r="L819" t="s">
        <v>45</v>
      </c>
      <c r="M819" t="s">
        <v>46</v>
      </c>
      <c r="N819" s="7">
        <v>2</v>
      </c>
      <c r="O819" s="8">
        <v>45622.836770833332</v>
      </c>
      <c r="P819" s="9">
        <v>45628</v>
      </c>
      <c r="Q819" t="s">
        <v>74</v>
      </c>
      <c r="R819" t="s">
        <v>48</v>
      </c>
      <c r="S819" t="s">
        <v>49</v>
      </c>
      <c r="T819" t="s">
        <v>117</v>
      </c>
      <c r="U819" t="s">
        <v>2564</v>
      </c>
      <c r="V819">
        <v>40460</v>
      </c>
      <c r="W819" t="s">
        <v>48</v>
      </c>
      <c r="X819" t="s">
        <v>1458</v>
      </c>
      <c r="Y819" t="s">
        <v>54</v>
      </c>
      <c r="Z819" s="12">
        <f>IF(N819&lt;=1,9,9+0.8*ROUNDUP(N819-1,0))</f>
        <v>9.8000000000000007</v>
      </c>
      <c r="AA819" s="11">
        <v>-2</v>
      </c>
      <c r="AB819" s="11">
        <v>0</v>
      </c>
      <c r="AC819" s="11">
        <v>0</v>
      </c>
      <c r="AD819" s="11">
        <v>0</v>
      </c>
      <c r="AE819" s="11">
        <v>0</v>
      </c>
      <c r="AF819" s="11">
        <f t="shared" si="36"/>
        <v>0.46800000000000003</v>
      </c>
      <c r="AG819" s="11">
        <f t="shared" si="37"/>
        <v>8.2680000000000007</v>
      </c>
      <c r="AH819" s="11">
        <v>0</v>
      </c>
      <c r="AI819" s="11">
        <f t="shared" si="38"/>
        <v>8.2680000000000007</v>
      </c>
      <c r="AJ819" t="s">
        <v>62</v>
      </c>
    </row>
    <row r="820" spans="1:36" ht="15" customHeight="1" x14ac:dyDescent="0.35">
      <c r="A820">
        <v>10428918</v>
      </c>
      <c r="B820" t="s">
        <v>36</v>
      </c>
      <c r="C820" t="s">
        <v>37</v>
      </c>
      <c r="D820" s="6" t="s">
        <v>38</v>
      </c>
      <c r="E820" t="s">
        <v>2565</v>
      </c>
      <c r="F820" t="s">
        <v>40</v>
      </c>
      <c r="G820" t="s">
        <v>41</v>
      </c>
      <c r="H820" t="s">
        <v>274</v>
      </c>
      <c r="I820" t="s">
        <v>43</v>
      </c>
      <c r="J820">
        <v>2</v>
      </c>
      <c r="K820" t="s">
        <v>44</v>
      </c>
      <c r="L820" t="s">
        <v>45</v>
      </c>
      <c r="M820" t="s">
        <v>46</v>
      </c>
      <c r="N820" s="7">
        <v>6</v>
      </c>
      <c r="O820" s="8">
        <v>45626.817094907405</v>
      </c>
      <c r="P820" s="9">
        <v>45628</v>
      </c>
      <c r="Q820" t="s">
        <v>74</v>
      </c>
      <c r="R820" t="s">
        <v>48</v>
      </c>
      <c r="S820" t="s">
        <v>49</v>
      </c>
      <c r="T820" t="s">
        <v>59</v>
      </c>
      <c r="U820" t="s">
        <v>2566</v>
      </c>
      <c r="V820">
        <v>16150</v>
      </c>
      <c r="W820" t="s">
        <v>48</v>
      </c>
      <c r="X820" t="s">
        <v>61</v>
      </c>
      <c r="Y820" t="s">
        <v>54</v>
      </c>
      <c r="Z820" s="12">
        <f>IF(N820&lt;=1,9,9+0.8*ROUNDUP(N820-1,0))</f>
        <v>13</v>
      </c>
      <c r="AA820" s="11">
        <v>-2</v>
      </c>
      <c r="AB820" s="11">
        <v>0</v>
      </c>
      <c r="AC820" s="11">
        <v>0</v>
      </c>
      <c r="AD820" s="11">
        <v>0</v>
      </c>
      <c r="AE820" s="11">
        <v>0</v>
      </c>
      <c r="AF820" s="11">
        <f t="shared" si="36"/>
        <v>0.65999999999999992</v>
      </c>
      <c r="AG820" s="11">
        <f t="shared" si="37"/>
        <v>11.66</v>
      </c>
      <c r="AH820" s="11">
        <v>0</v>
      </c>
      <c r="AI820" s="11">
        <f t="shared" si="38"/>
        <v>11.66</v>
      </c>
      <c r="AJ820" t="s">
        <v>62</v>
      </c>
    </row>
    <row r="821" spans="1:36" ht="15" customHeight="1" x14ac:dyDescent="0.35">
      <c r="A821">
        <v>10428918</v>
      </c>
      <c r="B821" t="s">
        <v>36</v>
      </c>
      <c r="C821" t="s">
        <v>37</v>
      </c>
      <c r="D821" s="6" t="s">
        <v>38</v>
      </c>
      <c r="E821" t="s">
        <v>2567</v>
      </c>
      <c r="F821" t="s">
        <v>40</v>
      </c>
      <c r="G821" t="s">
        <v>41</v>
      </c>
      <c r="H821" t="s">
        <v>2568</v>
      </c>
      <c r="I821" t="s">
        <v>43</v>
      </c>
      <c r="J821">
        <v>2</v>
      </c>
      <c r="K821" t="s">
        <v>44</v>
      </c>
      <c r="L821" t="s">
        <v>45</v>
      </c>
      <c r="M821" t="s">
        <v>46</v>
      </c>
      <c r="N821" s="7">
        <v>1</v>
      </c>
      <c r="O821" s="8">
        <v>45623.768784722219</v>
      </c>
      <c r="P821" s="9">
        <v>45628</v>
      </c>
      <c r="Q821" t="s">
        <v>74</v>
      </c>
      <c r="R821" t="s">
        <v>48</v>
      </c>
      <c r="S821" t="s">
        <v>49</v>
      </c>
      <c r="T821" t="s">
        <v>117</v>
      </c>
      <c r="U821" t="s">
        <v>2569</v>
      </c>
      <c r="V821">
        <v>43000</v>
      </c>
      <c r="W821" t="s">
        <v>48</v>
      </c>
      <c r="X821" t="s">
        <v>330</v>
      </c>
      <c r="Y821" t="s">
        <v>54</v>
      </c>
      <c r="Z821" s="12">
        <f>IF(N821&lt;=1,9,9+0.8*ROUNDUP(N821-1,0))</f>
        <v>9</v>
      </c>
      <c r="AA821" s="11">
        <v>-2</v>
      </c>
      <c r="AB821" s="11">
        <v>0</v>
      </c>
      <c r="AC821" s="11">
        <v>0</v>
      </c>
      <c r="AD821" s="11">
        <v>0</v>
      </c>
      <c r="AE821" s="11">
        <v>0</v>
      </c>
      <c r="AF821" s="11">
        <f t="shared" si="36"/>
        <v>0.42</v>
      </c>
      <c r="AG821" s="11">
        <f t="shared" si="37"/>
        <v>7.42</v>
      </c>
      <c r="AH821" s="11">
        <v>0</v>
      </c>
      <c r="AI821" s="11">
        <f t="shared" si="38"/>
        <v>7.42</v>
      </c>
      <c r="AJ821" t="s">
        <v>62</v>
      </c>
    </row>
    <row r="822" spans="1:36" ht="15" customHeight="1" x14ac:dyDescent="0.35">
      <c r="A822">
        <v>10428918</v>
      </c>
      <c r="B822" t="s">
        <v>36</v>
      </c>
      <c r="C822" t="s">
        <v>37</v>
      </c>
      <c r="D822" s="6" t="s">
        <v>38</v>
      </c>
      <c r="E822" t="s">
        <v>2570</v>
      </c>
      <c r="F822" t="s">
        <v>40</v>
      </c>
      <c r="G822" t="s">
        <v>41</v>
      </c>
      <c r="H822" t="s">
        <v>2571</v>
      </c>
      <c r="I822" t="s">
        <v>43</v>
      </c>
      <c r="J822">
        <v>2</v>
      </c>
      <c r="K822" t="s">
        <v>44</v>
      </c>
      <c r="L822" t="s">
        <v>45</v>
      </c>
      <c r="M822" t="s">
        <v>46</v>
      </c>
      <c r="N822" s="7">
        <v>1</v>
      </c>
      <c r="O822" s="8">
        <v>45626.679039351853</v>
      </c>
      <c r="P822" s="9">
        <v>45628</v>
      </c>
      <c r="Q822" t="s">
        <v>74</v>
      </c>
      <c r="R822" t="s">
        <v>48</v>
      </c>
      <c r="S822" t="s">
        <v>49</v>
      </c>
      <c r="T822" t="s">
        <v>117</v>
      </c>
      <c r="U822" t="s">
        <v>2572</v>
      </c>
      <c r="V822">
        <v>42700</v>
      </c>
      <c r="W822" t="s">
        <v>48</v>
      </c>
      <c r="X822" t="s">
        <v>901</v>
      </c>
      <c r="Y822" t="s">
        <v>54</v>
      </c>
      <c r="Z822" s="12">
        <f>IF(N822&lt;=1,9,9+0.8*ROUNDUP(N822-1,0))</f>
        <v>9</v>
      </c>
      <c r="AA822" s="11">
        <v>-2</v>
      </c>
      <c r="AB822" s="11">
        <v>0</v>
      </c>
      <c r="AC822" s="11">
        <v>0</v>
      </c>
      <c r="AD822" s="11">
        <v>0</v>
      </c>
      <c r="AE822" s="11">
        <v>0</v>
      </c>
      <c r="AF822" s="11">
        <f t="shared" si="36"/>
        <v>0.42</v>
      </c>
      <c r="AG822" s="11">
        <f t="shared" si="37"/>
        <v>7.42</v>
      </c>
      <c r="AH822" s="11">
        <v>0</v>
      </c>
      <c r="AI822" s="11">
        <f t="shared" si="38"/>
        <v>7.42</v>
      </c>
      <c r="AJ822" t="s">
        <v>62</v>
      </c>
    </row>
    <row r="823" spans="1:36" ht="15" customHeight="1" x14ac:dyDescent="0.35">
      <c r="A823">
        <v>10428918</v>
      </c>
      <c r="B823" t="s">
        <v>36</v>
      </c>
      <c r="C823" t="s">
        <v>37</v>
      </c>
      <c r="D823" s="6" t="s">
        <v>38</v>
      </c>
      <c r="E823" t="s">
        <v>2573</v>
      </c>
      <c r="F823" t="s">
        <v>40</v>
      </c>
      <c r="G823" t="s">
        <v>41</v>
      </c>
      <c r="H823" t="s">
        <v>2574</v>
      </c>
      <c r="I823" t="s">
        <v>43</v>
      </c>
      <c r="J823">
        <v>2</v>
      </c>
      <c r="K823" t="s">
        <v>44</v>
      </c>
      <c r="L823" t="s">
        <v>45</v>
      </c>
      <c r="M823" t="s">
        <v>46</v>
      </c>
      <c r="N823" s="7">
        <v>1</v>
      </c>
      <c r="O823" s="8">
        <v>45622.83662037037</v>
      </c>
      <c r="P823" s="9">
        <v>45628</v>
      </c>
      <c r="Q823" t="s">
        <v>74</v>
      </c>
      <c r="R823" t="s">
        <v>48</v>
      </c>
      <c r="S823" t="s">
        <v>49</v>
      </c>
      <c r="T823" t="s">
        <v>59</v>
      </c>
      <c r="U823" t="s">
        <v>2575</v>
      </c>
      <c r="V823">
        <v>17500</v>
      </c>
      <c r="W823" t="s">
        <v>48</v>
      </c>
      <c r="X823" t="s">
        <v>61</v>
      </c>
      <c r="Y823" t="s">
        <v>54</v>
      </c>
      <c r="Z823" s="12">
        <f>IF(N823&lt;=1,9,9+0.8*ROUNDUP(N823-1,0))</f>
        <v>9</v>
      </c>
      <c r="AA823" s="11">
        <v>-2</v>
      </c>
      <c r="AB823" s="11">
        <v>0</v>
      </c>
      <c r="AC823" s="11">
        <v>0</v>
      </c>
      <c r="AD823" s="11">
        <v>0</v>
      </c>
      <c r="AE823" s="11">
        <v>0</v>
      </c>
      <c r="AF823" s="11">
        <f t="shared" si="36"/>
        <v>0.42</v>
      </c>
      <c r="AG823" s="11">
        <f t="shared" si="37"/>
        <v>7.42</v>
      </c>
      <c r="AH823" s="11">
        <v>0</v>
      </c>
      <c r="AI823" s="11">
        <f t="shared" si="38"/>
        <v>7.42</v>
      </c>
      <c r="AJ823" t="s">
        <v>62</v>
      </c>
    </row>
    <row r="824" spans="1:36" ht="15" customHeight="1" x14ac:dyDescent="0.35">
      <c r="A824">
        <v>10428918</v>
      </c>
      <c r="B824" t="s">
        <v>36</v>
      </c>
      <c r="C824" t="s">
        <v>37</v>
      </c>
      <c r="D824" s="6" t="s">
        <v>38</v>
      </c>
      <c r="E824" t="s">
        <v>2576</v>
      </c>
      <c r="F824" t="s">
        <v>40</v>
      </c>
      <c r="G824" t="s">
        <v>41</v>
      </c>
      <c r="H824" t="s">
        <v>2577</v>
      </c>
      <c r="I824" t="s">
        <v>43</v>
      </c>
      <c r="J824">
        <v>2</v>
      </c>
      <c r="K824" t="s">
        <v>44</v>
      </c>
      <c r="L824" t="s">
        <v>45</v>
      </c>
      <c r="M824" t="s">
        <v>46</v>
      </c>
      <c r="N824" s="7">
        <v>1</v>
      </c>
      <c r="O824" s="8">
        <v>45626.805277777778</v>
      </c>
      <c r="P824" s="9">
        <v>45628</v>
      </c>
      <c r="Q824" t="s">
        <v>74</v>
      </c>
      <c r="R824" t="s">
        <v>48</v>
      </c>
      <c r="S824" t="s">
        <v>49</v>
      </c>
      <c r="T824" t="s">
        <v>59</v>
      </c>
      <c r="U824" t="s">
        <v>2578</v>
      </c>
      <c r="V824">
        <v>16700</v>
      </c>
      <c r="W824" t="s">
        <v>48</v>
      </c>
      <c r="X824" t="s">
        <v>61</v>
      </c>
      <c r="Y824" t="s">
        <v>54</v>
      </c>
      <c r="Z824" s="12">
        <f>IF(N824&lt;=1,9,9+0.8*ROUNDUP(N824-1,0))</f>
        <v>9</v>
      </c>
      <c r="AA824" s="11">
        <v>-2</v>
      </c>
      <c r="AB824" s="11">
        <v>0</v>
      </c>
      <c r="AC824" s="11">
        <v>0</v>
      </c>
      <c r="AD824" s="11">
        <v>0</v>
      </c>
      <c r="AE824" s="11">
        <v>0</v>
      </c>
      <c r="AF824" s="11">
        <f t="shared" si="36"/>
        <v>0.42</v>
      </c>
      <c r="AG824" s="11">
        <f t="shared" si="37"/>
        <v>7.42</v>
      </c>
      <c r="AH824" s="11">
        <v>0</v>
      </c>
      <c r="AI824" s="11">
        <f t="shared" si="38"/>
        <v>7.42</v>
      </c>
      <c r="AJ824" t="s">
        <v>62</v>
      </c>
    </row>
    <row r="825" spans="1:36" ht="15" customHeight="1" x14ac:dyDescent="0.35">
      <c r="A825">
        <v>10428918</v>
      </c>
      <c r="B825" t="s">
        <v>36</v>
      </c>
      <c r="C825" t="s">
        <v>37</v>
      </c>
      <c r="D825" s="6" t="s">
        <v>38</v>
      </c>
      <c r="E825" t="s">
        <v>2579</v>
      </c>
      <c r="F825" t="s">
        <v>40</v>
      </c>
      <c r="G825" t="s">
        <v>41</v>
      </c>
      <c r="H825" t="s">
        <v>2580</v>
      </c>
      <c r="I825" t="s">
        <v>43</v>
      </c>
      <c r="J825">
        <v>2</v>
      </c>
      <c r="K825" t="s">
        <v>44</v>
      </c>
      <c r="L825" t="s">
        <v>45</v>
      </c>
      <c r="M825" t="s">
        <v>46</v>
      </c>
      <c r="N825" s="7">
        <v>1</v>
      </c>
      <c r="O825" s="8">
        <v>45623.654502314814</v>
      </c>
      <c r="P825" s="9">
        <v>45628</v>
      </c>
      <c r="Q825" t="s">
        <v>74</v>
      </c>
      <c r="R825" t="s">
        <v>48</v>
      </c>
      <c r="S825" t="s">
        <v>49</v>
      </c>
      <c r="T825" t="s">
        <v>59</v>
      </c>
      <c r="U825" t="s">
        <v>2581</v>
      </c>
      <c r="V825">
        <v>17600</v>
      </c>
      <c r="W825" t="s">
        <v>48</v>
      </c>
      <c r="X825" t="s">
        <v>61</v>
      </c>
      <c r="Y825" t="s">
        <v>54</v>
      </c>
      <c r="Z825" s="12">
        <f>IF(N825&lt;=1,9,9+0.8*ROUNDUP(N825-1,0))</f>
        <v>9</v>
      </c>
      <c r="AA825" s="11">
        <v>-2</v>
      </c>
      <c r="AB825" s="11">
        <v>0</v>
      </c>
      <c r="AC825" s="11">
        <v>0</v>
      </c>
      <c r="AD825" s="11">
        <v>0</v>
      </c>
      <c r="AE825" s="11">
        <v>0</v>
      </c>
      <c r="AF825" s="11">
        <f t="shared" si="36"/>
        <v>0.42</v>
      </c>
      <c r="AG825" s="11">
        <f t="shared" si="37"/>
        <v>7.42</v>
      </c>
      <c r="AH825" s="11">
        <v>0</v>
      </c>
      <c r="AI825" s="11">
        <f t="shared" si="38"/>
        <v>7.42</v>
      </c>
      <c r="AJ825" t="s">
        <v>62</v>
      </c>
    </row>
    <row r="826" spans="1:36" ht="15" customHeight="1" x14ac:dyDescent="0.35">
      <c r="A826">
        <v>10428918</v>
      </c>
      <c r="B826" t="s">
        <v>36</v>
      </c>
      <c r="C826" t="s">
        <v>37</v>
      </c>
      <c r="D826" s="6" t="s">
        <v>38</v>
      </c>
      <c r="E826" t="s">
        <v>2582</v>
      </c>
      <c r="F826" t="s">
        <v>40</v>
      </c>
      <c r="G826" t="s">
        <v>41</v>
      </c>
      <c r="H826" t="s">
        <v>2583</v>
      </c>
      <c r="I826" t="s">
        <v>43</v>
      </c>
      <c r="J826">
        <v>2</v>
      </c>
      <c r="K826" t="s">
        <v>44</v>
      </c>
      <c r="L826" t="s">
        <v>45</v>
      </c>
      <c r="M826" t="s">
        <v>46</v>
      </c>
      <c r="N826" s="7">
        <v>1</v>
      </c>
      <c r="O826" s="8">
        <v>45622.673877314817</v>
      </c>
      <c r="P826" s="9">
        <v>45628</v>
      </c>
      <c r="Q826" t="s">
        <v>74</v>
      </c>
      <c r="R826" t="s">
        <v>48</v>
      </c>
      <c r="S826" t="s">
        <v>49</v>
      </c>
      <c r="T826" t="s">
        <v>90</v>
      </c>
      <c r="U826" t="s">
        <v>2584</v>
      </c>
      <c r="V826">
        <v>22200</v>
      </c>
      <c r="W826" t="s">
        <v>48</v>
      </c>
      <c r="X826" t="s">
        <v>61</v>
      </c>
      <c r="Y826" t="s">
        <v>54</v>
      </c>
      <c r="Z826" s="12">
        <f>IF(N826&lt;=1,9,9+0.8*ROUNDUP(N826-1,0))</f>
        <v>9</v>
      </c>
      <c r="AA826" s="11">
        <v>-2</v>
      </c>
      <c r="AB826" s="11">
        <v>0</v>
      </c>
      <c r="AC826" s="11">
        <v>0</v>
      </c>
      <c r="AD826" s="11">
        <v>0</v>
      </c>
      <c r="AE826" s="11">
        <v>0</v>
      </c>
      <c r="AF826" s="11">
        <f t="shared" si="36"/>
        <v>0.42</v>
      </c>
      <c r="AG826" s="11">
        <f t="shared" si="37"/>
        <v>7.42</v>
      </c>
      <c r="AH826" s="11">
        <v>0</v>
      </c>
      <c r="AI826" s="11">
        <f t="shared" si="38"/>
        <v>7.42</v>
      </c>
      <c r="AJ826" t="s">
        <v>62</v>
      </c>
    </row>
    <row r="827" spans="1:36" ht="15" customHeight="1" x14ac:dyDescent="0.35">
      <c r="A827">
        <v>10428918</v>
      </c>
      <c r="B827" t="s">
        <v>36</v>
      </c>
      <c r="C827" t="s">
        <v>37</v>
      </c>
      <c r="D827" s="6" t="s">
        <v>38</v>
      </c>
      <c r="E827" t="s">
        <v>2585</v>
      </c>
      <c r="F827" t="s">
        <v>40</v>
      </c>
      <c r="G827" t="s">
        <v>41</v>
      </c>
      <c r="H827" t="s">
        <v>2586</v>
      </c>
      <c r="I827" t="s">
        <v>43</v>
      </c>
      <c r="J827">
        <v>2</v>
      </c>
      <c r="K827" t="s">
        <v>44</v>
      </c>
      <c r="L827" t="s">
        <v>45</v>
      </c>
      <c r="M827" t="s">
        <v>46</v>
      </c>
      <c r="N827" s="7">
        <v>1</v>
      </c>
      <c r="O827" s="8">
        <v>45622.836759259262</v>
      </c>
      <c r="P827" s="9">
        <v>45628</v>
      </c>
      <c r="Q827" t="s">
        <v>74</v>
      </c>
      <c r="R827" t="s">
        <v>48</v>
      </c>
      <c r="S827" t="s">
        <v>49</v>
      </c>
      <c r="T827" t="s">
        <v>59</v>
      </c>
      <c r="U827" t="s">
        <v>2587</v>
      </c>
      <c r="V827">
        <v>15150</v>
      </c>
      <c r="W827" t="s">
        <v>48</v>
      </c>
      <c r="X827" t="s">
        <v>61</v>
      </c>
      <c r="Y827" t="s">
        <v>54</v>
      </c>
      <c r="Z827" s="12">
        <f>IF(N827&lt;=1,9,9+0.8*ROUNDUP(N827-1,0))</f>
        <v>9</v>
      </c>
      <c r="AA827" s="11">
        <v>-2</v>
      </c>
      <c r="AB827" s="11">
        <v>0</v>
      </c>
      <c r="AC827" s="11">
        <v>0</v>
      </c>
      <c r="AD827" s="11">
        <v>0</v>
      </c>
      <c r="AE827" s="11">
        <v>0</v>
      </c>
      <c r="AF827" s="11">
        <f t="shared" si="36"/>
        <v>0.42</v>
      </c>
      <c r="AG827" s="11">
        <f t="shared" si="37"/>
        <v>7.42</v>
      </c>
      <c r="AH827" s="11">
        <v>0</v>
      </c>
      <c r="AI827" s="11">
        <f t="shared" si="38"/>
        <v>7.42</v>
      </c>
      <c r="AJ827" t="s">
        <v>62</v>
      </c>
    </row>
    <row r="828" spans="1:36" ht="15" customHeight="1" x14ac:dyDescent="0.35">
      <c r="A828">
        <v>10428918</v>
      </c>
      <c r="B828" t="s">
        <v>36</v>
      </c>
      <c r="C828" t="s">
        <v>37</v>
      </c>
      <c r="D828" s="6" t="s">
        <v>38</v>
      </c>
      <c r="E828" t="s">
        <v>2588</v>
      </c>
      <c r="F828" t="s">
        <v>40</v>
      </c>
      <c r="G828" t="s">
        <v>41</v>
      </c>
      <c r="H828" t="s">
        <v>2589</v>
      </c>
      <c r="I828" t="s">
        <v>43</v>
      </c>
      <c r="J828">
        <v>2</v>
      </c>
      <c r="K828" t="s">
        <v>44</v>
      </c>
      <c r="L828" t="s">
        <v>45</v>
      </c>
      <c r="M828" t="s">
        <v>46</v>
      </c>
      <c r="N828" s="7">
        <v>1</v>
      </c>
      <c r="O828" s="8">
        <v>45627.629270833335</v>
      </c>
      <c r="P828" s="9">
        <v>45629</v>
      </c>
      <c r="Q828" t="s">
        <v>74</v>
      </c>
      <c r="R828" t="s">
        <v>48</v>
      </c>
      <c r="S828" t="s">
        <v>49</v>
      </c>
      <c r="T828" t="s">
        <v>59</v>
      </c>
      <c r="U828" t="s">
        <v>2590</v>
      </c>
      <c r="V828">
        <v>18300</v>
      </c>
      <c r="W828" t="s">
        <v>48</v>
      </c>
      <c r="X828" t="s">
        <v>61</v>
      </c>
      <c r="Y828" t="s">
        <v>54</v>
      </c>
      <c r="Z828" s="12">
        <f>IF(N828&lt;=1,9,9+0.8*ROUNDUP(N828-1,0))</f>
        <v>9</v>
      </c>
      <c r="AA828" s="11">
        <v>-2</v>
      </c>
      <c r="AB828" s="11">
        <v>0</v>
      </c>
      <c r="AC828" s="11">
        <v>0</v>
      </c>
      <c r="AD828" s="11">
        <v>0</v>
      </c>
      <c r="AE828" s="11">
        <v>0</v>
      </c>
      <c r="AF828" s="11">
        <f t="shared" si="36"/>
        <v>0.42</v>
      </c>
      <c r="AG828" s="11">
        <f t="shared" si="37"/>
        <v>7.42</v>
      </c>
      <c r="AH828" s="11">
        <v>0</v>
      </c>
      <c r="AI828" s="11">
        <f t="shared" si="38"/>
        <v>7.42</v>
      </c>
      <c r="AJ828" t="s">
        <v>62</v>
      </c>
    </row>
    <row r="829" spans="1:36" ht="15" customHeight="1" x14ac:dyDescent="0.35">
      <c r="A829">
        <v>10428918</v>
      </c>
      <c r="B829" t="s">
        <v>36</v>
      </c>
      <c r="C829" t="s">
        <v>37</v>
      </c>
      <c r="D829" s="6" t="s">
        <v>38</v>
      </c>
      <c r="E829" t="s">
        <v>2591</v>
      </c>
      <c r="F829" t="s">
        <v>40</v>
      </c>
      <c r="G829" t="s">
        <v>41</v>
      </c>
      <c r="H829" t="s">
        <v>2592</v>
      </c>
      <c r="I829" t="s">
        <v>43</v>
      </c>
      <c r="J829">
        <v>2</v>
      </c>
      <c r="K829" t="s">
        <v>44</v>
      </c>
      <c r="L829" t="s">
        <v>45</v>
      </c>
      <c r="M829" t="s">
        <v>46</v>
      </c>
      <c r="N829" s="7">
        <v>1</v>
      </c>
      <c r="O829" s="8">
        <v>45622.83662037037</v>
      </c>
      <c r="P829" s="9">
        <v>45629</v>
      </c>
      <c r="Q829" t="s">
        <v>74</v>
      </c>
      <c r="R829" t="s">
        <v>48</v>
      </c>
      <c r="S829" t="s">
        <v>49</v>
      </c>
      <c r="T829" t="s">
        <v>101</v>
      </c>
      <c r="U829" t="s">
        <v>2593</v>
      </c>
      <c r="V829">
        <v>31550</v>
      </c>
      <c r="W829" t="s">
        <v>48</v>
      </c>
      <c r="X829" t="s">
        <v>414</v>
      </c>
      <c r="Y829" t="s">
        <v>54</v>
      </c>
      <c r="Z829" s="12">
        <f>IF(N829&lt;=1,9,9+0.8*ROUNDUP(N829-1,0))</f>
        <v>9</v>
      </c>
      <c r="AA829" s="11">
        <v>-2</v>
      </c>
      <c r="AB829" s="11">
        <v>0</v>
      </c>
      <c r="AC829" s="11">
        <v>0</v>
      </c>
      <c r="AD829" s="11">
        <v>0</v>
      </c>
      <c r="AE829" s="11">
        <v>0</v>
      </c>
      <c r="AF829" s="11">
        <f t="shared" si="36"/>
        <v>0.42</v>
      </c>
      <c r="AG829" s="11">
        <f t="shared" si="37"/>
        <v>7.42</v>
      </c>
      <c r="AH829" s="11">
        <v>0</v>
      </c>
      <c r="AI829" s="11">
        <f t="shared" si="38"/>
        <v>7.42</v>
      </c>
      <c r="AJ829" t="s">
        <v>62</v>
      </c>
    </row>
    <row r="830" spans="1:36" ht="15" customHeight="1" x14ac:dyDescent="0.35">
      <c r="A830">
        <v>10428918</v>
      </c>
      <c r="B830" t="s">
        <v>36</v>
      </c>
      <c r="C830" t="s">
        <v>37</v>
      </c>
      <c r="D830" s="6" t="s">
        <v>38</v>
      </c>
      <c r="E830" t="s">
        <v>2594</v>
      </c>
      <c r="F830" t="s">
        <v>40</v>
      </c>
      <c r="G830" t="s">
        <v>41</v>
      </c>
      <c r="H830" t="s">
        <v>2595</v>
      </c>
      <c r="I830" t="s">
        <v>43</v>
      </c>
      <c r="J830">
        <v>2</v>
      </c>
      <c r="K830" t="s">
        <v>44</v>
      </c>
      <c r="L830" t="s">
        <v>45</v>
      </c>
      <c r="M830" t="s">
        <v>46</v>
      </c>
      <c r="N830" s="7">
        <v>3</v>
      </c>
      <c r="O830" s="8">
        <v>45622.844305555554</v>
      </c>
      <c r="P830" s="9">
        <v>45628</v>
      </c>
      <c r="Q830" t="s">
        <v>74</v>
      </c>
      <c r="R830" t="s">
        <v>48</v>
      </c>
      <c r="S830" t="s">
        <v>49</v>
      </c>
      <c r="T830" t="s">
        <v>170</v>
      </c>
      <c r="U830" t="s">
        <v>2596</v>
      </c>
      <c r="V830">
        <v>56000</v>
      </c>
      <c r="W830" t="s">
        <v>48</v>
      </c>
      <c r="X830" t="s">
        <v>343</v>
      </c>
      <c r="Y830" t="s">
        <v>54</v>
      </c>
      <c r="Z830" s="12">
        <f>IF(N830&lt;=1,9,9+0.8*ROUNDUP(N830-1,0))</f>
        <v>10.6</v>
      </c>
      <c r="AA830" s="11">
        <v>-2</v>
      </c>
      <c r="AB830" s="11">
        <v>0</v>
      </c>
      <c r="AC830" s="11">
        <v>0</v>
      </c>
      <c r="AD830" s="11">
        <v>0</v>
      </c>
      <c r="AE830" s="11">
        <v>0</v>
      </c>
      <c r="AF830" s="11">
        <f t="shared" si="36"/>
        <v>0.51600000000000001</v>
      </c>
      <c r="AG830" s="11">
        <f t="shared" si="37"/>
        <v>9.1159999999999997</v>
      </c>
      <c r="AH830" s="11">
        <v>0</v>
      </c>
      <c r="AI830" s="11">
        <f t="shared" si="38"/>
        <v>9.1159999999999997</v>
      </c>
      <c r="AJ830" t="s">
        <v>62</v>
      </c>
    </row>
    <row r="831" spans="1:36" ht="15" customHeight="1" x14ac:dyDescent="0.35">
      <c r="A831">
        <v>10428918</v>
      </c>
      <c r="B831" t="s">
        <v>36</v>
      </c>
      <c r="C831" t="s">
        <v>37</v>
      </c>
      <c r="D831" s="6" t="s">
        <v>38</v>
      </c>
      <c r="E831" t="s">
        <v>2597</v>
      </c>
      <c r="F831" t="s">
        <v>40</v>
      </c>
      <c r="G831" t="s">
        <v>41</v>
      </c>
      <c r="H831" t="s">
        <v>570</v>
      </c>
      <c r="I831" t="s">
        <v>43</v>
      </c>
      <c r="J831">
        <v>2</v>
      </c>
      <c r="K831" t="s">
        <v>44</v>
      </c>
      <c r="L831" t="s">
        <v>45</v>
      </c>
      <c r="M831" t="s">
        <v>46</v>
      </c>
      <c r="N831" s="7">
        <v>26</v>
      </c>
      <c r="O831" s="8">
        <v>45626.727187500001</v>
      </c>
      <c r="P831" s="9">
        <v>45629</v>
      </c>
      <c r="Q831" t="s">
        <v>74</v>
      </c>
      <c r="R831" t="s">
        <v>48</v>
      </c>
      <c r="S831" t="s">
        <v>49</v>
      </c>
      <c r="T831" t="s">
        <v>117</v>
      </c>
      <c r="U831" t="s">
        <v>571</v>
      </c>
      <c r="V831">
        <v>40000</v>
      </c>
      <c r="W831" t="s">
        <v>48</v>
      </c>
      <c r="X831" t="s">
        <v>473</v>
      </c>
      <c r="Y831" t="s">
        <v>54</v>
      </c>
      <c r="Z831" s="12">
        <f>IF(N831&lt;=1,9,9+0.8*ROUNDUP(N831-1,0))</f>
        <v>29</v>
      </c>
      <c r="AA831" s="11">
        <v>-2</v>
      </c>
      <c r="AB831" s="11">
        <v>0</v>
      </c>
      <c r="AC831" s="11">
        <v>0</v>
      </c>
      <c r="AD831" s="11">
        <v>0</v>
      </c>
      <c r="AE831" s="11">
        <v>0</v>
      </c>
      <c r="AF831" s="11">
        <f t="shared" si="36"/>
        <v>1.6199999999999999</v>
      </c>
      <c r="AG831" s="11">
        <f t="shared" si="37"/>
        <v>28.62</v>
      </c>
      <c r="AH831" s="11">
        <v>0</v>
      </c>
      <c r="AI831" s="11">
        <f t="shared" si="38"/>
        <v>28.62</v>
      </c>
      <c r="AJ831" t="s">
        <v>62</v>
      </c>
    </row>
    <row r="832" spans="1:36" ht="15" customHeight="1" x14ac:dyDescent="0.35">
      <c r="A832">
        <v>10428918</v>
      </c>
      <c r="B832" t="s">
        <v>36</v>
      </c>
      <c r="C832" t="s">
        <v>37</v>
      </c>
      <c r="D832" s="6" t="s">
        <v>38</v>
      </c>
      <c r="E832" t="s">
        <v>2598</v>
      </c>
      <c r="F832" t="s">
        <v>40</v>
      </c>
      <c r="G832" t="s">
        <v>41</v>
      </c>
      <c r="H832" t="s">
        <v>570</v>
      </c>
      <c r="I832" t="s">
        <v>43</v>
      </c>
      <c r="J832">
        <v>2</v>
      </c>
      <c r="K832" t="s">
        <v>44</v>
      </c>
      <c r="L832" t="s">
        <v>45</v>
      </c>
      <c r="M832" t="s">
        <v>46</v>
      </c>
      <c r="N832" s="7">
        <v>7</v>
      </c>
      <c r="O832" s="8">
        <v>45628.693888888891</v>
      </c>
      <c r="P832" s="9">
        <v>45629</v>
      </c>
      <c r="Q832" t="s">
        <v>74</v>
      </c>
      <c r="R832" t="s">
        <v>48</v>
      </c>
      <c r="S832" t="s">
        <v>49</v>
      </c>
      <c r="T832" t="s">
        <v>117</v>
      </c>
      <c r="U832" t="s">
        <v>571</v>
      </c>
      <c r="V832">
        <v>40000</v>
      </c>
      <c r="W832" t="s">
        <v>48</v>
      </c>
      <c r="X832" t="s">
        <v>473</v>
      </c>
      <c r="Y832" t="s">
        <v>54</v>
      </c>
      <c r="Z832" s="12">
        <f>IF(N832&lt;=1,9,9+0.8*ROUNDUP(N832-1,0))</f>
        <v>13.8</v>
      </c>
      <c r="AA832" s="11">
        <v>-2</v>
      </c>
      <c r="AB832" s="11">
        <v>0</v>
      </c>
      <c r="AC832" s="11">
        <v>0</v>
      </c>
      <c r="AD832" s="11">
        <v>0</v>
      </c>
      <c r="AE832" s="11">
        <v>0</v>
      </c>
      <c r="AF832" s="11">
        <f t="shared" si="36"/>
        <v>0.70799999999999996</v>
      </c>
      <c r="AG832" s="11">
        <f t="shared" si="37"/>
        <v>12.508000000000001</v>
      </c>
      <c r="AH832" s="11">
        <v>0</v>
      </c>
      <c r="AI832" s="11">
        <f t="shared" si="38"/>
        <v>12.508000000000001</v>
      </c>
      <c r="AJ832" t="s">
        <v>62</v>
      </c>
    </row>
    <row r="833" spans="1:36" ht="15" customHeight="1" x14ac:dyDescent="0.35">
      <c r="A833">
        <v>10428918</v>
      </c>
      <c r="B833" t="s">
        <v>36</v>
      </c>
      <c r="C833" t="s">
        <v>37</v>
      </c>
      <c r="D833" s="6" t="s">
        <v>38</v>
      </c>
      <c r="E833" t="s">
        <v>2599</v>
      </c>
      <c r="F833" t="s">
        <v>40</v>
      </c>
      <c r="G833" t="s">
        <v>41</v>
      </c>
      <c r="H833" t="s">
        <v>2600</v>
      </c>
      <c r="I833" t="s">
        <v>43</v>
      </c>
      <c r="J833">
        <v>2</v>
      </c>
      <c r="K833" t="s">
        <v>44</v>
      </c>
      <c r="L833" t="s">
        <v>45</v>
      </c>
      <c r="M833" t="s">
        <v>46</v>
      </c>
      <c r="N833" s="7">
        <v>1</v>
      </c>
      <c r="O833" s="8">
        <v>45626.627071759256</v>
      </c>
      <c r="P833" s="9">
        <v>45629</v>
      </c>
      <c r="Q833" t="s">
        <v>74</v>
      </c>
      <c r="R833" t="s">
        <v>48</v>
      </c>
      <c r="S833" t="s">
        <v>49</v>
      </c>
      <c r="T833" t="s">
        <v>75</v>
      </c>
      <c r="U833" t="s">
        <v>2601</v>
      </c>
      <c r="V833">
        <v>25200</v>
      </c>
      <c r="W833" t="s">
        <v>48</v>
      </c>
      <c r="X833" t="s">
        <v>61</v>
      </c>
      <c r="Y833" t="s">
        <v>54</v>
      </c>
      <c r="Z833" s="12">
        <f>IF(N833&lt;=1,9,9+0.8*ROUNDUP(N833-1,0))</f>
        <v>9</v>
      </c>
      <c r="AA833" s="11">
        <v>-2</v>
      </c>
      <c r="AB833" s="11">
        <v>0</v>
      </c>
      <c r="AC833" s="11">
        <v>0</v>
      </c>
      <c r="AD833" s="11">
        <v>0</v>
      </c>
      <c r="AE833" s="11">
        <v>0</v>
      </c>
      <c r="AF833" s="11">
        <f t="shared" si="36"/>
        <v>0.42</v>
      </c>
      <c r="AG833" s="11">
        <f t="shared" si="37"/>
        <v>7.42</v>
      </c>
      <c r="AH833" s="11">
        <v>0</v>
      </c>
      <c r="AI833" s="11">
        <f t="shared" si="38"/>
        <v>7.42</v>
      </c>
      <c r="AJ833" t="s">
        <v>62</v>
      </c>
    </row>
    <row r="834" spans="1:36" ht="15" customHeight="1" x14ac:dyDescent="0.35">
      <c r="A834">
        <v>10428918</v>
      </c>
      <c r="B834" t="s">
        <v>36</v>
      </c>
      <c r="C834" t="s">
        <v>37</v>
      </c>
      <c r="D834" s="6" t="s">
        <v>38</v>
      </c>
      <c r="E834" t="s">
        <v>2602</v>
      </c>
      <c r="F834" t="s">
        <v>40</v>
      </c>
      <c r="G834" t="s">
        <v>41</v>
      </c>
      <c r="H834" t="s">
        <v>2603</v>
      </c>
      <c r="I834" t="s">
        <v>43</v>
      </c>
      <c r="J834">
        <v>2</v>
      </c>
      <c r="K834" t="s">
        <v>44</v>
      </c>
      <c r="L834" t="s">
        <v>45</v>
      </c>
      <c r="M834" t="s">
        <v>46</v>
      </c>
      <c r="N834" s="7">
        <v>9</v>
      </c>
      <c r="O834" s="8">
        <v>45626.721307870372</v>
      </c>
      <c r="P834" s="9">
        <v>45629</v>
      </c>
      <c r="Q834" t="s">
        <v>74</v>
      </c>
      <c r="R834" t="s">
        <v>48</v>
      </c>
      <c r="S834" t="s">
        <v>49</v>
      </c>
      <c r="T834" t="s">
        <v>65</v>
      </c>
      <c r="U834" t="s">
        <v>2604</v>
      </c>
      <c r="V834">
        <v>78000</v>
      </c>
      <c r="W834" t="s">
        <v>48</v>
      </c>
      <c r="X834" t="s">
        <v>448</v>
      </c>
      <c r="Y834" t="s">
        <v>54</v>
      </c>
      <c r="Z834" s="12">
        <f>IF(N834&lt;=1,9,9+0.8*ROUNDUP(N834-1,0))</f>
        <v>15.4</v>
      </c>
      <c r="AA834" s="11">
        <v>-2</v>
      </c>
      <c r="AB834" s="11">
        <v>0</v>
      </c>
      <c r="AC834" s="11">
        <v>0</v>
      </c>
      <c r="AD834" s="11">
        <v>0</v>
      </c>
      <c r="AE834" s="11">
        <v>0</v>
      </c>
      <c r="AF834" s="11">
        <f t="shared" ref="AF834:AF897" si="39">(Z834+AA834+AC834+AE834)*6%</f>
        <v>0.80399999999999994</v>
      </c>
      <c r="AG834" s="11">
        <f t="shared" ref="AG834:AG897" si="40">Z834+AA834+AC834+AE834+AF834</f>
        <v>14.204000000000001</v>
      </c>
      <c r="AH834" s="11">
        <v>0</v>
      </c>
      <c r="AI834" s="11">
        <f t="shared" ref="AI834:AI897" si="41">AG834+AH834</f>
        <v>14.204000000000001</v>
      </c>
      <c r="AJ834" t="s">
        <v>62</v>
      </c>
    </row>
    <row r="835" spans="1:36" ht="15" customHeight="1" x14ac:dyDescent="0.35">
      <c r="A835">
        <v>10428918</v>
      </c>
      <c r="B835" t="s">
        <v>36</v>
      </c>
      <c r="C835" t="s">
        <v>37</v>
      </c>
      <c r="D835" s="6" t="s">
        <v>38</v>
      </c>
      <c r="E835" t="s">
        <v>2605</v>
      </c>
      <c r="F835" t="s">
        <v>40</v>
      </c>
      <c r="G835" t="s">
        <v>41</v>
      </c>
      <c r="H835" t="s">
        <v>2606</v>
      </c>
      <c r="I835" t="s">
        <v>43</v>
      </c>
      <c r="J835">
        <v>2</v>
      </c>
      <c r="K835" t="s">
        <v>44</v>
      </c>
      <c r="L835" t="s">
        <v>45</v>
      </c>
      <c r="M835" t="s">
        <v>46</v>
      </c>
      <c r="N835" s="7">
        <v>1</v>
      </c>
      <c r="O835" s="8">
        <v>45627.741412037038</v>
      </c>
      <c r="P835" s="9">
        <v>45629</v>
      </c>
      <c r="Q835" t="s">
        <v>74</v>
      </c>
      <c r="R835" t="s">
        <v>48</v>
      </c>
      <c r="S835" t="s">
        <v>49</v>
      </c>
      <c r="T835" t="s">
        <v>90</v>
      </c>
      <c r="U835" t="s">
        <v>2607</v>
      </c>
      <c r="V835">
        <v>22200</v>
      </c>
      <c r="W835" t="s">
        <v>48</v>
      </c>
      <c r="X835" t="s">
        <v>61</v>
      </c>
      <c r="Y835" t="s">
        <v>54</v>
      </c>
      <c r="Z835" s="12">
        <f>IF(N835&lt;=1,9,9+0.8*ROUNDUP(N835-1,0))</f>
        <v>9</v>
      </c>
      <c r="AA835" s="11">
        <v>-2</v>
      </c>
      <c r="AB835" s="11">
        <v>0</v>
      </c>
      <c r="AC835" s="11">
        <v>0</v>
      </c>
      <c r="AD835" s="11">
        <v>0</v>
      </c>
      <c r="AE835" s="11">
        <v>0</v>
      </c>
      <c r="AF835" s="11">
        <f t="shared" si="39"/>
        <v>0.42</v>
      </c>
      <c r="AG835" s="11">
        <f t="shared" si="40"/>
        <v>7.42</v>
      </c>
      <c r="AH835" s="11">
        <v>0</v>
      </c>
      <c r="AI835" s="11">
        <f t="shared" si="41"/>
        <v>7.42</v>
      </c>
      <c r="AJ835" t="s">
        <v>62</v>
      </c>
    </row>
    <row r="836" spans="1:36" ht="15" customHeight="1" x14ac:dyDescent="0.35">
      <c r="A836">
        <v>10428918</v>
      </c>
      <c r="B836" t="s">
        <v>36</v>
      </c>
      <c r="C836" t="s">
        <v>37</v>
      </c>
      <c r="D836" s="6" t="s">
        <v>38</v>
      </c>
      <c r="E836" t="s">
        <v>2608</v>
      </c>
      <c r="F836" t="s">
        <v>40</v>
      </c>
      <c r="G836" t="s">
        <v>41</v>
      </c>
      <c r="H836" t="s">
        <v>2609</v>
      </c>
      <c r="I836" t="s">
        <v>43</v>
      </c>
      <c r="J836">
        <v>2</v>
      </c>
      <c r="K836" t="s">
        <v>44</v>
      </c>
      <c r="L836" t="s">
        <v>45</v>
      </c>
      <c r="M836" t="s">
        <v>46</v>
      </c>
      <c r="N836" s="7">
        <v>11</v>
      </c>
      <c r="O836" s="8">
        <v>45623.761134259257</v>
      </c>
      <c r="P836" s="9">
        <v>45629</v>
      </c>
      <c r="Q836" t="s">
        <v>74</v>
      </c>
      <c r="R836" t="s">
        <v>48</v>
      </c>
      <c r="S836" t="s">
        <v>49</v>
      </c>
      <c r="T836" t="s">
        <v>80</v>
      </c>
      <c r="U836" t="s">
        <v>2610</v>
      </c>
      <c r="V836">
        <v>9100</v>
      </c>
      <c r="W836" t="s">
        <v>48</v>
      </c>
      <c r="X836" t="s">
        <v>53</v>
      </c>
      <c r="Y836" t="s">
        <v>54</v>
      </c>
      <c r="Z836" s="12">
        <f>IF(N836&lt;=1,9,9+0.8*ROUNDUP(N836-1,0))</f>
        <v>17</v>
      </c>
      <c r="AA836" s="11">
        <v>-2</v>
      </c>
      <c r="AB836" s="11">
        <v>0</v>
      </c>
      <c r="AC836" s="11">
        <v>0</v>
      </c>
      <c r="AD836" s="11">
        <v>0</v>
      </c>
      <c r="AE836" s="11">
        <v>0</v>
      </c>
      <c r="AF836" s="11">
        <f t="shared" si="39"/>
        <v>0.89999999999999991</v>
      </c>
      <c r="AG836" s="11">
        <f t="shared" si="40"/>
        <v>15.9</v>
      </c>
      <c r="AH836" s="11">
        <v>0</v>
      </c>
      <c r="AI836" s="11">
        <f t="shared" si="41"/>
        <v>15.9</v>
      </c>
      <c r="AJ836" t="s">
        <v>62</v>
      </c>
    </row>
    <row r="837" spans="1:36" ht="15" customHeight="1" x14ac:dyDescent="0.35">
      <c r="A837">
        <v>10428918</v>
      </c>
      <c r="B837" t="s">
        <v>36</v>
      </c>
      <c r="C837" t="s">
        <v>37</v>
      </c>
      <c r="D837" s="6" t="s">
        <v>38</v>
      </c>
      <c r="E837" t="s">
        <v>2611</v>
      </c>
      <c r="F837" t="s">
        <v>40</v>
      </c>
      <c r="G837" t="s">
        <v>41</v>
      </c>
      <c r="H837" t="s">
        <v>2612</v>
      </c>
      <c r="I837" t="s">
        <v>43</v>
      </c>
      <c r="J837">
        <v>2</v>
      </c>
      <c r="K837" t="s">
        <v>44</v>
      </c>
      <c r="L837" t="s">
        <v>45</v>
      </c>
      <c r="M837" t="s">
        <v>46</v>
      </c>
      <c r="N837" s="7">
        <v>1</v>
      </c>
      <c r="O837" s="8">
        <v>45623.78974537037</v>
      </c>
      <c r="P837" s="9">
        <v>45629</v>
      </c>
      <c r="Q837" t="s">
        <v>74</v>
      </c>
      <c r="R837" t="s">
        <v>48</v>
      </c>
      <c r="S837" t="s">
        <v>49</v>
      </c>
      <c r="T837" t="s">
        <v>75</v>
      </c>
      <c r="U837" t="s">
        <v>2613</v>
      </c>
      <c r="V837">
        <v>25200</v>
      </c>
      <c r="W837" t="s">
        <v>48</v>
      </c>
      <c r="X837" t="s">
        <v>61</v>
      </c>
      <c r="Y837" t="s">
        <v>54</v>
      </c>
      <c r="Z837" s="12">
        <f>IF(N837&lt;=1,9,9+0.8*ROUNDUP(N837-1,0))</f>
        <v>9</v>
      </c>
      <c r="AA837" s="11">
        <v>-2</v>
      </c>
      <c r="AB837" s="11">
        <v>0</v>
      </c>
      <c r="AC837" s="11">
        <v>0</v>
      </c>
      <c r="AD837" s="11">
        <v>0</v>
      </c>
      <c r="AE837" s="11">
        <v>0</v>
      </c>
      <c r="AF837" s="11">
        <f t="shared" si="39"/>
        <v>0.42</v>
      </c>
      <c r="AG837" s="11">
        <f t="shared" si="40"/>
        <v>7.42</v>
      </c>
      <c r="AH837" s="11">
        <v>0</v>
      </c>
      <c r="AI837" s="11">
        <f t="shared" si="41"/>
        <v>7.42</v>
      </c>
      <c r="AJ837" t="s">
        <v>62</v>
      </c>
    </row>
    <row r="838" spans="1:36" ht="15" customHeight="1" x14ac:dyDescent="0.35">
      <c r="A838">
        <v>10428918</v>
      </c>
      <c r="B838" t="s">
        <v>36</v>
      </c>
      <c r="C838" t="s">
        <v>37</v>
      </c>
      <c r="D838" s="6" t="s">
        <v>38</v>
      </c>
      <c r="E838" t="s">
        <v>2614</v>
      </c>
      <c r="F838" t="s">
        <v>40</v>
      </c>
      <c r="G838" t="s">
        <v>41</v>
      </c>
      <c r="H838" t="s">
        <v>2615</v>
      </c>
      <c r="I838" t="s">
        <v>43</v>
      </c>
      <c r="J838">
        <v>2</v>
      </c>
      <c r="K838" t="s">
        <v>44</v>
      </c>
      <c r="L838" t="s">
        <v>45</v>
      </c>
      <c r="M838" t="s">
        <v>46</v>
      </c>
      <c r="N838" s="7">
        <v>1</v>
      </c>
      <c r="O838" s="8">
        <v>45626.805277777778</v>
      </c>
      <c r="P838" s="9">
        <v>45629</v>
      </c>
      <c r="Q838" t="s">
        <v>74</v>
      </c>
      <c r="R838" t="s">
        <v>48</v>
      </c>
      <c r="S838" t="s">
        <v>49</v>
      </c>
      <c r="T838" t="s">
        <v>59</v>
      </c>
      <c r="U838" t="s">
        <v>2616</v>
      </c>
      <c r="V838">
        <v>18300</v>
      </c>
      <c r="W838" t="s">
        <v>48</v>
      </c>
      <c r="X838" t="s">
        <v>61</v>
      </c>
      <c r="Y838" t="s">
        <v>54</v>
      </c>
      <c r="Z838" s="12">
        <f>IF(N838&lt;=1,9,9+0.8*ROUNDUP(N838-1,0))</f>
        <v>9</v>
      </c>
      <c r="AA838" s="11">
        <v>-2</v>
      </c>
      <c r="AB838" s="11">
        <v>0</v>
      </c>
      <c r="AC838" s="11">
        <v>0</v>
      </c>
      <c r="AD838" s="11">
        <v>0</v>
      </c>
      <c r="AE838" s="11">
        <v>0</v>
      </c>
      <c r="AF838" s="11">
        <f t="shared" si="39"/>
        <v>0.42</v>
      </c>
      <c r="AG838" s="11">
        <f t="shared" si="40"/>
        <v>7.42</v>
      </c>
      <c r="AH838" s="11">
        <v>0</v>
      </c>
      <c r="AI838" s="11">
        <f t="shared" si="41"/>
        <v>7.42</v>
      </c>
      <c r="AJ838" t="s">
        <v>62</v>
      </c>
    </row>
    <row r="839" spans="1:36" ht="15" customHeight="1" x14ac:dyDescent="0.35">
      <c r="A839">
        <v>10428918</v>
      </c>
      <c r="B839" t="s">
        <v>36</v>
      </c>
      <c r="C839" t="s">
        <v>37</v>
      </c>
      <c r="D839" s="6" t="s">
        <v>38</v>
      </c>
      <c r="E839" t="s">
        <v>2617</v>
      </c>
      <c r="F839" t="s">
        <v>40</v>
      </c>
      <c r="G839" t="s">
        <v>41</v>
      </c>
      <c r="H839" t="s">
        <v>2618</v>
      </c>
      <c r="I839" t="s">
        <v>43</v>
      </c>
      <c r="J839">
        <v>2</v>
      </c>
      <c r="K839" t="s">
        <v>44</v>
      </c>
      <c r="L839" t="s">
        <v>45</v>
      </c>
      <c r="M839" t="s">
        <v>46</v>
      </c>
      <c r="N839" s="7">
        <v>2</v>
      </c>
      <c r="O839" s="8">
        <v>45626.811747685184</v>
      </c>
      <c r="P839" s="9">
        <v>45629</v>
      </c>
      <c r="Q839" t="s">
        <v>74</v>
      </c>
      <c r="R839" t="s">
        <v>48</v>
      </c>
      <c r="S839" t="s">
        <v>49</v>
      </c>
      <c r="T839" t="s">
        <v>75</v>
      </c>
      <c r="U839" t="s">
        <v>2619</v>
      </c>
      <c r="V839">
        <v>26800</v>
      </c>
      <c r="W839" t="s">
        <v>48</v>
      </c>
      <c r="X839" t="s">
        <v>61</v>
      </c>
      <c r="Y839" t="s">
        <v>54</v>
      </c>
      <c r="Z839" s="12">
        <f>IF(N839&lt;=1,9,9+0.8*ROUNDUP(N839-1,0))</f>
        <v>9.8000000000000007</v>
      </c>
      <c r="AA839" s="11">
        <v>-2</v>
      </c>
      <c r="AB839" s="11">
        <v>0</v>
      </c>
      <c r="AC839" s="11">
        <v>0</v>
      </c>
      <c r="AD839" s="11">
        <v>0</v>
      </c>
      <c r="AE839" s="11">
        <v>0</v>
      </c>
      <c r="AF839" s="11">
        <f t="shared" si="39"/>
        <v>0.46800000000000003</v>
      </c>
      <c r="AG839" s="11">
        <f t="shared" si="40"/>
        <v>8.2680000000000007</v>
      </c>
      <c r="AH839" s="11">
        <v>0</v>
      </c>
      <c r="AI839" s="11">
        <f t="shared" si="41"/>
        <v>8.2680000000000007</v>
      </c>
      <c r="AJ839" t="s">
        <v>62</v>
      </c>
    </row>
    <row r="840" spans="1:36" ht="15" customHeight="1" x14ac:dyDescent="0.35">
      <c r="A840">
        <v>10428918</v>
      </c>
      <c r="B840" t="s">
        <v>36</v>
      </c>
      <c r="C840" t="s">
        <v>37</v>
      </c>
      <c r="D840" s="6" t="s">
        <v>38</v>
      </c>
      <c r="E840" t="s">
        <v>2620</v>
      </c>
      <c r="F840" t="s">
        <v>40</v>
      </c>
      <c r="G840" t="s">
        <v>41</v>
      </c>
      <c r="H840" t="s">
        <v>2621</v>
      </c>
      <c r="I840" t="s">
        <v>43</v>
      </c>
      <c r="J840">
        <v>2</v>
      </c>
      <c r="K840" t="s">
        <v>44</v>
      </c>
      <c r="L840" t="s">
        <v>45</v>
      </c>
      <c r="M840" t="s">
        <v>46</v>
      </c>
      <c r="N840" s="7">
        <v>2</v>
      </c>
      <c r="O840" s="8">
        <v>45627.629270833335</v>
      </c>
      <c r="P840" s="9">
        <v>45629</v>
      </c>
      <c r="Q840" t="s">
        <v>74</v>
      </c>
      <c r="R840" t="s">
        <v>48</v>
      </c>
      <c r="S840" t="s">
        <v>49</v>
      </c>
      <c r="T840" t="s">
        <v>90</v>
      </c>
      <c r="U840" t="s">
        <v>2622</v>
      </c>
      <c r="V840">
        <v>21030</v>
      </c>
      <c r="W840" t="s">
        <v>48</v>
      </c>
      <c r="X840" t="s">
        <v>61</v>
      </c>
      <c r="Y840" t="s">
        <v>54</v>
      </c>
      <c r="Z840" s="12">
        <f>IF(N840&lt;=1,9,9+0.8*ROUNDUP(N840-1,0))</f>
        <v>9.8000000000000007</v>
      </c>
      <c r="AA840" s="11">
        <v>-2</v>
      </c>
      <c r="AB840" s="11">
        <v>0</v>
      </c>
      <c r="AC840" s="11">
        <v>0</v>
      </c>
      <c r="AD840" s="11">
        <v>0</v>
      </c>
      <c r="AE840" s="11">
        <v>0</v>
      </c>
      <c r="AF840" s="11">
        <f t="shared" si="39"/>
        <v>0.46800000000000003</v>
      </c>
      <c r="AG840" s="11">
        <f t="shared" si="40"/>
        <v>8.2680000000000007</v>
      </c>
      <c r="AH840" s="11">
        <v>0</v>
      </c>
      <c r="AI840" s="11">
        <f t="shared" si="41"/>
        <v>8.2680000000000007</v>
      </c>
      <c r="AJ840" t="s">
        <v>62</v>
      </c>
    </row>
    <row r="841" spans="1:36" ht="15" customHeight="1" x14ac:dyDescent="0.35">
      <c r="A841">
        <v>10428918</v>
      </c>
      <c r="B841" t="s">
        <v>36</v>
      </c>
      <c r="C841" t="s">
        <v>37</v>
      </c>
      <c r="D841" s="6" t="s">
        <v>38</v>
      </c>
      <c r="E841" t="s">
        <v>2623</v>
      </c>
      <c r="F841" t="s">
        <v>40</v>
      </c>
      <c r="G841" t="s">
        <v>41</v>
      </c>
      <c r="H841" t="s">
        <v>2624</v>
      </c>
      <c r="I841" t="s">
        <v>43</v>
      </c>
      <c r="J841">
        <v>2</v>
      </c>
      <c r="K841" t="s">
        <v>44</v>
      </c>
      <c r="L841" t="s">
        <v>45</v>
      </c>
      <c r="M841" t="s">
        <v>46</v>
      </c>
      <c r="N841" s="7">
        <v>10</v>
      </c>
      <c r="O841" s="8">
        <v>45626.479837962965</v>
      </c>
      <c r="P841" s="9">
        <v>45629</v>
      </c>
      <c r="Q841" t="s">
        <v>74</v>
      </c>
      <c r="R841" t="s">
        <v>48</v>
      </c>
      <c r="S841" t="s">
        <v>49</v>
      </c>
      <c r="T841" t="s">
        <v>50</v>
      </c>
      <c r="U841" t="s">
        <v>2625</v>
      </c>
      <c r="V841">
        <v>89100</v>
      </c>
      <c r="W841" t="s">
        <v>52</v>
      </c>
      <c r="X841" t="s">
        <v>53</v>
      </c>
      <c r="Y841" t="s">
        <v>54</v>
      </c>
      <c r="Z841" s="10">
        <f>IF(N841&lt;=1,13,IF(N841&lt;=2,23,IF(N841&lt;=3,35,IF(N841&lt;=4,43,IF(N841&lt;=5,53,IF(N841&lt;=6,63,IF(N841&lt;=7,71,IF(N841&lt;=8,79,IF(N841&lt;=9,87,IF(N841&lt;=10,95,IF(N841&lt;=11,105,IF(N841&lt;=12,114,IF(N841&lt;=13,119,IF(N841&lt;=14,127,IF(N841&lt;=15,135,IF(N841&lt;=16,143,IF(N841&lt;=17,153,IF(N841&lt;=18,163,IF(N841&lt;=19,171,IF(N841&lt;=20,185,IF(N841&lt;=21,193,IF(N841&lt;=22,201,IF(N841&lt;=23,210,IF(N841&lt;=24,220,IF(N841&lt;=25,230,IF(N841&lt;=26,240,IF(N841&lt;=27,250,IF(N841&lt;=28,260,IF(N841&lt;=29,270,IF(N841&lt;=30,280,280+10*ROUNDUP(N841-30,0)))))))))))))))))))))))))))))))</f>
        <v>95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f t="shared" si="39"/>
        <v>5.7</v>
      </c>
      <c r="AG841" s="11">
        <f t="shared" si="40"/>
        <v>100.7</v>
      </c>
      <c r="AH841" s="11">
        <v>0</v>
      </c>
      <c r="AI841" s="11">
        <f t="shared" si="41"/>
        <v>100.7</v>
      </c>
      <c r="AJ841" t="s">
        <v>55</v>
      </c>
    </row>
    <row r="842" spans="1:36" ht="15" customHeight="1" x14ac:dyDescent="0.35">
      <c r="A842">
        <v>10428918</v>
      </c>
      <c r="B842" t="s">
        <v>36</v>
      </c>
      <c r="C842" t="s">
        <v>37</v>
      </c>
      <c r="D842" s="6" t="s">
        <v>38</v>
      </c>
      <c r="E842" t="s">
        <v>2626</v>
      </c>
      <c r="F842" t="s">
        <v>40</v>
      </c>
      <c r="G842" t="s">
        <v>41</v>
      </c>
      <c r="H842" t="s">
        <v>2627</v>
      </c>
      <c r="I842" t="s">
        <v>43</v>
      </c>
      <c r="J842">
        <v>2</v>
      </c>
      <c r="K842" t="s">
        <v>44</v>
      </c>
      <c r="L842" t="s">
        <v>45</v>
      </c>
      <c r="M842" t="s">
        <v>46</v>
      </c>
      <c r="N842" s="7">
        <v>2</v>
      </c>
      <c r="O842" s="8">
        <v>45627.608715277776</v>
      </c>
      <c r="P842" s="9">
        <v>45629</v>
      </c>
      <c r="Q842" t="s">
        <v>74</v>
      </c>
      <c r="R842" t="s">
        <v>48</v>
      </c>
      <c r="S842" t="s">
        <v>49</v>
      </c>
      <c r="T842" t="s">
        <v>69</v>
      </c>
      <c r="U842" t="s">
        <v>2628</v>
      </c>
      <c r="V842">
        <v>86100</v>
      </c>
      <c r="W842" t="s">
        <v>48</v>
      </c>
      <c r="X842" t="s">
        <v>410</v>
      </c>
      <c r="Y842" t="s">
        <v>54</v>
      </c>
      <c r="Z842" s="12">
        <f>IF(N842&lt;=1,9,9+0.8*ROUNDUP(N842-1,0))</f>
        <v>9.8000000000000007</v>
      </c>
      <c r="AA842" s="11">
        <v>-2</v>
      </c>
      <c r="AB842" s="11">
        <v>0</v>
      </c>
      <c r="AC842" s="11">
        <v>0</v>
      </c>
      <c r="AD842" s="11">
        <v>0</v>
      </c>
      <c r="AE842" s="11">
        <v>0</v>
      </c>
      <c r="AF842" s="11">
        <f t="shared" si="39"/>
        <v>0.46800000000000003</v>
      </c>
      <c r="AG842" s="11">
        <f t="shared" si="40"/>
        <v>8.2680000000000007</v>
      </c>
      <c r="AH842" s="11">
        <v>0</v>
      </c>
      <c r="AI842" s="11">
        <f t="shared" si="41"/>
        <v>8.2680000000000007</v>
      </c>
      <c r="AJ842" t="s">
        <v>62</v>
      </c>
    </row>
    <row r="843" spans="1:36" ht="15" customHeight="1" x14ac:dyDescent="0.35">
      <c r="A843">
        <v>10428918</v>
      </c>
      <c r="B843" t="s">
        <v>36</v>
      </c>
      <c r="C843" t="s">
        <v>37</v>
      </c>
      <c r="D843" s="6" t="s">
        <v>38</v>
      </c>
      <c r="E843" t="s">
        <v>2629</v>
      </c>
      <c r="F843" t="s">
        <v>40</v>
      </c>
      <c r="G843" t="s">
        <v>41</v>
      </c>
      <c r="H843" t="s">
        <v>2630</v>
      </c>
      <c r="I843" t="s">
        <v>43</v>
      </c>
      <c r="J843">
        <v>2</v>
      </c>
      <c r="K843" t="s">
        <v>44</v>
      </c>
      <c r="L843" t="s">
        <v>45</v>
      </c>
      <c r="M843" t="s">
        <v>46</v>
      </c>
      <c r="N843" s="7">
        <v>1</v>
      </c>
      <c r="O843" s="8">
        <v>45626.608287037037</v>
      </c>
      <c r="P843" s="9">
        <v>45629</v>
      </c>
      <c r="Q843" t="s">
        <v>74</v>
      </c>
      <c r="R843" t="s">
        <v>48</v>
      </c>
      <c r="S843" t="s">
        <v>49</v>
      </c>
      <c r="T843" t="s">
        <v>90</v>
      </c>
      <c r="U843" t="s">
        <v>2631</v>
      </c>
      <c r="V843">
        <v>21000</v>
      </c>
      <c r="W843" t="s">
        <v>48</v>
      </c>
      <c r="X843" t="s">
        <v>61</v>
      </c>
      <c r="Y843" t="s">
        <v>54</v>
      </c>
      <c r="Z843" s="12">
        <f>IF(N843&lt;=1,9,9+0.8*ROUNDUP(N843-1,0))</f>
        <v>9</v>
      </c>
      <c r="AA843" s="11">
        <v>-2</v>
      </c>
      <c r="AB843" s="11">
        <v>0</v>
      </c>
      <c r="AC843" s="11">
        <v>0</v>
      </c>
      <c r="AD843" s="11">
        <v>0</v>
      </c>
      <c r="AE843" s="11">
        <v>0</v>
      </c>
      <c r="AF843" s="11">
        <f t="shared" si="39"/>
        <v>0.42</v>
      </c>
      <c r="AG843" s="11">
        <f t="shared" si="40"/>
        <v>7.42</v>
      </c>
      <c r="AH843" s="11">
        <v>0</v>
      </c>
      <c r="AI843" s="11">
        <f t="shared" si="41"/>
        <v>7.42</v>
      </c>
      <c r="AJ843" t="s">
        <v>62</v>
      </c>
    </row>
    <row r="844" spans="1:36" ht="15" customHeight="1" x14ac:dyDescent="0.35">
      <c r="A844">
        <v>10428918</v>
      </c>
      <c r="B844" t="s">
        <v>36</v>
      </c>
      <c r="C844" t="s">
        <v>37</v>
      </c>
      <c r="D844" s="6" t="s">
        <v>38</v>
      </c>
      <c r="E844" t="s">
        <v>2632</v>
      </c>
      <c r="F844" t="s">
        <v>40</v>
      </c>
      <c r="G844" t="s">
        <v>41</v>
      </c>
      <c r="H844" t="s">
        <v>2633</v>
      </c>
      <c r="I844" t="s">
        <v>43</v>
      </c>
      <c r="J844">
        <v>2</v>
      </c>
      <c r="K844" t="s">
        <v>44</v>
      </c>
      <c r="L844" t="s">
        <v>45</v>
      </c>
      <c r="M844" t="s">
        <v>46</v>
      </c>
      <c r="N844" s="7">
        <v>1</v>
      </c>
      <c r="O844" s="8">
        <v>45623.656655092593</v>
      </c>
      <c r="P844" s="9">
        <v>45629</v>
      </c>
      <c r="Q844" t="s">
        <v>74</v>
      </c>
      <c r="R844" t="s">
        <v>48</v>
      </c>
      <c r="S844" t="s">
        <v>49</v>
      </c>
      <c r="T844" t="s">
        <v>75</v>
      </c>
      <c r="U844" t="s">
        <v>2634</v>
      </c>
      <c r="V844">
        <v>25990</v>
      </c>
      <c r="W844" t="s">
        <v>48</v>
      </c>
      <c r="X844" t="s">
        <v>61</v>
      </c>
      <c r="Y844" t="s">
        <v>54</v>
      </c>
      <c r="Z844" s="12">
        <f>IF(N844&lt;=1,9,9+0.8*ROUNDUP(N844-1,0))</f>
        <v>9</v>
      </c>
      <c r="AA844" s="11">
        <v>-2</v>
      </c>
      <c r="AB844" s="11">
        <v>0</v>
      </c>
      <c r="AC844" s="11">
        <v>0</v>
      </c>
      <c r="AD844" s="11">
        <v>0</v>
      </c>
      <c r="AE844" s="11">
        <v>0</v>
      </c>
      <c r="AF844" s="11">
        <f t="shared" si="39"/>
        <v>0.42</v>
      </c>
      <c r="AG844" s="11">
        <f t="shared" si="40"/>
        <v>7.42</v>
      </c>
      <c r="AH844" s="11">
        <v>0</v>
      </c>
      <c r="AI844" s="11">
        <f t="shared" si="41"/>
        <v>7.42</v>
      </c>
      <c r="AJ844" t="s">
        <v>62</v>
      </c>
    </row>
    <row r="845" spans="1:36" ht="15" customHeight="1" x14ac:dyDescent="0.35">
      <c r="A845">
        <v>10428918</v>
      </c>
      <c r="B845" t="s">
        <v>36</v>
      </c>
      <c r="C845" t="s">
        <v>37</v>
      </c>
      <c r="D845" s="6" t="s">
        <v>38</v>
      </c>
      <c r="E845" t="s">
        <v>2635</v>
      </c>
      <c r="F845" t="s">
        <v>40</v>
      </c>
      <c r="G845" t="s">
        <v>41</v>
      </c>
      <c r="H845" t="s">
        <v>2636</v>
      </c>
      <c r="I845" t="s">
        <v>43</v>
      </c>
      <c r="J845">
        <v>2</v>
      </c>
      <c r="K845" t="s">
        <v>44</v>
      </c>
      <c r="L845" t="s">
        <v>45</v>
      </c>
      <c r="M845" t="s">
        <v>46</v>
      </c>
      <c r="N845" s="7">
        <v>1</v>
      </c>
      <c r="O845" s="8">
        <v>45626.627071759256</v>
      </c>
      <c r="P845" s="9">
        <v>45629</v>
      </c>
      <c r="Q845" t="s">
        <v>74</v>
      </c>
      <c r="R845" t="s">
        <v>48</v>
      </c>
      <c r="S845" t="s">
        <v>49</v>
      </c>
      <c r="T845" t="s">
        <v>85</v>
      </c>
      <c r="U845" t="s">
        <v>2637</v>
      </c>
      <c r="V845">
        <v>71450</v>
      </c>
      <c r="W845" t="s">
        <v>48</v>
      </c>
      <c r="X845" t="s">
        <v>53</v>
      </c>
      <c r="Y845" t="s">
        <v>54</v>
      </c>
      <c r="Z845" s="12">
        <f>IF(N845&lt;=1,9,9+0.8*ROUNDUP(N845-1,0))</f>
        <v>9</v>
      </c>
      <c r="AA845" s="11">
        <v>-2</v>
      </c>
      <c r="AB845" s="11">
        <v>0</v>
      </c>
      <c r="AC845" s="11">
        <v>0</v>
      </c>
      <c r="AD845" s="11">
        <v>0</v>
      </c>
      <c r="AE845" s="11">
        <v>0</v>
      </c>
      <c r="AF845" s="11">
        <f t="shared" si="39"/>
        <v>0.42</v>
      </c>
      <c r="AG845" s="11">
        <f t="shared" si="40"/>
        <v>7.42</v>
      </c>
      <c r="AH845" s="11">
        <v>0</v>
      </c>
      <c r="AI845" s="11">
        <f t="shared" si="41"/>
        <v>7.42</v>
      </c>
      <c r="AJ845" t="s">
        <v>62</v>
      </c>
    </row>
    <row r="846" spans="1:36" ht="15" customHeight="1" x14ac:dyDescent="0.35">
      <c r="A846">
        <v>10428918</v>
      </c>
      <c r="B846" t="s">
        <v>36</v>
      </c>
      <c r="C846" t="s">
        <v>37</v>
      </c>
      <c r="D846" s="6" t="s">
        <v>38</v>
      </c>
      <c r="E846" t="s">
        <v>2638</v>
      </c>
      <c r="F846" t="s">
        <v>40</v>
      </c>
      <c r="G846" t="s">
        <v>41</v>
      </c>
      <c r="H846" t="s">
        <v>570</v>
      </c>
      <c r="I846" t="s">
        <v>43</v>
      </c>
      <c r="J846">
        <v>2</v>
      </c>
      <c r="K846" t="s">
        <v>44</v>
      </c>
      <c r="L846" t="s">
        <v>45</v>
      </c>
      <c r="M846" t="s">
        <v>46</v>
      </c>
      <c r="N846" s="7">
        <v>8</v>
      </c>
      <c r="O846" s="8">
        <v>45628.69798611111</v>
      </c>
      <c r="P846" s="9">
        <v>45629</v>
      </c>
      <c r="Q846" t="s">
        <v>74</v>
      </c>
      <c r="R846" t="s">
        <v>48</v>
      </c>
      <c r="S846" t="s">
        <v>49</v>
      </c>
      <c r="T846" t="s">
        <v>117</v>
      </c>
      <c r="U846" t="s">
        <v>571</v>
      </c>
      <c r="V846">
        <v>40000</v>
      </c>
      <c r="W846" t="s">
        <v>48</v>
      </c>
      <c r="X846" t="s">
        <v>473</v>
      </c>
      <c r="Y846" t="s">
        <v>54</v>
      </c>
      <c r="Z846" s="12">
        <f>IF(N846&lt;=1,9,9+0.8*ROUNDUP(N846-1,0))</f>
        <v>14.600000000000001</v>
      </c>
      <c r="AA846" s="11">
        <v>-2</v>
      </c>
      <c r="AB846" s="11">
        <v>0</v>
      </c>
      <c r="AC846" s="11">
        <v>0</v>
      </c>
      <c r="AD846" s="11">
        <v>0</v>
      </c>
      <c r="AE846" s="11">
        <v>0</v>
      </c>
      <c r="AF846" s="11">
        <f t="shared" si="39"/>
        <v>0.75600000000000001</v>
      </c>
      <c r="AG846" s="11">
        <f t="shared" si="40"/>
        <v>13.356000000000002</v>
      </c>
      <c r="AH846" s="11">
        <v>0</v>
      </c>
      <c r="AI846" s="11">
        <f t="shared" si="41"/>
        <v>13.356000000000002</v>
      </c>
      <c r="AJ846" t="s">
        <v>62</v>
      </c>
    </row>
    <row r="847" spans="1:36" ht="15" customHeight="1" x14ac:dyDescent="0.35">
      <c r="A847">
        <v>10428918</v>
      </c>
      <c r="B847" t="s">
        <v>36</v>
      </c>
      <c r="C847" t="s">
        <v>37</v>
      </c>
      <c r="D847" s="6" t="s">
        <v>38</v>
      </c>
      <c r="E847" t="s">
        <v>2639</v>
      </c>
      <c r="F847" t="s">
        <v>40</v>
      </c>
      <c r="G847" t="s">
        <v>41</v>
      </c>
      <c r="H847" t="s">
        <v>2640</v>
      </c>
      <c r="I847" t="s">
        <v>43</v>
      </c>
      <c r="J847">
        <v>2</v>
      </c>
      <c r="K847" t="s">
        <v>44</v>
      </c>
      <c r="L847" t="s">
        <v>45</v>
      </c>
      <c r="M847" t="s">
        <v>46</v>
      </c>
      <c r="N847" s="7">
        <v>1</v>
      </c>
      <c r="O847" s="8">
        <v>45623.650231481479</v>
      </c>
      <c r="P847" s="9">
        <v>45629</v>
      </c>
      <c r="Q847" t="s">
        <v>74</v>
      </c>
      <c r="R847" t="s">
        <v>48</v>
      </c>
      <c r="S847" t="s">
        <v>49</v>
      </c>
      <c r="T847" t="s">
        <v>75</v>
      </c>
      <c r="U847" t="s">
        <v>2641</v>
      </c>
      <c r="V847">
        <v>25990</v>
      </c>
      <c r="W847" t="s">
        <v>48</v>
      </c>
      <c r="X847" t="s">
        <v>61</v>
      </c>
      <c r="Y847" t="s">
        <v>54</v>
      </c>
      <c r="Z847" s="12">
        <f>IF(N847&lt;=1,9,9+0.8*ROUNDUP(N847-1,0))</f>
        <v>9</v>
      </c>
      <c r="AA847" s="11">
        <v>-2</v>
      </c>
      <c r="AB847" s="11">
        <v>0</v>
      </c>
      <c r="AC847" s="11">
        <v>0</v>
      </c>
      <c r="AD847" s="11">
        <v>0</v>
      </c>
      <c r="AE847" s="11">
        <v>0</v>
      </c>
      <c r="AF847" s="11">
        <f t="shared" si="39"/>
        <v>0.42</v>
      </c>
      <c r="AG847" s="11">
        <f t="shared" si="40"/>
        <v>7.42</v>
      </c>
      <c r="AH847" s="11">
        <v>0</v>
      </c>
      <c r="AI847" s="11">
        <f t="shared" si="41"/>
        <v>7.42</v>
      </c>
      <c r="AJ847" t="s">
        <v>62</v>
      </c>
    </row>
    <row r="848" spans="1:36" ht="15" customHeight="1" x14ac:dyDescent="0.35">
      <c r="A848">
        <v>10428918</v>
      </c>
      <c r="B848" t="s">
        <v>36</v>
      </c>
      <c r="C848" t="s">
        <v>37</v>
      </c>
      <c r="D848" s="6" t="s">
        <v>38</v>
      </c>
      <c r="E848" t="s">
        <v>2642</v>
      </c>
      <c r="F848" t="s">
        <v>40</v>
      </c>
      <c r="G848" t="s">
        <v>41</v>
      </c>
      <c r="H848" t="s">
        <v>2643</v>
      </c>
      <c r="I848" t="s">
        <v>43</v>
      </c>
      <c r="J848">
        <v>2</v>
      </c>
      <c r="K848" t="s">
        <v>44</v>
      </c>
      <c r="L848" t="s">
        <v>45</v>
      </c>
      <c r="M848" t="s">
        <v>46</v>
      </c>
      <c r="N848" s="7">
        <v>1</v>
      </c>
      <c r="O848" s="8">
        <v>45623.650613425925</v>
      </c>
      <c r="P848" s="9">
        <v>45629</v>
      </c>
      <c r="Q848" t="s">
        <v>74</v>
      </c>
      <c r="R848" t="s">
        <v>48</v>
      </c>
      <c r="S848" t="s">
        <v>49</v>
      </c>
      <c r="T848" t="s">
        <v>90</v>
      </c>
      <c r="U848" t="s">
        <v>2644</v>
      </c>
      <c r="V848">
        <v>20050</v>
      </c>
      <c r="W848" t="s">
        <v>48</v>
      </c>
      <c r="X848" t="s">
        <v>61</v>
      </c>
      <c r="Y848" t="s">
        <v>54</v>
      </c>
      <c r="Z848" s="12">
        <f>IF(N848&lt;=1,9,9+0.8*ROUNDUP(N848-1,0))</f>
        <v>9</v>
      </c>
      <c r="AA848" s="11">
        <v>-2</v>
      </c>
      <c r="AB848" s="11">
        <v>0</v>
      </c>
      <c r="AC848" s="11">
        <v>0</v>
      </c>
      <c r="AD848" s="11">
        <v>0</v>
      </c>
      <c r="AE848" s="11">
        <v>0</v>
      </c>
      <c r="AF848" s="11">
        <f t="shared" si="39"/>
        <v>0.42</v>
      </c>
      <c r="AG848" s="11">
        <f t="shared" si="40"/>
        <v>7.42</v>
      </c>
      <c r="AH848" s="11">
        <v>0</v>
      </c>
      <c r="AI848" s="11">
        <f t="shared" si="41"/>
        <v>7.42</v>
      </c>
      <c r="AJ848" t="s">
        <v>62</v>
      </c>
    </row>
    <row r="849" spans="1:36" ht="15" customHeight="1" x14ac:dyDescent="0.35">
      <c r="A849">
        <v>10428918</v>
      </c>
      <c r="B849" t="s">
        <v>36</v>
      </c>
      <c r="C849" t="s">
        <v>37</v>
      </c>
      <c r="D849" s="6" t="s">
        <v>38</v>
      </c>
      <c r="E849" t="s">
        <v>2645</v>
      </c>
      <c r="F849" t="s">
        <v>40</v>
      </c>
      <c r="G849" t="s">
        <v>41</v>
      </c>
      <c r="H849" t="s">
        <v>570</v>
      </c>
      <c r="I849" t="s">
        <v>43</v>
      </c>
      <c r="J849">
        <v>2</v>
      </c>
      <c r="K849" t="s">
        <v>44</v>
      </c>
      <c r="L849" t="s">
        <v>45</v>
      </c>
      <c r="M849" t="s">
        <v>46</v>
      </c>
      <c r="N849" s="7">
        <v>5</v>
      </c>
      <c r="O849" s="8">
        <v>45624.511770833335</v>
      </c>
      <c r="P849" s="9">
        <v>45629</v>
      </c>
      <c r="Q849" t="s">
        <v>74</v>
      </c>
      <c r="R849" t="s">
        <v>48</v>
      </c>
      <c r="S849" t="s">
        <v>49</v>
      </c>
      <c r="T849" t="s">
        <v>117</v>
      </c>
      <c r="U849" t="s">
        <v>571</v>
      </c>
      <c r="V849">
        <v>40000</v>
      </c>
      <c r="W849" t="s">
        <v>48</v>
      </c>
      <c r="X849" t="s">
        <v>473</v>
      </c>
      <c r="Y849" t="s">
        <v>54</v>
      </c>
      <c r="Z849" s="12">
        <f>IF(N849&lt;=1,9,9+0.8*ROUNDUP(N849-1,0))</f>
        <v>12.2</v>
      </c>
      <c r="AA849" s="11">
        <v>-2</v>
      </c>
      <c r="AB849" s="11">
        <v>0</v>
      </c>
      <c r="AC849" s="11">
        <v>0</v>
      </c>
      <c r="AD849" s="11">
        <v>0</v>
      </c>
      <c r="AE849" s="11">
        <v>0</v>
      </c>
      <c r="AF849" s="11">
        <f t="shared" si="39"/>
        <v>0.61199999999999999</v>
      </c>
      <c r="AG849" s="11">
        <f t="shared" si="40"/>
        <v>10.811999999999999</v>
      </c>
      <c r="AH849" s="11">
        <v>0</v>
      </c>
      <c r="AI849" s="11">
        <f t="shared" si="41"/>
        <v>10.811999999999999</v>
      </c>
      <c r="AJ849" t="s">
        <v>62</v>
      </c>
    </row>
    <row r="850" spans="1:36" ht="15" customHeight="1" x14ac:dyDescent="0.35">
      <c r="A850">
        <v>10428918</v>
      </c>
      <c r="B850" t="s">
        <v>36</v>
      </c>
      <c r="C850" t="s">
        <v>37</v>
      </c>
      <c r="D850" s="6" t="s">
        <v>38</v>
      </c>
      <c r="E850" t="s">
        <v>2646</v>
      </c>
      <c r="F850" t="s">
        <v>40</v>
      </c>
      <c r="G850" t="s">
        <v>41</v>
      </c>
      <c r="H850" t="s">
        <v>570</v>
      </c>
      <c r="I850" t="s">
        <v>43</v>
      </c>
      <c r="J850">
        <v>2</v>
      </c>
      <c r="K850" t="s">
        <v>44</v>
      </c>
      <c r="L850" t="s">
        <v>45</v>
      </c>
      <c r="M850" t="s">
        <v>46</v>
      </c>
      <c r="N850" s="7">
        <v>7</v>
      </c>
      <c r="O850" s="8">
        <v>45626.72550925926</v>
      </c>
      <c r="P850" s="9">
        <v>45629</v>
      </c>
      <c r="Q850" t="s">
        <v>74</v>
      </c>
      <c r="R850" t="s">
        <v>48</v>
      </c>
      <c r="S850" t="s">
        <v>49</v>
      </c>
      <c r="T850" t="s">
        <v>117</v>
      </c>
      <c r="U850" t="s">
        <v>571</v>
      </c>
      <c r="V850">
        <v>40000</v>
      </c>
      <c r="W850" t="s">
        <v>48</v>
      </c>
      <c r="X850" t="s">
        <v>473</v>
      </c>
      <c r="Y850" t="s">
        <v>54</v>
      </c>
      <c r="Z850" s="12">
        <f>IF(N850&lt;=1,9,9+0.8*ROUNDUP(N850-1,0))</f>
        <v>13.8</v>
      </c>
      <c r="AA850" s="11">
        <v>-2</v>
      </c>
      <c r="AB850" s="11">
        <v>0</v>
      </c>
      <c r="AC850" s="11">
        <v>0</v>
      </c>
      <c r="AD850" s="11">
        <v>0</v>
      </c>
      <c r="AE850" s="11">
        <v>0</v>
      </c>
      <c r="AF850" s="11">
        <f t="shared" si="39"/>
        <v>0.70799999999999996</v>
      </c>
      <c r="AG850" s="11">
        <f t="shared" si="40"/>
        <v>12.508000000000001</v>
      </c>
      <c r="AH850" s="11">
        <v>0</v>
      </c>
      <c r="AI850" s="11">
        <f t="shared" si="41"/>
        <v>12.508000000000001</v>
      </c>
      <c r="AJ850" t="s">
        <v>62</v>
      </c>
    </row>
    <row r="851" spans="1:36" ht="15" customHeight="1" x14ac:dyDescent="0.35">
      <c r="A851">
        <v>10428918</v>
      </c>
      <c r="B851" t="s">
        <v>36</v>
      </c>
      <c r="C851" t="s">
        <v>37</v>
      </c>
      <c r="D851" s="6" t="s">
        <v>38</v>
      </c>
      <c r="E851" t="s">
        <v>2647</v>
      </c>
      <c r="F851" t="s">
        <v>40</v>
      </c>
      <c r="G851" t="s">
        <v>41</v>
      </c>
      <c r="H851" t="s">
        <v>570</v>
      </c>
      <c r="I851" t="s">
        <v>43</v>
      </c>
      <c r="J851">
        <v>2</v>
      </c>
      <c r="K851" t="s">
        <v>44</v>
      </c>
      <c r="L851" t="s">
        <v>45</v>
      </c>
      <c r="M851" t="s">
        <v>46</v>
      </c>
      <c r="N851" s="7">
        <v>5</v>
      </c>
      <c r="O851" s="8">
        <v>45622.668587962966</v>
      </c>
      <c r="P851" s="9">
        <v>45629</v>
      </c>
      <c r="Q851" t="s">
        <v>74</v>
      </c>
      <c r="R851" t="s">
        <v>48</v>
      </c>
      <c r="S851" t="s">
        <v>49</v>
      </c>
      <c r="T851" t="s">
        <v>117</v>
      </c>
      <c r="U851" t="s">
        <v>571</v>
      </c>
      <c r="V851">
        <v>40000</v>
      </c>
      <c r="W851" t="s">
        <v>48</v>
      </c>
      <c r="X851" t="s">
        <v>473</v>
      </c>
      <c r="Y851" t="s">
        <v>54</v>
      </c>
      <c r="Z851" s="12">
        <f>IF(N851&lt;=1,9,9+0.8*ROUNDUP(N851-1,0))</f>
        <v>12.2</v>
      </c>
      <c r="AA851" s="11">
        <v>-2</v>
      </c>
      <c r="AB851" s="11">
        <v>0</v>
      </c>
      <c r="AC851" s="11">
        <v>0</v>
      </c>
      <c r="AD851" s="11">
        <v>0</v>
      </c>
      <c r="AE851" s="11">
        <v>0</v>
      </c>
      <c r="AF851" s="11">
        <f t="shared" si="39"/>
        <v>0.61199999999999999</v>
      </c>
      <c r="AG851" s="11">
        <f t="shared" si="40"/>
        <v>10.811999999999999</v>
      </c>
      <c r="AH851" s="11">
        <v>0</v>
      </c>
      <c r="AI851" s="11">
        <f t="shared" si="41"/>
        <v>10.811999999999999</v>
      </c>
      <c r="AJ851" t="s">
        <v>62</v>
      </c>
    </row>
    <row r="852" spans="1:36" ht="15" customHeight="1" x14ac:dyDescent="0.35">
      <c r="A852">
        <v>10428918</v>
      </c>
      <c r="B852" t="s">
        <v>36</v>
      </c>
      <c r="C852" t="s">
        <v>37</v>
      </c>
      <c r="D852" s="6" t="s">
        <v>38</v>
      </c>
      <c r="E852" t="s">
        <v>2648</v>
      </c>
      <c r="F852" t="s">
        <v>40</v>
      </c>
      <c r="G852" t="s">
        <v>41</v>
      </c>
      <c r="H852" t="s">
        <v>2649</v>
      </c>
      <c r="I852" t="s">
        <v>43</v>
      </c>
      <c r="J852">
        <v>2</v>
      </c>
      <c r="K852" t="s">
        <v>44</v>
      </c>
      <c r="L852" t="s">
        <v>45</v>
      </c>
      <c r="M852" t="s">
        <v>46</v>
      </c>
      <c r="N852" s="7">
        <v>3</v>
      </c>
      <c r="O852" s="8">
        <v>45624.808680555558</v>
      </c>
      <c r="P852" s="9">
        <v>45629</v>
      </c>
      <c r="Q852" t="s">
        <v>74</v>
      </c>
      <c r="R852" t="s">
        <v>48</v>
      </c>
      <c r="S852" t="s">
        <v>49</v>
      </c>
      <c r="T852" t="s">
        <v>170</v>
      </c>
      <c r="U852" t="s">
        <v>1394</v>
      </c>
      <c r="V852">
        <v>46100</v>
      </c>
      <c r="W852" t="s">
        <v>48</v>
      </c>
      <c r="X852" t="s">
        <v>1395</v>
      </c>
      <c r="Y852" t="s">
        <v>54</v>
      </c>
      <c r="Z852" s="12">
        <f>IF(N852&lt;=1,9,9+0.8*ROUNDUP(N852-1,0))</f>
        <v>10.6</v>
      </c>
      <c r="AA852" s="11">
        <v>-2</v>
      </c>
      <c r="AB852" s="11">
        <v>0</v>
      </c>
      <c r="AC852" s="11">
        <v>0</v>
      </c>
      <c r="AD852" s="11">
        <v>0</v>
      </c>
      <c r="AE852" s="11">
        <v>0</v>
      </c>
      <c r="AF852" s="11">
        <f t="shared" si="39"/>
        <v>0.51600000000000001</v>
      </c>
      <c r="AG852" s="11">
        <f t="shared" si="40"/>
        <v>9.1159999999999997</v>
      </c>
      <c r="AH852" s="11">
        <v>0</v>
      </c>
      <c r="AI852" s="11">
        <f t="shared" si="41"/>
        <v>9.1159999999999997</v>
      </c>
      <c r="AJ852" t="s">
        <v>62</v>
      </c>
    </row>
    <row r="853" spans="1:36" ht="15" customHeight="1" x14ac:dyDescent="0.35">
      <c r="A853">
        <v>10428918</v>
      </c>
      <c r="B853" t="s">
        <v>36</v>
      </c>
      <c r="C853" t="s">
        <v>37</v>
      </c>
      <c r="D853" s="6" t="s">
        <v>38</v>
      </c>
      <c r="E853" t="s">
        <v>2650</v>
      </c>
      <c r="F853" t="s">
        <v>40</v>
      </c>
      <c r="G853" t="s">
        <v>41</v>
      </c>
      <c r="H853" t="s">
        <v>2651</v>
      </c>
      <c r="I853" t="s">
        <v>43</v>
      </c>
      <c r="J853">
        <v>2</v>
      </c>
      <c r="K853" t="s">
        <v>44</v>
      </c>
      <c r="L853" t="s">
        <v>45</v>
      </c>
      <c r="M853" t="s">
        <v>46</v>
      </c>
      <c r="N853" s="7">
        <v>1</v>
      </c>
      <c r="O853" s="8">
        <v>45626.608298611114</v>
      </c>
      <c r="P853" s="9">
        <v>45629</v>
      </c>
      <c r="Q853" t="s">
        <v>74</v>
      </c>
      <c r="R853" t="s">
        <v>48</v>
      </c>
      <c r="S853" t="s">
        <v>49</v>
      </c>
      <c r="T853" t="s">
        <v>75</v>
      </c>
      <c r="U853" t="s">
        <v>2652</v>
      </c>
      <c r="V853">
        <v>26820</v>
      </c>
      <c r="W853" t="s">
        <v>48</v>
      </c>
      <c r="X853" t="s">
        <v>61</v>
      </c>
      <c r="Y853" t="s">
        <v>54</v>
      </c>
      <c r="Z853" s="12">
        <f>IF(N853&lt;=1,9,9+0.8*ROUNDUP(N853-1,0))</f>
        <v>9</v>
      </c>
      <c r="AA853" s="11">
        <v>-2</v>
      </c>
      <c r="AB853" s="11">
        <v>0</v>
      </c>
      <c r="AC853" s="11">
        <v>0</v>
      </c>
      <c r="AD853" s="11">
        <v>0</v>
      </c>
      <c r="AE853" s="11">
        <v>0</v>
      </c>
      <c r="AF853" s="11">
        <f t="shared" si="39"/>
        <v>0.42</v>
      </c>
      <c r="AG853" s="11">
        <f t="shared" si="40"/>
        <v>7.42</v>
      </c>
      <c r="AH853" s="11">
        <v>0</v>
      </c>
      <c r="AI853" s="11">
        <f t="shared" si="41"/>
        <v>7.42</v>
      </c>
      <c r="AJ853" t="s">
        <v>62</v>
      </c>
    </row>
    <row r="854" spans="1:36" ht="15" customHeight="1" x14ac:dyDescent="0.35">
      <c r="A854">
        <v>10428918</v>
      </c>
      <c r="B854" t="s">
        <v>36</v>
      </c>
      <c r="C854" t="s">
        <v>37</v>
      </c>
      <c r="D854" s="6" t="s">
        <v>38</v>
      </c>
      <c r="E854" t="s">
        <v>2653</v>
      </c>
      <c r="F854" t="s">
        <v>40</v>
      </c>
      <c r="G854" t="s">
        <v>41</v>
      </c>
      <c r="H854" t="s">
        <v>2654</v>
      </c>
      <c r="I854" t="s">
        <v>43</v>
      </c>
      <c r="J854">
        <v>2</v>
      </c>
      <c r="K854" t="s">
        <v>44</v>
      </c>
      <c r="L854" t="s">
        <v>45</v>
      </c>
      <c r="M854" t="s">
        <v>46</v>
      </c>
      <c r="N854" s="7">
        <v>1</v>
      </c>
      <c r="O854" s="8">
        <v>45626.741180555553</v>
      </c>
      <c r="P854" s="9">
        <v>45629</v>
      </c>
      <c r="Q854" t="s">
        <v>74</v>
      </c>
      <c r="R854" t="s">
        <v>48</v>
      </c>
      <c r="S854" t="s">
        <v>49</v>
      </c>
      <c r="T854" t="s">
        <v>693</v>
      </c>
      <c r="U854" t="s">
        <v>2655</v>
      </c>
      <c r="V854">
        <v>6000</v>
      </c>
      <c r="W854" t="s">
        <v>48</v>
      </c>
      <c r="X854" t="s">
        <v>695</v>
      </c>
      <c r="Y854" t="s">
        <v>54</v>
      </c>
      <c r="Z854" s="12">
        <f>IF(N854&lt;=1,9,9+0.8*ROUNDUP(N854-1,0))</f>
        <v>9</v>
      </c>
      <c r="AA854" s="11">
        <v>-2</v>
      </c>
      <c r="AB854" s="11">
        <v>0</v>
      </c>
      <c r="AC854" s="11">
        <v>0</v>
      </c>
      <c r="AD854" s="11">
        <v>0</v>
      </c>
      <c r="AE854" s="11">
        <v>0</v>
      </c>
      <c r="AF854" s="11">
        <f t="shared" si="39"/>
        <v>0.42</v>
      </c>
      <c r="AG854" s="11">
        <f t="shared" si="40"/>
        <v>7.42</v>
      </c>
      <c r="AH854" s="11">
        <v>0</v>
      </c>
      <c r="AI854" s="11">
        <f t="shared" si="41"/>
        <v>7.42</v>
      </c>
      <c r="AJ854" t="s">
        <v>62</v>
      </c>
    </row>
    <row r="855" spans="1:36" ht="15" customHeight="1" x14ac:dyDescent="0.35">
      <c r="A855">
        <v>10428918</v>
      </c>
      <c r="B855" t="s">
        <v>36</v>
      </c>
      <c r="C855" t="s">
        <v>37</v>
      </c>
      <c r="D855" s="6" t="s">
        <v>38</v>
      </c>
      <c r="E855" t="s">
        <v>2656</v>
      </c>
      <c r="F855" t="s">
        <v>40</v>
      </c>
      <c r="G855" t="s">
        <v>41</v>
      </c>
      <c r="H855" t="s">
        <v>2657</v>
      </c>
      <c r="I855" t="s">
        <v>43</v>
      </c>
      <c r="J855">
        <v>2</v>
      </c>
      <c r="K855" t="s">
        <v>44</v>
      </c>
      <c r="L855" t="s">
        <v>45</v>
      </c>
      <c r="M855" t="s">
        <v>46</v>
      </c>
      <c r="N855" s="7">
        <v>2</v>
      </c>
      <c r="O855" s="8">
        <v>45626.613391203704</v>
      </c>
      <c r="P855" s="9">
        <v>45629</v>
      </c>
      <c r="Q855" t="s">
        <v>74</v>
      </c>
      <c r="R855" t="s">
        <v>48</v>
      </c>
      <c r="S855" t="s">
        <v>49</v>
      </c>
      <c r="T855" t="s">
        <v>90</v>
      </c>
      <c r="U855" t="s">
        <v>2658</v>
      </c>
      <c r="V855">
        <v>24100</v>
      </c>
      <c r="W855" t="s">
        <v>48</v>
      </c>
      <c r="X855" t="s">
        <v>61</v>
      </c>
      <c r="Y855" t="s">
        <v>54</v>
      </c>
      <c r="Z855" s="12">
        <f>IF(N855&lt;=1,9,9+0.8*ROUNDUP(N855-1,0))</f>
        <v>9.8000000000000007</v>
      </c>
      <c r="AA855" s="11">
        <v>-2</v>
      </c>
      <c r="AB855" s="11">
        <v>0</v>
      </c>
      <c r="AC855" s="11">
        <v>0</v>
      </c>
      <c r="AD855" s="11">
        <v>0</v>
      </c>
      <c r="AE855" s="11">
        <v>0</v>
      </c>
      <c r="AF855" s="11">
        <f t="shared" si="39"/>
        <v>0.46800000000000003</v>
      </c>
      <c r="AG855" s="11">
        <f t="shared" si="40"/>
        <v>8.2680000000000007</v>
      </c>
      <c r="AH855" s="11">
        <v>0</v>
      </c>
      <c r="AI855" s="11">
        <f t="shared" si="41"/>
        <v>8.2680000000000007</v>
      </c>
      <c r="AJ855" t="s">
        <v>62</v>
      </c>
    </row>
    <row r="856" spans="1:36" ht="15" customHeight="1" x14ac:dyDescent="0.35">
      <c r="A856">
        <v>10428918</v>
      </c>
      <c r="B856" t="s">
        <v>36</v>
      </c>
      <c r="C856" t="s">
        <v>37</v>
      </c>
      <c r="D856" s="6" t="s">
        <v>38</v>
      </c>
      <c r="E856" t="s">
        <v>2659</v>
      </c>
      <c r="F856" t="s">
        <v>40</v>
      </c>
      <c r="G856" t="s">
        <v>41</v>
      </c>
      <c r="H856" t="s">
        <v>2660</v>
      </c>
      <c r="I856" t="s">
        <v>43</v>
      </c>
      <c r="J856">
        <v>2</v>
      </c>
      <c r="K856" t="s">
        <v>44</v>
      </c>
      <c r="L856" t="s">
        <v>45</v>
      </c>
      <c r="M856" t="s">
        <v>46</v>
      </c>
      <c r="N856" s="7">
        <v>1</v>
      </c>
      <c r="O856" s="8">
        <v>45626.825891203705</v>
      </c>
      <c r="P856" s="9">
        <v>45629</v>
      </c>
      <c r="Q856" t="s">
        <v>74</v>
      </c>
      <c r="R856" t="s">
        <v>48</v>
      </c>
      <c r="S856" t="s">
        <v>49</v>
      </c>
      <c r="T856" t="s">
        <v>65</v>
      </c>
      <c r="U856" t="s">
        <v>2661</v>
      </c>
      <c r="V856">
        <v>78000</v>
      </c>
      <c r="W856" t="s">
        <v>48</v>
      </c>
      <c r="X856" t="s">
        <v>448</v>
      </c>
      <c r="Y856" t="s">
        <v>54</v>
      </c>
      <c r="Z856" s="12">
        <f>IF(N856&lt;=1,9,9+0.8*ROUNDUP(N856-1,0))</f>
        <v>9</v>
      </c>
      <c r="AA856" s="11">
        <v>-2</v>
      </c>
      <c r="AB856" s="11">
        <v>0</v>
      </c>
      <c r="AC856" s="11">
        <v>0</v>
      </c>
      <c r="AD856" s="11">
        <v>0</v>
      </c>
      <c r="AE856" s="11">
        <v>0</v>
      </c>
      <c r="AF856" s="11">
        <f t="shared" si="39"/>
        <v>0.42</v>
      </c>
      <c r="AG856" s="11">
        <f t="shared" si="40"/>
        <v>7.42</v>
      </c>
      <c r="AH856" s="11">
        <v>0</v>
      </c>
      <c r="AI856" s="11">
        <f t="shared" si="41"/>
        <v>7.42</v>
      </c>
      <c r="AJ856" t="s">
        <v>62</v>
      </c>
    </row>
    <row r="857" spans="1:36" ht="15" customHeight="1" x14ac:dyDescent="0.35">
      <c r="A857">
        <v>10428918</v>
      </c>
      <c r="B857" t="s">
        <v>36</v>
      </c>
      <c r="C857" t="s">
        <v>37</v>
      </c>
      <c r="D857" s="6" t="s">
        <v>38</v>
      </c>
      <c r="E857" t="s">
        <v>2662</v>
      </c>
      <c r="F857" t="s">
        <v>40</v>
      </c>
      <c r="G857" t="s">
        <v>41</v>
      </c>
      <c r="H857" t="s">
        <v>2663</v>
      </c>
      <c r="I857" t="s">
        <v>43</v>
      </c>
      <c r="J857">
        <v>2</v>
      </c>
      <c r="K857" t="s">
        <v>44</v>
      </c>
      <c r="L857" t="s">
        <v>45</v>
      </c>
      <c r="M857" t="s">
        <v>46</v>
      </c>
      <c r="N857" s="7">
        <v>1</v>
      </c>
      <c r="O857" s="8">
        <v>45623.78974537037</v>
      </c>
      <c r="P857" s="9">
        <v>45629</v>
      </c>
      <c r="Q857" t="s">
        <v>74</v>
      </c>
      <c r="R857" t="s">
        <v>48</v>
      </c>
      <c r="S857" t="s">
        <v>49</v>
      </c>
      <c r="T857" t="s">
        <v>65</v>
      </c>
      <c r="U857" t="s">
        <v>2664</v>
      </c>
      <c r="V857">
        <v>77300</v>
      </c>
      <c r="W857" t="s">
        <v>48</v>
      </c>
      <c r="X857" t="s">
        <v>361</v>
      </c>
      <c r="Y857" t="s">
        <v>54</v>
      </c>
      <c r="Z857" s="12">
        <f>IF(N857&lt;=1,9,9+0.8*ROUNDUP(N857-1,0))</f>
        <v>9</v>
      </c>
      <c r="AA857" s="11">
        <v>-2</v>
      </c>
      <c r="AB857" s="11">
        <v>0</v>
      </c>
      <c r="AC857" s="11">
        <v>0</v>
      </c>
      <c r="AD857" s="11">
        <v>0</v>
      </c>
      <c r="AE857" s="11">
        <v>0</v>
      </c>
      <c r="AF857" s="11">
        <f t="shared" si="39"/>
        <v>0.42</v>
      </c>
      <c r="AG857" s="11">
        <f t="shared" si="40"/>
        <v>7.42</v>
      </c>
      <c r="AH857" s="11">
        <v>0</v>
      </c>
      <c r="AI857" s="11">
        <f t="shared" si="41"/>
        <v>7.42</v>
      </c>
      <c r="AJ857" t="s">
        <v>62</v>
      </c>
    </row>
    <row r="858" spans="1:36" ht="15" customHeight="1" x14ac:dyDescent="0.35">
      <c r="A858">
        <v>10428918</v>
      </c>
      <c r="B858" t="s">
        <v>36</v>
      </c>
      <c r="C858" t="s">
        <v>37</v>
      </c>
      <c r="D858" s="6" t="s">
        <v>38</v>
      </c>
      <c r="E858" t="s">
        <v>2665</v>
      </c>
      <c r="F858" t="s">
        <v>40</v>
      </c>
      <c r="G858" t="s">
        <v>41</v>
      </c>
      <c r="H858" t="s">
        <v>2666</v>
      </c>
      <c r="I858" t="s">
        <v>43</v>
      </c>
      <c r="J858">
        <v>2</v>
      </c>
      <c r="K858" t="s">
        <v>44</v>
      </c>
      <c r="L858" t="s">
        <v>45</v>
      </c>
      <c r="M858" t="s">
        <v>46</v>
      </c>
      <c r="N858" s="7">
        <v>1</v>
      </c>
      <c r="O858" s="8">
        <v>45627.629270833335</v>
      </c>
      <c r="P858" s="9">
        <v>45629</v>
      </c>
      <c r="Q858" t="s">
        <v>74</v>
      </c>
      <c r="R858" t="s">
        <v>48</v>
      </c>
      <c r="S858" t="s">
        <v>49</v>
      </c>
      <c r="T858" t="s">
        <v>693</v>
      </c>
      <c r="U858" t="s">
        <v>2667</v>
      </c>
      <c r="V858">
        <v>2600</v>
      </c>
      <c r="W858" t="s">
        <v>48</v>
      </c>
      <c r="X858" t="s">
        <v>695</v>
      </c>
      <c r="Y858" t="s">
        <v>54</v>
      </c>
      <c r="Z858" s="12">
        <f>IF(N858&lt;=1,9,9+0.8*ROUNDUP(N858-1,0))</f>
        <v>9</v>
      </c>
      <c r="AA858" s="11">
        <v>-2</v>
      </c>
      <c r="AB858" s="11">
        <v>0</v>
      </c>
      <c r="AC858" s="11">
        <v>0</v>
      </c>
      <c r="AD858" s="11">
        <v>0</v>
      </c>
      <c r="AE858" s="11">
        <v>0</v>
      </c>
      <c r="AF858" s="11">
        <f t="shared" si="39"/>
        <v>0.42</v>
      </c>
      <c r="AG858" s="11">
        <f t="shared" si="40"/>
        <v>7.42</v>
      </c>
      <c r="AH858" s="11">
        <v>0</v>
      </c>
      <c r="AI858" s="11">
        <f t="shared" si="41"/>
        <v>7.42</v>
      </c>
      <c r="AJ858" t="s">
        <v>62</v>
      </c>
    </row>
    <row r="859" spans="1:36" ht="15" customHeight="1" x14ac:dyDescent="0.35">
      <c r="A859">
        <v>10428918</v>
      </c>
      <c r="B859" t="s">
        <v>36</v>
      </c>
      <c r="C859" t="s">
        <v>37</v>
      </c>
      <c r="D859" s="6" t="s">
        <v>38</v>
      </c>
      <c r="E859" t="s">
        <v>2668</v>
      </c>
      <c r="F859" t="s">
        <v>40</v>
      </c>
      <c r="G859" t="s">
        <v>41</v>
      </c>
      <c r="H859" t="s">
        <v>2669</v>
      </c>
      <c r="I859" t="s">
        <v>43</v>
      </c>
      <c r="J859">
        <v>2</v>
      </c>
      <c r="K859" t="s">
        <v>44</v>
      </c>
      <c r="L859" t="s">
        <v>45</v>
      </c>
      <c r="M859" t="s">
        <v>46</v>
      </c>
      <c r="N859" s="7">
        <v>1</v>
      </c>
      <c r="O859" s="8">
        <v>45626.627071759256</v>
      </c>
      <c r="P859" s="9">
        <v>45629</v>
      </c>
      <c r="Q859" t="s">
        <v>74</v>
      </c>
      <c r="R859" t="s">
        <v>48</v>
      </c>
      <c r="S859" t="s">
        <v>49</v>
      </c>
      <c r="T859" t="s">
        <v>101</v>
      </c>
      <c r="U859" t="s">
        <v>2670</v>
      </c>
      <c r="V859">
        <v>32610</v>
      </c>
      <c r="W859" t="s">
        <v>48</v>
      </c>
      <c r="X859" t="s">
        <v>53</v>
      </c>
      <c r="Y859" t="s">
        <v>54</v>
      </c>
      <c r="Z859" s="12">
        <f>IF(N859&lt;=1,9,9+0.8*ROUNDUP(N859-1,0))</f>
        <v>9</v>
      </c>
      <c r="AA859" s="11">
        <v>-2</v>
      </c>
      <c r="AB859" s="11">
        <v>0</v>
      </c>
      <c r="AC859" s="11">
        <v>0</v>
      </c>
      <c r="AD859" s="11">
        <v>0</v>
      </c>
      <c r="AE859" s="11">
        <v>0</v>
      </c>
      <c r="AF859" s="11">
        <f t="shared" si="39"/>
        <v>0.42</v>
      </c>
      <c r="AG859" s="11">
        <f t="shared" si="40"/>
        <v>7.42</v>
      </c>
      <c r="AH859" s="11">
        <v>0</v>
      </c>
      <c r="AI859" s="11">
        <f t="shared" si="41"/>
        <v>7.42</v>
      </c>
      <c r="AJ859" t="s">
        <v>62</v>
      </c>
    </row>
    <row r="860" spans="1:36" ht="15" customHeight="1" x14ac:dyDescent="0.35">
      <c r="A860">
        <v>10428918</v>
      </c>
      <c r="B860" t="s">
        <v>36</v>
      </c>
      <c r="C860" t="s">
        <v>37</v>
      </c>
      <c r="D860" s="6" t="s">
        <v>38</v>
      </c>
      <c r="E860" t="s">
        <v>2671</v>
      </c>
      <c r="F860" t="s">
        <v>40</v>
      </c>
      <c r="G860" t="s">
        <v>41</v>
      </c>
      <c r="H860" t="s">
        <v>2672</v>
      </c>
      <c r="I860" t="s">
        <v>43</v>
      </c>
      <c r="J860">
        <v>2</v>
      </c>
      <c r="K860" t="s">
        <v>44</v>
      </c>
      <c r="L860" t="s">
        <v>45</v>
      </c>
      <c r="M860" t="s">
        <v>46</v>
      </c>
      <c r="N860" s="7">
        <v>1</v>
      </c>
      <c r="O860" s="8">
        <v>45626.825902777775</v>
      </c>
      <c r="P860" s="9">
        <v>45629</v>
      </c>
      <c r="Q860" t="s">
        <v>74</v>
      </c>
      <c r="R860" t="s">
        <v>48</v>
      </c>
      <c r="S860" t="s">
        <v>49</v>
      </c>
      <c r="T860" t="s">
        <v>101</v>
      </c>
      <c r="U860" t="s">
        <v>2673</v>
      </c>
      <c r="V860">
        <v>32610</v>
      </c>
      <c r="W860" t="s">
        <v>48</v>
      </c>
      <c r="X860" t="s">
        <v>414</v>
      </c>
      <c r="Y860" t="s">
        <v>54</v>
      </c>
      <c r="Z860" s="12">
        <f>IF(N860&lt;=1,9,9+0.8*ROUNDUP(N860-1,0))</f>
        <v>9</v>
      </c>
      <c r="AA860" s="11">
        <v>-2</v>
      </c>
      <c r="AB860" s="11">
        <v>0</v>
      </c>
      <c r="AC860" s="11">
        <v>0</v>
      </c>
      <c r="AD860" s="11">
        <v>0</v>
      </c>
      <c r="AE860" s="11">
        <v>0</v>
      </c>
      <c r="AF860" s="11">
        <f t="shared" si="39"/>
        <v>0.42</v>
      </c>
      <c r="AG860" s="11">
        <f t="shared" si="40"/>
        <v>7.42</v>
      </c>
      <c r="AH860" s="11">
        <v>0</v>
      </c>
      <c r="AI860" s="11">
        <f t="shared" si="41"/>
        <v>7.42</v>
      </c>
      <c r="AJ860" t="s">
        <v>62</v>
      </c>
    </row>
    <row r="861" spans="1:36" ht="15" customHeight="1" x14ac:dyDescent="0.35">
      <c r="A861">
        <v>10428918</v>
      </c>
      <c r="B861" t="s">
        <v>36</v>
      </c>
      <c r="C861" t="s">
        <v>37</v>
      </c>
      <c r="D861" s="6" t="s">
        <v>38</v>
      </c>
      <c r="E861" t="s">
        <v>2674</v>
      </c>
      <c r="F861" t="s">
        <v>40</v>
      </c>
      <c r="G861" t="s">
        <v>41</v>
      </c>
      <c r="H861" t="s">
        <v>2675</v>
      </c>
      <c r="I861" t="s">
        <v>43</v>
      </c>
      <c r="J861">
        <v>2</v>
      </c>
      <c r="K861" t="s">
        <v>44</v>
      </c>
      <c r="L861" t="s">
        <v>45</v>
      </c>
      <c r="M861" t="s">
        <v>46</v>
      </c>
      <c r="N861" s="7">
        <v>1</v>
      </c>
      <c r="O861" s="8">
        <v>45627.422314814816</v>
      </c>
      <c r="P861" s="9">
        <v>45629</v>
      </c>
      <c r="Q861" t="s">
        <v>74</v>
      </c>
      <c r="R861" t="s">
        <v>48</v>
      </c>
      <c r="S861" t="s">
        <v>49</v>
      </c>
      <c r="T861" t="s">
        <v>117</v>
      </c>
      <c r="U861" t="s">
        <v>2676</v>
      </c>
      <c r="V861">
        <v>42200</v>
      </c>
      <c r="W861" t="s">
        <v>48</v>
      </c>
      <c r="X861" t="s">
        <v>53</v>
      </c>
      <c r="Y861" t="s">
        <v>54</v>
      </c>
      <c r="Z861" s="12">
        <f>IF(N861&lt;=1,9,9+0.8*ROUNDUP(N861-1,0))</f>
        <v>9</v>
      </c>
      <c r="AA861" s="11">
        <v>-2</v>
      </c>
      <c r="AB861" s="11">
        <v>0</v>
      </c>
      <c r="AC861" s="11">
        <v>0</v>
      </c>
      <c r="AD861" s="11">
        <v>0</v>
      </c>
      <c r="AE861" s="11">
        <v>0</v>
      </c>
      <c r="AF861" s="11">
        <f t="shared" si="39"/>
        <v>0.42</v>
      </c>
      <c r="AG861" s="11">
        <f t="shared" si="40"/>
        <v>7.42</v>
      </c>
      <c r="AH861" s="11">
        <v>0</v>
      </c>
      <c r="AI861" s="11">
        <f t="shared" si="41"/>
        <v>7.42</v>
      </c>
      <c r="AJ861" t="s">
        <v>62</v>
      </c>
    </row>
    <row r="862" spans="1:36" ht="15" customHeight="1" x14ac:dyDescent="0.35">
      <c r="A862">
        <v>10428918</v>
      </c>
      <c r="B862" t="s">
        <v>36</v>
      </c>
      <c r="C862" t="s">
        <v>37</v>
      </c>
      <c r="D862" s="6" t="s">
        <v>38</v>
      </c>
      <c r="E862" t="s">
        <v>2677</v>
      </c>
      <c r="F862" t="s">
        <v>40</v>
      </c>
      <c r="G862" t="s">
        <v>41</v>
      </c>
      <c r="H862" t="s">
        <v>2678</v>
      </c>
      <c r="I862" t="s">
        <v>43</v>
      </c>
      <c r="J862">
        <v>2</v>
      </c>
      <c r="K862" t="s">
        <v>44</v>
      </c>
      <c r="L862" t="s">
        <v>45</v>
      </c>
      <c r="M862" t="s">
        <v>46</v>
      </c>
      <c r="N862" s="7">
        <v>2</v>
      </c>
      <c r="O862" s="8">
        <v>45626.613391203704</v>
      </c>
      <c r="P862" s="9">
        <v>45629</v>
      </c>
      <c r="Q862" t="s">
        <v>74</v>
      </c>
      <c r="R862" t="s">
        <v>48</v>
      </c>
      <c r="S862" t="s">
        <v>49</v>
      </c>
      <c r="T862" t="s">
        <v>80</v>
      </c>
      <c r="U862" t="s">
        <v>2679</v>
      </c>
      <c r="V862">
        <v>9600</v>
      </c>
      <c r="W862" t="s">
        <v>48</v>
      </c>
      <c r="X862" t="s">
        <v>690</v>
      </c>
      <c r="Y862" t="s">
        <v>54</v>
      </c>
      <c r="Z862" s="12">
        <f>IF(N862&lt;=1,9,9+0.8*ROUNDUP(N862-1,0))</f>
        <v>9.8000000000000007</v>
      </c>
      <c r="AA862" s="11">
        <v>-2</v>
      </c>
      <c r="AB862" s="11">
        <v>0</v>
      </c>
      <c r="AC862" s="11">
        <v>0</v>
      </c>
      <c r="AD862" s="11">
        <v>0</v>
      </c>
      <c r="AE862" s="11">
        <v>0</v>
      </c>
      <c r="AF862" s="11">
        <f t="shared" si="39"/>
        <v>0.46800000000000003</v>
      </c>
      <c r="AG862" s="11">
        <f t="shared" si="40"/>
        <v>8.2680000000000007</v>
      </c>
      <c r="AH862" s="11">
        <v>0</v>
      </c>
      <c r="AI862" s="11">
        <f t="shared" si="41"/>
        <v>8.2680000000000007</v>
      </c>
      <c r="AJ862" t="s">
        <v>62</v>
      </c>
    </row>
    <row r="863" spans="1:36" ht="15" customHeight="1" x14ac:dyDescent="0.35">
      <c r="A863">
        <v>10428918</v>
      </c>
      <c r="B863" t="s">
        <v>36</v>
      </c>
      <c r="C863" t="s">
        <v>37</v>
      </c>
      <c r="D863" s="6" t="s">
        <v>38</v>
      </c>
      <c r="E863" t="s">
        <v>2680</v>
      </c>
      <c r="F863" t="s">
        <v>40</v>
      </c>
      <c r="G863" t="s">
        <v>41</v>
      </c>
      <c r="H863" t="s">
        <v>2681</v>
      </c>
      <c r="I863" t="s">
        <v>43</v>
      </c>
      <c r="J863">
        <v>2</v>
      </c>
      <c r="K863" t="s">
        <v>44</v>
      </c>
      <c r="L863" t="s">
        <v>45</v>
      </c>
      <c r="M863" t="s">
        <v>46</v>
      </c>
      <c r="N863" s="7">
        <v>2</v>
      </c>
      <c r="O863" s="8">
        <v>45626.828414351854</v>
      </c>
      <c r="P863" s="9">
        <v>45629</v>
      </c>
      <c r="Q863" t="s">
        <v>74</v>
      </c>
      <c r="R863" t="s">
        <v>48</v>
      </c>
      <c r="S863" t="s">
        <v>49</v>
      </c>
      <c r="T863" t="s">
        <v>75</v>
      </c>
      <c r="U863" t="s">
        <v>2682</v>
      </c>
      <c r="V863">
        <v>26600</v>
      </c>
      <c r="W863" t="s">
        <v>48</v>
      </c>
      <c r="X863" t="s">
        <v>61</v>
      </c>
      <c r="Y863" t="s">
        <v>54</v>
      </c>
      <c r="Z863" s="12">
        <f>IF(N863&lt;=1,9,9+0.8*ROUNDUP(N863-1,0))</f>
        <v>9.8000000000000007</v>
      </c>
      <c r="AA863" s="11">
        <v>-2</v>
      </c>
      <c r="AB863" s="11">
        <v>0</v>
      </c>
      <c r="AC863" s="11">
        <v>0</v>
      </c>
      <c r="AD863" s="11">
        <v>0</v>
      </c>
      <c r="AE863" s="11">
        <v>0</v>
      </c>
      <c r="AF863" s="11">
        <f t="shared" si="39"/>
        <v>0.46800000000000003</v>
      </c>
      <c r="AG863" s="11">
        <f t="shared" si="40"/>
        <v>8.2680000000000007</v>
      </c>
      <c r="AH863" s="11">
        <v>0</v>
      </c>
      <c r="AI863" s="11">
        <f t="shared" si="41"/>
        <v>8.2680000000000007</v>
      </c>
      <c r="AJ863" t="s">
        <v>62</v>
      </c>
    </row>
    <row r="864" spans="1:36" ht="15" customHeight="1" x14ac:dyDescent="0.35">
      <c r="A864">
        <v>10428918</v>
      </c>
      <c r="B864" t="s">
        <v>36</v>
      </c>
      <c r="C864" t="s">
        <v>37</v>
      </c>
      <c r="D864" s="6" t="s">
        <v>38</v>
      </c>
      <c r="E864" t="s">
        <v>2683</v>
      </c>
      <c r="F864" t="s">
        <v>40</v>
      </c>
      <c r="G864" t="s">
        <v>41</v>
      </c>
      <c r="H864" t="s">
        <v>2392</v>
      </c>
      <c r="I864" t="s">
        <v>43</v>
      </c>
      <c r="J864">
        <v>2</v>
      </c>
      <c r="K864" t="s">
        <v>44</v>
      </c>
      <c r="L864" t="s">
        <v>45</v>
      </c>
      <c r="M864" t="s">
        <v>46</v>
      </c>
      <c r="N864" s="7">
        <v>2</v>
      </c>
      <c r="O864" s="8">
        <v>45626.817083333335</v>
      </c>
      <c r="P864" s="9">
        <v>45629</v>
      </c>
      <c r="Q864" t="s">
        <v>74</v>
      </c>
      <c r="R864" t="s">
        <v>48</v>
      </c>
      <c r="S864" t="s">
        <v>49</v>
      </c>
      <c r="T864" t="s">
        <v>69</v>
      </c>
      <c r="U864" t="s">
        <v>2393</v>
      </c>
      <c r="V864">
        <v>81300</v>
      </c>
      <c r="W864" t="s">
        <v>48</v>
      </c>
      <c r="X864" t="s">
        <v>53</v>
      </c>
      <c r="Y864" t="s">
        <v>54</v>
      </c>
      <c r="Z864" s="12">
        <f>IF(N864&lt;=1,9,9+0.8*ROUNDUP(N864-1,0))</f>
        <v>9.8000000000000007</v>
      </c>
      <c r="AA864" s="11">
        <v>-2</v>
      </c>
      <c r="AB864" s="11">
        <v>0</v>
      </c>
      <c r="AC864" s="11">
        <v>0</v>
      </c>
      <c r="AD864" s="11">
        <v>0</v>
      </c>
      <c r="AE864" s="11">
        <v>0</v>
      </c>
      <c r="AF864" s="11">
        <f t="shared" si="39"/>
        <v>0.46800000000000003</v>
      </c>
      <c r="AG864" s="11">
        <f t="shared" si="40"/>
        <v>8.2680000000000007</v>
      </c>
      <c r="AH864" s="11">
        <v>0</v>
      </c>
      <c r="AI864" s="11">
        <f t="shared" si="41"/>
        <v>8.2680000000000007</v>
      </c>
      <c r="AJ864" t="s">
        <v>62</v>
      </c>
    </row>
    <row r="865" spans="1:36" ht="15" customHeight="1" x14ac:dyDescent="0.35">
      <c r="A865">
        <v>10428918</v>
      </c>
      <c r="B865" t="s">
        <v>36</v>
      </c>
      <c r="C865" t="s">
        <v>37</v>
      </c>
      <c r="D865" s="6" t="s">
        <v>38</v>
      </c>
      <c r="E865" t="s">
        <v>2684</v>
      </c>
      <c r="F865" t="s">
        <v>40</v>
      </c>
      <c r="G865" t="s">
        <v>41</v>
      </c>
      <c r="H865" t="s">
        <v>2685</v>
      </c>
      <c r="I865" t="s">
        <v>43</v>
      </c>
      <c r="J865">
        <v>2</v>
      </c>
      <c r="K865" t="s">
        <v>44</v>
      </c>
      <c r="L865" t="s">
        <v>45</v>
      </c>
      <c r="M865" t="s">
        <v>46</v>
      </c>
      <c r="N865" s="7">
        <v>1</v>
      </c>
      <c r="O865" s="8">
        <v>45626.608287037037</v>
      </c>
      <c r="P865" s="9">
        <v>45629</v>
      </c>
      <c r="Q865" t="s">
        <v>74</v>
      </c>
      <c r="R865" t="s">
        <v>48</v>
      </c>
      <c r="S865" t="s">
        <v>49</v>
      </c>
      <c r="T865" t="s">
        <v>101</v>
      </c>
      <c r="U865" t="s">
        <v>2686</v>
      </c>
      <c r="V865">
        <v>34300</v>
      </c>
      <c r="W865" t="s">
        <v>48</v>
      </c>
      <c r="X865" t="s">
        <v>53</v>
      </c>
      <c r="Y865" t="s">
        <v>54</v>
      </c>
      <c r="Z865" s="12">
        <f>IF(N865&lt;=1,9,9+0.8*ROUNDUP(N865-1,0))</f>
        <v>9</v>
      </c>
      <c r="AA865" s="11">
        <v>-2</v>
      </c>
      <c r="AB865" s="11">
        <v>0</v>
      </c>
      <c r="AC865" s="11">
        <v>0</v>
      </c>
      <c r="AD865" s="11">
        <v>0</v>
      </c>
      <c r="AE865" s="11">
        <v>0</v>
      </c>
      <c r="AF865" s="11">
        <f t="shared" si="39"/>
        <v>0.42</v>
      </c>
      <c r="AG865" s="11">
        <f t="shared" si="40"/>
        <v>7.42</v>
      </c>
      <c r="AH865" s="11">
        <v>0</v>
      </c>
      <c r="AI865" s="11">
        <f t="shared" si="41"/>
        <v>7.42</v>
      </c>
      <c r="AJ865" t="s">
        <v>62</v>
      </c>
    </row>
    <row r="866" spans="1:36" ht="15" customHeight="1" x14ac:dyDescent="0.35">
      <c r="A866">
        <v>10428918</v>
      </c>
      <c r="B866" t="s">
        <v>36</v>
      </c>
      <c r="C866" t="s">
        <v>37</v>
      </c>
      <c r="D866" s="6" t="s">
        <v>38</v>
      </c>
      <c r="E866" t="s">
        <v>2687</v>
      </c>
      <c r="F866" t="s">
        <v>40</v>
      </c>
      <c r="G866" t="s">
        <v>41</v>
      </c>
      <c r="H866" t="s">
        <v>2688</v>
      </c>
      <c r="I866" t="s">
        <v>43</v>
      </c>
      <c r="J866">
        <v>2</v>
      </c>
      <c r="K866" t="s">
        <v>44</v>
      </c>
      <c r="L866" t="s">
        <v>45</v>
      </c>
      <c r="M866" t="s">
        <v>46</v>
      </c>
      <c r="N866" s="7">
        <v>4</v>
      </c>
      <c r="O866" s="8">
        <v>45627.629270833335</v>
      </c>
      <c r="P866" s="9">
        <v>45629</v>
      </c>
      <c r="Q866" t="s">
        <v>74</v>
      </c>
      <c r="R866" t="s">
        <v>48</v>
      </c>
      <c r="S866" t="s">
        <v>49</v>
      </c>
      <c r="T866" t="s">
        <v>69</v>
      </c>
      <c r="U866" t="s">
        <v>2689</v>
      </c>
      <c r="V866">
        <v>81930</v>
      </c>
      <c r="W866" t="s">
        <v>48</v>
      </c>
      <c r="X866" t="s">
        <v>122</v>
      </c>
      <c r="Y866" t="s">
        <v>54</v>
      </c>
      <c r="Z866" s="12">
        <f>IF(N866&lt;=1,9,9+0.8*ROUNDUP(N866-1,0))</f>
        <v>11.4</v>
      </c>
      <c r="AA866" s="11">
        <v>-2</v>
      </c>
      <c r="AB866" s="11">
        <v>0</v>
      </c>
      <c r="AC866" s="11">
        <v>0</v>
      </c>
      <c r="AD866" s="11">
        <v>0</v>
      </c>
      <c r="AE866" s="11">
        <v>0</v>
      </c>
      <c r="AF866" s="11">
        <f t="shared" si="39"/>
        <v>0.56399999999999995</v>
      </c>
      <c r="AG866" s="11">
        <f t="shared" si="40"/>
        <v>9.9640000000000004</v>
      </c>
      <c r="AH866" s="11">
        <v>0</v>
      </c>
      <c r="AI866" s="11">
        <f t="shared" si="41"/>
        <v>9.9640000000000004</v>
      </c>
      <c r="AJ866" t="s">
        <v>62</v>
      </c>
    </row>
    <row r="867" spans="1:36" ht="15" customHeight="1" x14ac:dyDescent="0.35">
      <c r="A867">
        <v>10428918</v>
      </c>
      <c r="B867" t="s">
        <v>36</v>
      </c>
      <c r="C867" t="s">
        <v>37</v>
      </c>
      <c r="D867" s="6" t="s">
        <v>38</v>
      </c>
      <c r="E867" t="s">
        <v>2690</v>
      </c>
      <c r="F867" t="s">
        <v>40</v>
      </c>
      <c r="G867" t="s">
        <v>41</v>
      </c>
      <c r="H867" t="s">
        <v>2691</v>
      </c>
      <c r="I867" t="s">
        <v>43</v>
      </c>
      <c r="J867">
        <v>2</v>
      </c>
      <c r="K867" t="s">
        <v>44</v>
      </c>
      <c r="L867" t="s">
        <v>45</v>
      </c>
      <c r="M867" t="s">
        <v>46</v>
      </c>
      <c r="N867" s="7">
        <v>3</v>
      </c>
      <c r="O867" s="8">
        <v>45624.800752314812</v>
      </c>
      <c r="P867" s="9">
        <v>45629</v>
      </c>
      <c r="Q867" t="s">
        <v>74</v>
      </c>
      <c r="R867" t="s">
        <v>48</v>
      </c>
      <c r="S867" t="s">
        <v>49</v>
      </c>
      <c r="T867" t="s">
        <v>69</v>
      </c>
      <c r="U867" t="s">
        <v>2692</v>
      </c>
      <c r="V867">
        <v>81560</v>
      </c>
      <c r="W867" t="s">
        <v>48</v>
      </c>
      <c r="X867" t="s">
        <v>53</v>
      </c>
      <c r="Y867" t="s">
        <v>54</v>
      </c>
      <c r="Z867" s="12">
        <f>IF(N867&lt;=1,9,9+0.8*ROUNDUP(N867-1,0))</f>
        <v>10.6</v>
      </c>
      <c r="AA867" s="11">
        <v>-2</v>
      </c>
      <c r="AB867" s="11">
        <v>0</v>
      </c>
      <c r="AC867" s="11">
        <v>0</v>
      </c>
      <c r="AD867" s="11">
        <v>0</v>
      </c>
      <c r="AE867" s="11">
        <v>0</v>
      </c>
      <c r="AF867" s="11">
        <f t="shared" si="39"/>
        <v>0.51600000000000001</v>
      </c>
      <c r="AG867" s="11">
        <f t="shared" si="40"/>
        <v>9.1159999999999997</v>
      </c>
      <c r="AH867" s="11">
        <v>0</v>
      </c>
      <c r="AI867" s="11">
        <f t="shared" si="41"/>
        <v>9.1159999999999997</v>
      </c>
      <c r="AJ867" t="s">
        <v>62</v>
      </c>
    </row>
    <row r="868" spans="1:36" ht="15" customHeight="1" x14ac:dyDescent="0.35">
      <c r="A868">
        <v>10428918</v>
      </c>
      <c r="B868" t="s">
        <v>36</v>
      </c>
      <c r="C868" t="s">
        <v>37</v>
      </c>
      <c r="D868" s="6" t="s">
        <v>38</v>
      </c>
      <c r="E868" t="s">
        <v>2693</v>
      </c>
      <c r="F868" t="s">
        <v>40</v>
      </c>
      <c r="G868" t="s">
        <v>41</v>
      </c>
      <c r="H868" t="s">
        <v>2694</v>
      </c>
      <c r="I868" t="s">
        <v>43</v>
      </c>
      <c r="J868">
        <v>2</v>
      </c>
      <c r="K868" t="s">
        <v>44</v>
      </c>
      <c r="L868" t="s">
        <v>45</v>
      </c>
      <c r="M868" t="s">
        <v>46</v>
      </c>
      <c r="N868" s="7">
        <v>6</v>
      </c>
      <c r="O868" s="8">
        <v>45622.819537037038</v>
      </c>
      <c r="P868" s="9">
        <v>45629</v>
      </c>
      <c r="Q868" t="s">
        <v>74</v>
      </c>
      <c r="R868" t="s">
        <v>48</v>
      </c>
      <c r="S868" t="s">
        <v>49</v>
      </c>
      <c r="T868" t="s">
        <v>101</v>
      </c>
      <c r="U868" t="s">
        <v>2695</v>
      </c>
      <c r="V868">
        <v>31550</v>
      </c>
      <c r="W868" t="s">
        <v>48</v>
      </c>
      <c r="X868" t="s">
        <v>414</v>
      </c>
      <c r="Y868" t="s">
        <v>54</v>
      </c>
      <c r="Z868" s="12">
        <f>IF(N868&lt;=1,9,9+0.8*ROUNDUP(N868-1,0))</f>
        <v>13</v>
      </c>
      <c r="AA868" s="11">
        <v>-2</v>
      </c>
      <c r="AB868" s="11">
        <v>0</v>
      </c>
      <c r="AC868" s="11">
        <v>0</v>
      </c>
      <c r="AD868" s="11">
        <v>0</v>
      </c>
      <c r="AE868" s="11">
        <v>0</v>
      </c>
      <c r="AF868" s="11">
        <f t="shared" si="39"/>
        <v>0.65999999999999992</v>
      </c>
      <c r="AG868" s="11">
        <f t="shared" si="40"/>
        <v>11.66</v>
      </c>
      <c r="AH868" s="11">
        <v>0</v>
      </c>
      <c r="AI868" s="11">
        <f t="shared" si="41"/>
        <v>11.66</v>
      </c>
      <c r="AJ868" t="s">
        <v>62</v>
      </c>
    </row>
    <row r="869" spans="1:36" ht="15" customHeight="1" x14ac:dyDescent="0.35">
      <c r="A869">
        <v>10428918</v>
      </c>
      <c r="B869" t="s">
        <v>36</v>
      </c>
      <c r="C869" t="s">
        <v>37</v>
      </c>
      <c r="D869" s="6" t="s">
        <v>38</v>
      </c>
      <c r="E869" t="s">
        <v>2696</v>
      </c>
      <c r="F869" t="s">
        <v>40</v>
      </c>
      <c r="G869" t="s">
        <v>41</v>
      </c>
      <c r="H869" t="s">
        <v>2697</v>
      </c>
      <c r="I869" t="s">
        <v>43</v>
      </c>
      <c r="J869">
        <v>2</v>
      </c>
      <c r="K869" t="s">
        <v>44</v>
      </c>
      <c r="L869" t="s">
        <v>45</v>
      </c>
      <c r="M869" t="s">
        <v>46</v>
      </c>
      <c r="N869" s="7">
        <v>2</v>
      </c>
      <c r="O869" s="8">
        <v>45623.761134259257</v>
      </c>
      <c r="P869" s="9">
        <v>45629</v>
      </c>
      <c r="Q869" t="s">
        <v>74</v>
      </c>
      <c r="R869" t="s">
        <v>48</v>
      </c>
      <c r="S869" t="s">
        <v>49</v>
      </c>
      <c r="T869" t="s">
        <v>80</v>
      </c>
      <c r="U869" t="s">
        <v>2698</v>
      </c>
      <c r="V869">
        <v>6700</v>
      </c>
      <c r="W869" t="s">
        <v>48</v>
      </c>
      <c r="X869" t="s">
        <v>53</v>
      </c>
      <c r="Y869" t="s">
        <v>54</v>
      </c>
      <c r="Z869" s="12">
        <f>IF(N869&lt;=1,9,9+0.8*ROUNDUP(N869-1,0))</f>
        <v>9.8000000000000007</v>
      </c>
      <c r="AA869" s="11">
        <v>-2</v>
      </c>
      <c r="AB869" s="11">
        <v>0</v>
      </c>
      <c r="AC869" s="11">
        <v>0</v>
      </c>
      <c r="AD869" s="11">
        <v>0</v>
      </c>
      <c r="AE869" s="11">
        <v>0</v>
      </c>
      <c r="AF869" s="11">
        <f t="shared" si="39"/>
        <v>0.46800000000000003</v>
      </c>
      <c r="AG869" s="11">
        <f t="shared" si="40"/>
        <v>8.2680000000000007</v>
      </c>
      <c r="AH869" s="11">
        <v>0</v>
      </c>
      <c r="AI869" s="11">
        <f t="shared" si="41"/>
        <v>8.2680000000000007</v>
      </c>
      <c r="AJ869" t="s">
        <v>62</v>
      </c>
    </row>
    <row r="870" spans="1:36" ht="15" customHeight="1" x14ac:dyDescent="0.35">
      <c r="A870">
        <v>10428918</v>
      </c>
      <c r="B870" t="s">
        <v>36</v>
      </c>
      <c r="C870" t="s">
        <v>37</v>
      </c>
      <c r="D870" s="6" t="s">
        <v>38</v>
      </c>
      <c r="E870" t="s">
        <v>2699</v>
      </c>
      <c r="F870" t="s">
        <v>40</v>
      </c>
      <c r="G870" t="s">
        <v>41</v>
      </c>
      <c r="H870" t="s">
        <v>2700</v>
      </c>
      <c r="I870" t="s">
        <v>43</v>
      </c>
      <c r="J870">
        <v>2</v>
      </c>
      <c r="K870" t="s">
        <v>44</v>
      </c>
      <c r="L870" t="s">
        <v>45</v>
      </c>
      <c r="M870" t="s">
        <v>46</v>
      </c>
      <c r="N870" s="7">
        <v>3</v>
      </c>
      <c r="O870" s="8">
        <v>45626.805277777778</v>
      </c>
      <c r="P870" s="9">
        <v>45629</v>
      </c>
      <c r="Q870" t="s">
        <v>74</v>
      </c>
      <c r="R870" t="s">
        <v>48</v>
      </c>
      <c r="S870" t="s">
        <v>49</v>
      </c>
      <c r="T870" t="s">
        <v>161</v>
      </c>
      <c r="U870" t="s">
        <v>2701</v>
      </c>
      <c r="V870">
        <v>11920</v>
      </c>
      <c r="W870" t="s">
        <v>48</v>
      </c>
      <c r="X870" t="s">
        <v>53</v>
      </c>
      <c r="Y870" t="s">
        <v>54</v>
      </c>
      <c r="Z870" s="12">
        <f>IF(N870&lt;=1,9,9+0.8*ROUNDUP(N870-1,0))</f>
        <v>10.6</v>
      </c>
      <c r="AA870" s="11">
        <v>-2</v>
      </c>
      <c r="AB870" s="11">
        <v>0</v>
      </c>
      <c r="AC870" s="11">
        <v>0</v>
      </c>
      <c r="AD870" s="11">
        <v>0</v>
      </c>
      <c r="AE870" s="11">
        <v>0</v>
      </c>
      <c r="AF870" s="11">
        <f t="shared" si="39"/>
        <v>0.51600000000000001</v>
      </c>
      <c r="AG870" s="11">
        <f t="shared" si="40"/>
        <v>9.1159999999999997</v>
      </c>
      <c r="AH870" s="11">
        <v>0</v>
      </c>
      <c r="AI870" s="11">
        <f t="shared" si="41"/>
        <v>9.1159999999999997</v>
      </c>
      <c r="AJ870" t="s">
        <v>62</v>
      </c>
    </row>
    <row r="871" spans="1:36" ht="15" customHeight="1" x14ac:dyDescent="0.35">
      <c r="A871">
        <v>10428918</v>
      </c>
      <c r="B871" t="s">
        <v>36</v>
      </c>
      <c r="C871" t="s">
        <v>37</v>
      </c>
      <c r="D871" s="6" t="s">
        <v>38</v>
      </c>
      <c r="E871" t="s">
        <v>2702</v>
      </c>
      <c r="F871" t="s">
        <v>40</v>
      </c>
      <c r="G871" t="s">
        <v>41</v>
      </c>
      <c r="H871" t="s">
        <v>2703</v>
      </c>
      <c r="I871" t="s">
        <v>43</v>
      </c>
      <c r="J871">
        <v>2</v>
      </c>
      <c r="K871" t="s">
        <v>44</v>
      </c>
      <c r="L871" t="s">
        <v>45</v>
      </c>
      <c r="M871" t="s">
        <v>46</v>
      </c>
      <c r="N871" s="7">
        <v>1</v>
      </c>
      <c r="O871" s="8">
        <v>45622.836770833332</v>
      </c>
      <c r="P871" s="9">
        <v>45629</v>
      </c>
      <c r="Q871" t="s">
        <v>74</v>
      </c>
      <c r="R871" t="s">
        <v>48</v>
      </c>
      <c r="S871" t="s">
        <v>49</v>
      </c>
      <c r="T871" t="s">
        <v>85</v>
      </c>
      <c r="U871" t="s">
        <v>2704</v>
      </c>
      <c r="V871">
        <v>71450</v>
      </c>
      <c r="W871" t="s">
        <v>48</v>
      </c>
      <c r="X871" t="s">
        <v>114</v>
      </c>
      <c r="Y871" t="s">
        <v>54</v>
      </c>
      <c r="Z871" s="12">
        <f>IF(N871&lt;=1,9,9+0.8*ROUNDUP(N871-1,0))</f>
        <v>9</v>
      </c>
      <c r="AA871" s="11">
        <v>-2</v>
      </c>
      <c r="AB871" s="11">
        <v>0</v>
      </c>
      <c r="AC871" s="11">
        <v>0</v>
      </c>
      <c r="AD871" s="11">
        <v>0</v>
      </c>
      <c r="AE871" s="11">
        <v>0</v>
      </c>
      <c r="AF871" s="11">
        <f t="shared" si="39"/>
        <v>0.42</v>
      </c>
      <c r="AG871" s="11">
        <f t="shared" si="40"/>
        <v>7.42</v>
      </c>
      <c r="AH871" s="11">
        <v>0</v>
      </c>
      <c r="AI871" s="11">
        <f t="shared" si="41"/>
        <v>7.42</v>
      </c>
      <c r="AJ871" t="s">
        <v>62</v>
      </c>
    </row>
    <row r="872" spans="1:36" ht="15" customHeight="1" x14ac:dyDescent="0.35">
      <c r="A872">
        <v>10428918</v>
      </c>
      <c r="B872" t="s">
        <v>36</v>
      </c>
      <c r="C872" t="s">
        <v>37</v>
      </c>
      <c r="D872" s="6" t="s">
        <v>38</v>
      </c>
      <c r="E872" t="s">
        <v>2705</v>
      </c>
      <c r="F872" t="s">
        <v>40</v>
      </c>
      <c r="G872" t="s">
        <v>41</v>
      </c>
      <c r="H872" t="s">
        <v>2706</v>
      </c>
      <c r="I872" t="s">
        <v>43</v>
      </c>
      <c r="J872">
        <v>2</v>
      </c>
      <c r="K872" t="s">
        <v>44</v>
      </c>
      <c r="L872" t="s">
        <v>45</v>
      </c>
      <c r="M872" t="s">
        <v>46</v>
      </c>
      <c r="N872" s="7">
        <v>1</v>
      </c>
      <c r="O872" s="8">
        <v>45623.656655092593</v>
      </c>
      <c r="P872" s="9">
        <v>45629</v>
      </c>
      <c r="Q872" t="s">
        <v>74</v>
      </c>
      <c r="R872" t="s">
        <v>48</v>
      </c>
      <c r="S872" t="s">
        <v>49</v>
      </c>
      <c r="T872" t="s">
        <v>90</v>
      </c>
      <c r="U872" t="s">
        <v>2707</v>
      </c>
      <c r="V872">
        <v>23100</v>
      </c>
      <c r="W872" t="s">
        <v>48</v>
      </c>
      <c r="X872" t="s">
        <v>61</v>
      </c>
      <c r="Y872" t="s">
        <v>54</v>
      </c>
      <c r="Z872" s="12">
        <f>IF(N872&lt;=1,9,9+0.8*ROUNDUP(N872-1,0))</f>
        <v>9</v>
      </c>
      <c r="AA872" s="11">
        <v>-2</v>
      </c>
      <c r="AB872" s="11">
        <v>0</v>
      </c>
      <c r="AC872" s="11">
        <v>0</v>
      </c>
      <c r="AD872" s="11">
        <v>0</v>
      </c>
      <c r="AE872" s="11">
        <v>0</v>
      </c>
      <c r="AF872" s="11">
        <f t="shared" si="39"/>
        <v>0.42</v>
      </c>
      <c r="AG872" s="11">
        <f t="shared" si="40"/>
        <v>7.42</v>
      </c>
      <c r="AH872" s="11">
        <v>0</v>
      </c>
      <c r="AI872" s="11">
        <f t="shared" si="41"/>
        <v>7.42</v>
      </c>
      <c r="AJ872" t="s">
        <v>62</v>
      </c>
    </row>
    <row r="873" spans="1:36" ht="15" customHeight="1" x14ac:dyDescent="0.35">
      <c r="A873">
        <v>10428918</v>
      </c>
      <c r="B873" t="s">
        <v>36</v>
      </c>
      <c r="C873" t="s">
        <v>37</v>
      </c>
      <c r="D873" s="6" t="s">
        <v>38</v>
      </c>
      <c r="E873" t="s">
        <v>2708</v>
      </c>
      <c r="F873" t="s">
        <v>40</v>
      </c>
      <c r="G873" t="s">
        <v>41</v>
      </c>
      <c r="H873" t="s">
        <v>2709</v>
      </c>
      <c r="I873" t="s">
        <v>43</v>
      </c>
      <c r="J873">
        <v>2</v>
      </c>
      <c r="K873" t="s">
        <v>44</v>
      </c>
      <c r="L873" t="s">
        <v>45</v>
      </c>
      <c r="M873" t="s">
        <v>46</v>
      </c>
      <c r="N873" s="7">
        <v>12</v>
      </c>
      <c r="O873" s="8">
        <v>45626.767881944441</v>
      </c>
      <c r="P873" s="9">
        <v>45629</v>
      </c>
      <c r="Q873" t="s">
        <v>74</v>
      </c>
      <c r="R873" t="s">
        <v>48</v>
      </c>
      <c r="S873" t="s">
        <v>49</v>
      </c>
      <c r="T873" t="s">
        <v>117</v>
      </c>
      <c r="U873" t="s">
        <v>2710</v>
      </c>
      <c r="V873">
        <v>62050</v>
      </c>
      <c r="W873" t="s">
        <v>48</v>
      </c>
      <c r="X873" t="s">
        <v>53</v>
      </c>
      <c r="Y873" t="s">
        <v>54</v>
      </c>
      <c r="Z873" s="12">
        <f>IF(N873&lt;=1,9,9+0.8*ROUNDUP(N873-1,0))</f>
        <v>17.8</v>
      </c>
      <c r="AA873" s="11">
        <v>-2</v>
      </c>
      <c r="AB873" s="11">
        <v>0</v>
      </c>
      <c r="AC873" s="11">
        <v>0</v>
      </c>
      <c r="AD873" s="11">
        <v>0</v>
      </c>
      <c r="AE873" s="11">
        <v>0</v>
      </c>
      <c r="AF873" s="11">
        <f t="shared" si="39"/>
        <v>0.94799999999999995</v>
      </c>
      <c r="AG873" s="11">
        <f t="shared" si="40"/>
        <v>16.748000000000001</v>
      </c>
      <c r="AH873" s="11">
        <v>0</v>
      </c>
      <c r="AI873" s="11">
        <f t="shared" si="41"/>
        <v>16.748000000000001</v>
      </c>
      <c r="AJ873" t="s">
        <v>62</v>
      </c>
    </row>
    <row r="874" spans="1:36" ht="15" customHeight="1" x14ac:dyDescent="0.35">
      <c r="A874">
        <v>10428918</v>
      </c>
      <c r="B874" t="s">
        <v>36</v>
      </c>
      <c r="C874" t="s">
        <v>37</v>
      </c>
      <c r="D874" s="6" t="s">
        <v>38</v>
      </c>
      <c r="E874" t="s">
        <v>2711</v>
      </c>
      <c r="F874" t="s">
        <v>40</v>
      </c>
      <c r="G874" t="s">
        <v>41</v>
      </c>
      <c r="H874" t="s">
        <v>2303</v>
      </c>
      <c r="I874" t="s">
        <v>43</v>
      </c>
      <c r="J874">
        <v>2</v>
      </c>
      <c r="K874" t="s">
        <v>44</v>
      </c>
      <c r="L874" t="s">
        <v>45</v>
      </c>
      <c r="M874" t="s">
        <v>46</v>
      </c>
      <c r="N874" s="7">
        <v>1</v>
      </c>
      <c r="O874" s="8">
        <v>45624.665555555555</v>
      </c>
      <c r="P874" s="9">
        <v>45629</v>
      </c>
      <c r="Q874" t="s">
        <v>74</v>
      </c>
      <c r="R874" t="s">
        <v>48</v>
      </c>
      <c r="S874" t="s">
        <v>49</v>
      </c>
      <c r="T874" t="s">
        <v>65</v>
      </c>
      <c r="U874" t="s">
        <v>2712</v>
      </c>
      <c r="V874">
        <v>76100</v>
      </c>
      <c r="W874" t="s">
        <v>48</v>
      </c>
      <c r="X874" t="s">
        <v>53</v>
      </c>
      <c r="Y874" t="s">
        <v>54</v>
      </c>
      <c r="Z874" s="12">
        <f>IF(N874&lt;=1,9,9+0.8*ROUNDUP(N874-1,0))</f>
        <v>9</v>
      </c>
      <c r="AA874" s="11">
        <v>-2</v>
      </c>
      <c r="AB874" s="11">
        <v>0</v>
      </c>
      <c r="AC874" s="11">
        <v>0</v>
      </c>
      <c r="AD874" s="11">
        <v>0</v>
      </c>
      <c r="AE874" s="11">
        <v>0</v>
      </c>
      <c r="AF874" s="11">
        <f t="shared" si="39"/>
        <v>0.42</v>
      </c>
      <c r="AG874" s="11">
        <f t="shared" si="40"/>
        <v>7.42</v>
      </c>
      <c r="AH874" s="11">
        <v>0</v>
      </c>
      <c r="AI874" s="11">
        <f t="shared" si="41"/>
        <v>7.42</v>
      </c>
      <c r="AJ874" t="s">
        <v>62</v>
      </c>
    </row>
    <row r="875" spans="1:36" ht="15" customHeight="1" x14ac:dyDescent="0.35">
      <c r="A875">
        <v>10428918</v>
      </c>
      <c r="B875" t="s">
        <v>36</v>
      </c>
      <c r="C875" t="s">
        <v>37</v>
      </c>
      <c r="D875" s="6" t="s">
        <v>38</v>
      </c>
      <c r="E875" t="s">
        <v>2713</v>
      </c>
      <c r="F875" t="s">
        <v>40</v>
      </c>
      <c r="G875" t="s">
        <v>41</v>
      </c>
      <c r="H875" t="s">
        <v>2714</v>
      </c>
      <c r="I875" t="s">
        <v>43</v>
      </c>
      <c r="J875">
        <v>2</v>
      </c>
      <c r="K875" t="s">
        <v>44</v>
      </c>
      <c r="L875" t="s">
        <v>45</v>
      </c>
      <c r="M875" t="s">
        <v>46</v>
      </c>
      <c r="N875" s="7">
        <v>3</v>
      </c>
      <c r="O875" s="8">
        <v>45627.408796296295</v>
      </c>
      <c r="P875" s="9">
        <v>45629</v>
      </c>
      <c r="Q875" t="s">
        <v>74</v>
      </c>
      <c r="R875" t="s">
        <v>48</v>
      </c>
      <c r="S875" t="s">
        <v>49</v>
      </c>
      <c r="T875" t="s">
        <v>59</v>
      </c>
      <c r="U875" t="s">
        <v>2715</v>
      </c>
      <c r="V875">
        <v>18300</v>
      </c>
      <c r="W875" t="s">
        <v>48</v>
      </c>
      <c r="X875" t="s">
        <v>831</v>
      </c>
      <c r="Y875" t="s">
        <v>54</v>
      </c>
      <c r="Z875" s="12">
        <f>IF(N875&lt;=1,9,9+0.8*ROUNDUP(N875-1,0))</f>
        <v>10.6</v>
      </c>
      <c r="AA875" s="11">
        <v>-2</v>
      </c>
      <c r="AB875" s="11">
        <v>0</v>
      </c>
      <c r="AC875" s="11">
        <v>0</v>
      </c>
      <c r="AD875" s="11">
        <v>0</v>
      </c>
      <c r="AE875" s="11">
        <v>0</v>
      </c>
      <c r="AF875" s="11">
        <f t="shared" si="39"/>
        <v>0.51600000000000001</v>
      </c>
      <c r="AG875" s="11">
        <f t="shared" si="40"/>
        <v>9.1159999999999997</v>
      </c>
      <c r="AH875" s="11">
        <v>0</v>
      </c>
      <c r="AI875" s="11">
        <f t="shared" si="41"/>
        <v>9.1159999999999997</v>
      </c>
      <c r="AJ875" t="s">
        <v>62</v>
      </c>
    </row>
    <row r="876" spans="1:36" ht="15" customHeight="1" x14ac:dyDescent="0.35">
      <c r="A876">
        <v>10428918</v>
      </c>
      <c r="B876" t="s">
        <v>36</v>
      </c>
      <c r="C876" t="s">
        <v>37</v>
      </c>
      <c r="D876" s="6" t="s">
        <v>38</v>
      </c>
      <c r="E876" t="s">
        <v>2716</v>
      </c>
      <c r="F876" t="s">
        <v>40</v>
      </c>
      <c r="G876" t="s">
        <v>41</v>
      </c>
      <c r="H876" t="s">
        <v>2717</v>
      </c>
      <c r="I876" t="s">
        <v>43</v>
      </c>
      <c r="J876">
        <v>2</v>
      </c>
      <c r="K876" t="s">
        <v>44</v>
      </c>
      <c r="L876" t="s">
        <v>45</v>
      </c>
      <c r="M876" t="s">
        <v>46</v>
      </c>
      <c r="N876" s="7">
        <v>2</v>
      </c>
      <c r="O876" s="8">
        <v>45626.805277777778</v>
      </c>
      <c r="P876" s="9">
        <v>45629</v>
      </c>
      <c r="Q876" t="s">
        <v>74</v>
      </c>
      <c r="R876" t="s">
        <v>48</v>
      </c>
      <c r="S876" t="s">
        <v>49</v>
      </c>
      <c r="T876" t="s">
        <v>161</v>
      </c>
      <c r="U876" t="s">
        <v>2718</v>
      </c>
      <c r="V876">
        <v>13700</v>
      </c>
      <c r="W876" t="s">
        <v>48</v>
      </c>
      <c r="X876" t="s">
        <v>418</v>
      </c>
      <c r="Y876" t="s">
        <v>54</v>
      </c>
      <c r="Z876" s="12">
        <f>IF(N876&lt;=1,9,9+0.8*ROUNDUP(N876-1,0))</f>
        <v>9.8000000000000007</v>
      </c>
      <c r="AA876" s="11">
        <v>-2</v>
      </c>
      <c r="AB876" s="11">
        <v>0</v>
      </c>
      <c r="AC876" s="11">
        <v>0</v>
      </c>
      <c r="AD876" s="11">
        <v>0</v>
      </c>
      <c r="AE876" s="11">
        <v>0</v>
      </c>
      <c r="AF876" s="11">
        <f t="shared" si="39"/>
        <v>0.46800000000000003</v>
      </c>
      <c r="AG876" s="11">
        <f t="shared" si="40"/>
        <v>8.2680000000000007</v>
      </c>
      <c r="AH876" s="11">
        <v>0</v>
      </c>
      <c r="AI876" s="11">
        <f t="shared" si="41"/>
        <v>8.2680000000000007</v>
      </c>
      <c r="AJ876" t="s">
        <v>62</v>
      </c>
    </row>
    <row r="877" spans="1:36" ht="15" customHeight="1" x14ac:dyDescent="0.35">
      <c r="A877">
        <v>10428918</v>
      </c>
      <c r="B877" t="s">
        <v>36</v>
      </c>
      <c r="C877" t="s">
        <v>37</v>
      </c>
      <c r="D877" s="6" t="s">
        <v>38</v>
      </c>
      <c r="E877" t="s">
        <v>2719</v>
      </c>
      <c r="F877" t="s">
        <v>40</v>
      </c>
      <c r="G877" t="s">
        <v>41</v>
      </c>
      <c r="H877" t="s">
        <v>2303</v>
      </c>
      <c r="I877" t="s">
        <v>43</v>
      </c>
      <c r="J877">
        <v>2</v>
      </c>
      <c r="K877" t="s">
        <v>44</v>
      </c>
      <c r="L877" t="s">
        <v>45</v>
      </c>
      <c r="M877" t="s">
        <v>46</v>
      </c>
      <c r="N877" s="7">
        <v>2</v>
      </c>
      <c r="O877" s="8">
        <v>45626.694687499999</v>
      </c>
      <c r="P877" s="9">
        <v>45629</v>
      </c>
      <c r="Q877" t="s">
        <v>74</v>
      </c>
      <c r="R877" t="s">
        <v>48</v>
      </c>
      <c r="S877" t="s">
        <v>49</v>
      </c>
      <c r="T877" t="s">
        <v>65</v>
      </c>
      <c r="U877" t="s">
        <v>2720</v>
      </c>
      <c r="V877">
        <v>76100</v>
      </c>
      <c r="W877" t="s">
        <v>48</v>
      </c>
      <c r="X877" t="s">
        <v>448</v>
      </c>
      <c r="Y877" t="s">
        <v>54</v>
      </c>
      <c r="Z877" s="12">
        <f>IF(N877&lt;=1,9,9+0.8*ROUNDUP(N877-1,0))</f>
        <v>9.8000000000000007</v>
      </c>
      <c r="AA877" s="11">
        <v>-2</v>
      </c>
      <c r="AB877" s="11">
        <v>0</v>
      </c>
      <c r="AC877" s="11">
        <v>0</v>
      </c>
      <c r="AD877" s="11">
        <v>0</v>
      </c>
      <c r="AE877" s="11">
        <v>0</v>
      </c>
      <c r="AF877" s="11">
        <f t="shared" si="39"/>
        <v>0.46800000000000003</v>
      </c>
      <c r="AG877" s="11">
        <f t="shared" si="40"/>
        <v>8.2680000000000007</v>
      </c>
      <c r="AH877" s="11">
        <v>0</v>
      </c>
      <c r="AI877" s="11">
        <f t="shared" si="41"/>
        <v>8.2680000000000007</v>
      </c>
      <c r="AJ877" t="s">
        <v>62</v>
      </c>
    </row>
    <row r="878" spans="1:36" ht="15" customHeight="1" x14ac:dyDescent="0.35">
      <c r="A878">
        <v>10428918</v>
      </c>
      <c r="B878" t="s">
        <v>36</v>
      </c>
      <c r="C878" t="s">
        <v>37</v>
      </c>
      <c r="D878" s="6" t="s">
        <v>38</v>
      </c>
      <c r="E878" t="s">
        <v>2721</v>
      </c>
      <c r="F878" t="s">
        <v>40</v>
      </c>
      <c r="G878" t="s">
        <v>41</v>
      </c>
      <c r="H878" t="s">
        <v>605</v>
      </c>
      <c r="I878" t="s">
        <v>43</v>
      </c>
      <c r="J878">
        <v>2</v>
      </c>
      <c r="K878" t="s">
        <v>44</v>
      </c>
      <c r="L878" t="s">
        <v>45</v>
      </c>
      <c r="M878" t="s">
        <v>46</v>
      </c>
      <c r="N878" s="7">
        <v>2</v>
      </c>
      <c r="O878" s="8">
        <v>45626.817083333335</v>
      </c>
      <c r="P878" s="9">
        <v>45629</v>
      </c>
      <c r="Q878" t="s">
        <v>74</v>
      </c>
      <c r="R878" t="s">
        <v>48</v>
      </c>
      <c r="S878" t="s">
        <v>49</v>
      </c>
      <c r="T878" t="s">
        <v>59</v>
      </c>
      <c r="U878" t="s">
        <v>606</v>
      </c>
      <c r="V878">
        <v>18300</v>
      </c>
      <c r="W878" t="s">
        <v>48</v>
      </c>
      <c r="X878" t="s">
        <v>61</v>
      </c>
      <c r="Y878" t="s">
        <v>54</v>
      </c>
      <c r="Z878" s="12">
        <f>IF(N878&lt;=1,9,9+0.8*ROUNDUP(N878-1,0))</f>
        <v>9.8000000000000007</v>
      </c>
      <c r="AA878" s="11">
        <v>-2</v>
      </c>
      <c r="AB878" s="11">
        <v>0</v>
      </c>
      <c r="AC878" s="11">
        <v>0</v>
      </c>
      <c r="AD878" s="11">
        <v>0</v>
      </c>
      <c r="AE878" s="11">
        <v>0</v>
      </c>
      <c r="AF878" s="11">
        <f t="shared" si="39"/>
        <v>0.46800000000000003</v>
      </c>
      <c r="AG878" s="11">
        <f t="shared" si="40"/>
        <v>8.2680000000000007</v>
      </c>
      <c r="AH878" s="11">
        <v>0</v>
      </c>
      <c r="AI878" s="11">
        <f t="shared" si="41"/>
        <v>8.2680000000000007</v>
      </c>
      <c r="AJ878" t="s">
        <v>62</v>
      </c>
    </row>
    <row r="879" spans="1:36" ht="15" customHeight="1" x14ac:dyDescent="0.35">
      <c r="A879">
        <v>10428918</v>
      </c>
      <c r="B879" t="s">
        <v>36</v>
      </c>
      <c r="C879" t="s">
        <v>37</v>
      </c>
      <c r="D879" s="6" t="s">
        <v>38</v>
      </c>
      <c r="E879" t="s">
        <v>2722</v>
      </c>
      <c r="F879" t="s">
        <v>40</v>
      </c>
      <c r="G879" t="s">
        <v>41</v>
      </c>
      <c r="H879" t="s">
        <v>2723</v>
      </c>
      <c r="I879" t="s">
        <v>43</v>
      </c>
      <c r="J879">
        <v>2</v>
      </c>
      <c r="K879" t="s">
        <v>44</v>
      </c>
      <c r="L879" t="s">
        <v>45</v>
      </c>
      <c r="M879" t="s">
        <v>46</v>
      </c>
      <c r="N879" s="7">
        <v>1</v>
      </c>
      <c r="O879" s="8">
        <v>45622.851111111115</v>
      </c>
      <c r="P879" s="9">
        <v>45629</v>
      </c>
      <c r="Q879" t="s">
        <v>74</v>
      </c>
      <c r="R879" t="s">
        <v>48</v>
      </c>
      <c r="S879" t="s">
        <v>49</v>
      </c>
      <c r="T879" t="s">
        <v>117</v>
      </c>
      <c r="U879" t="s">
        <v>2724</v>
      </c>
      <c r="V879">
        <v>43800</v>
      </c>
      <c r="W879" t="s">
        <v>48</v>
      </c>
      <c r="X879" t="s">
        <v>53</v>
      </c>
      <c r="Y879" t="s">
        <v>54</v>
      </c>
      <c r="Z879" s="12">
        <f>IF(N879&lt;=1,9,9+0.8*ROUNDUP(N879-1,0))</f>
        <v>9</v>
      </c>
      <c r="AA879" s="11">
        <v>-2</v>
      </c>
      <c r="AB879" s="11">
        <v>0</v>
      </c>
      <c r="AC879" s="11">
        <v>0</v>
      </c>
      <c r="AD879" s="11">
        <v>0</v>
      </c>
      <c r="AE879" s="11">
        <v>0</v>
      </c>
      <c r="AF879" s="11">
        <f t="shared" si="39"/>
        <v>0.42</v>
      </c>
      <c r="AG879" s="11">
        <f t="shared" si="40"/>
        <v>7.42</v>
      </c>
      <c r="AH879" s="11">
        <v>0</v>
      </c>
      <c r="AI879" s="11">
        <f t="shared" si="41"/>
        <v>7.42</v>
      </c>
      <c r="AJ879" t="s">
        <v>62</v>
      </c>
    </row>
    <row r="880" spans="1:36" ht="15" customHeight="1" x14ac:dyDescent="0.35">
      <c r="A880">
        <v>10428918</v>
      </c>
      <c r="B880" t="s">
        <v>36</v>
      </c>
      <c r="C880" t="s">
        <v>37</v>
      </c>
      <c r="D880" s="6" t="s">
        <v>38</v>
      </c>
      <c r="E880" t="s">
        <v>2725</v>
      </c>
      <c r="F880" t="s">
        <v>40</v>
      </c>
      <c r="G880" t="s">
        <v>41</v>
      </c>
      <c r="H880" t="s">
        <v>2726</v>
      </c>
      <c r="I880" t="s">
        <v>43</v>
      </c>
      <c r="J880">
        <v>2</v>
      </c>
      <c r="K880" t="s">
        <v>44</v>
      </c>
      <c r="L880" t="s">
        <v>45</v>
      </c>
      <c r="M880" t="s">
        <v>46</v>
      </c>
      <c r="N880" s="7">
        <v>1</v>
      </c>
      <c r="O880" s="8">
        <v>45627.422314814816</v>
      </c>
      <c r="P880" s="9">
        <v>45629</v>
      </c>
      <c r="Q880" t="s">
        <v>74</v>
      </c>
      <c r="R880" t="s">
        <v>48</v>
      </c>
      <c r="S880" t="s">
        <v>49</v>
      </c>
      <c r="T880" t="s">
        <v>85</v>
      </c>
      <c r="U880" t="s">
        <v>2727</v>
      </c>
      <c r="V880">
        <v>71800</v>
      </c>
      <c r="W880" t="s">
        <v>48</v>
      </c>
      <c r="X880" t="s">
        <v>53</v>
      </c>
      <c r="Y880" t="s">
        <v>54</v>
      </c>
      <c r="Z880" s="12">
        <f>IF(N880&lt;=1,9,9+0.8*ROUNDUP(N880-1,0))</f>
        <v>9</v>
      </c>
      <c r="AA880" s="11">
        <v>-2</v>
      </c>
      <c r="AB880" s="11">
        <v>0</v>
      </c>
      <c r="AC880" s="11">
        <v>0</v>
      </c>
      <c r="AD880" s="11">
        <v>0</v>
      </c>
      <c r="AE880" s="11">
        <v>0</v>
      </c>
      <c r="AF880" s="11">
        <f t="shared" si="39"/>
        <v>0.42</v>
      </c>
      <c r="AG880" s="11">
        <f t="shared" si="40"/>
        <v>7.42</v>
      </c>
      <c r="AH880" s="11">
        <v>0</v>
      </c>
      <c r="AI880" s="11">
        <f t="shared" si="41"/>
        <v>7.42</v>
      </c>
      <c r="AJ880" t="s">
        <v>62</v>
      </c>
    </row>
    <row r="881" spans="1:36" ht="15" customHeight="1" x14ac:dyDescent="0.35">
      <c r="A881">
        <v>10428918</v>
      </c>
      <c r="B881" t="s">
        <v>36</v>
      </c>
      <c r="C881" t="s">
        <v>37</v>
      </c>
      <c r="D881" s="6" t="s">
        <v>38</v>
      </c>
      <c r="E881" t="s">
        <v>2728</v>
      </c>
      <c r="F881" t="s">
        <v>40</v>
      </c>
      <c r="G881" t="s">
        <v>41</v>
      </c>
      <c r="H881" t="s">
        <v>2729</v>
      </c>
      <c r="I881" t="s">
        <v>43</v>
      </c>
      <c r="J881">
        <v>2</v>
      </c>
      <c r="K881" t="s">
        <v>44</v>
      </c>
      <c r="L881" t="s">
        <v>45</v>
      </c>
      <c r="M881" t="s">
        <v>46</v>
      </c>
      <c r="N881" s="7">
        <v>1</v>
      </c>
      <c r="O881" s="8">
        <v>45623.78974537037</v>
      </c>
      <c r="P881" s="9">
        <v>45629</v>
      </c>
      <c r="Q881" t="s">
        <v>74</v>
      </c>
      <c r="R881" t="s">
        <v>48</v>
      </c>
      <c r="S881" t="s">
        <v>49</v>
      </c>
      <c r="T881" t="s">
        <v>69</v>
      </c>
      <c r="U881" t="s">
        <v>2730</v>
      </c>
      <c r="V881">
        <v>86000</v>
      </c>
      <c r="W881" t="s">
        <v>48</v>
      </c>
      <c r="X881" t="s">
        <v>361</v>
      </c>
      <c r="Y881" t="s">
        <v>54</v>
      </c>
      <c r="Z881" s="12">
        <f>IF(N881&lt;=1,9,9+0.8*ROUNDUP(N881-1,0))</f>
        <v>9</v>
      </c>
      <c r="AA881" s="11">
        <v>-2</v>
      </c>
      <c r="AB881" s="11">
        <v>0</v>
      </c>
      <c r="AC881" s="11">
        <v>0</v>
      </c>
      <c r="AD881" s="11">
        <v>0</v>
      </c>
      <c r="AE881" s="11">
        <v>0</v>
      </c>
      <c r="AF881" s="11">
        <f t="shared" si="39"/>
        <v>0.42</v>
      </c>
      <c r="AG881" s="11">
        <f t="shared" si="40"/>
        <v>7.42</v>
      </c>
      <c r="AH881" s="11">
        <v>0</v>
      </c>
      <c r="AI881" s="11">
        <f t="shared" si="41"/>
        <v>7.42</v>
      </c>
      <c r="AJ881" t="s">
        <v>62</v>
      </c>
    </row>
    <row r="882" spans="1:36" ht="15" customHeight="1" x14ac:dyDescent="0.35">
      <c r="A882">
        <v>10428918</v>
      </c>
      <c r="B882" t="s">
        <v>36</v>
      </c>
      <c r="C882" t="s">
        <v>37</v>
      </c>
      <c r="D882" s="6" t="s">
        <v>38</v>
      </c>
      <c r="E882" t="s">
        <v>2731</v>
      </c>
      <c r="F882" t="s">
        <v>40</v>
      </c>
      <c r="G882" t="s">
        <v>41</v>
      </c>
      <c r="H882" t="s">
        <v>450</v>
      </c>
      <c r="I882" t="s">
        <v>43</v>
      </c>
      <c r="J882">
        <v>2</v>
      </c>
      <c r="K882" t="s">
        <v>44</v>
      </c>
      <c r="L882" t="s">
        <v>45</v>
      </c>
      <c r="M882" t="s">
        <v>46</v>
      </c>
      <c r="N882" s="7">
        <v>2</v>
      </c>
      <c r="O882" s="8">
        <v>45628.526446759257</v>
      </c>
      <c r="P882" s="9">
        <v>45629</v>
      </c>
      <c r="Q882" t="s">
        <v>74</v>
      </c>
      <c r="R882" t="s">
        <v>48</v>
      </c>
      <c r="S882" t="s">
        <v>49</v>
      </c>
      <c r="T882" t="s">
        <v>90</v>
      </c>
      <c r="U882" t="s">
        <v>2732</v>
      </c>
      <c r="V882">
        <v>23000</v>
      </c>
      <c r="W882" t="s">
        <v>48</v>
      </c>
      <c r="X882" t="s">
        <v>92</v>
      </c>
      <c r="Y882" t="s">
        <v>54</v>
      </c>
      <c r="Z882" s="12">
        <f>IF(N882&lt;=1,9,9+0.8*ROUNDUP(N882-1,0))</f>
        <v>9.8000000000000007</v>
      </c>
      <c r="AA882" s="11">
        <v>-2</v>
      </c>
      <c r="AB882" s="11">
        <v>0</v>
      </c>
      <c r="AC882" s="11">
        <v>0</v>
      </c>
      <c r="AD882" s="11">
        <v>0</v>
      </c>
      <c r="AE882" s="11">
        <v>0</v>
      </c>
      <c r="AF882" s="11">
        <f t="shared" si="39"/>
        <v>0.46800000000000003</v>
      </c>
      <c r="AG882" s="11">
        <f t="shared" si="40"/>
        <v>8.2680000000000007</v>
      </c>
      <c r="AH882" s="11">
        <v>0</v>
      </c>
      <c r="AI882" s="11">
        <f t="shared" si="41"/>
        <v>8.2680000000000007</v>
      </c>
      <c r="AJ882" t="s">
        <v>62</v>
      </c>
    </row>
    <row r="883" spans="1:36" ht="15" customHeight="1" x14ac:dyDescent="0.35">
      <c r="A883">
        <v>10428918</v>
      </c>
      <c r="B883" t="s">
        <v>36</v>
      </c>
      <c r="C883" t="s">
        <v>37</v>
      </c>
      <c r="D883" s="6" t="s">
        <v>38</v>
      </c>
      <c r="E883" t="s">
        <v>2733</v>
      </c>
      <c r="F883" t="s">
        <v>40</v>
      </c>
      <c r="G883" t="s">
        <v>41</v>
      </c>
      <c r="H883" t="s">
        <v>2734</v>
      </c>
      <c r="I883" t="s">
        <v>43</v>
      </c>
      <c r="J883">
        <v>2</v>
      </c>
      <c r="K883" t="s">
        <v>44</v>
      </c>
      <c r="L883" t="s">
        <v>45</v>
      </c>
      <c r="M883" t="s">
        <v>46</v>
      </c>
      <c r="N883" s="7">
        <v>1</v>
      </c>
      <c r="O883" s="8">
        <v>45626.679039351853</v>
      </c>
      <c r="P883" s="9">
        <v>45629</v>
      </c>
      <c r="Q883" t="s">
        <v>74</v>
      </c>
      <c r="R883" t="s">
        <v>48</v>
      </c>
      <c r="S883" t="s">
        <v>49</v>
      </c>
      <c r="T883" t="s">
        <v>59</v>
      </c>
      <c r="U883" t="s">
        <v>2735</v>
      </c>
      <c r="V883">
        <v>17030</v>
      </c>
      <c r="W883" t="s">
        <v>48</v>
      </c>
      <c r="X883" t="s">
        <v>61</v>
      </c>
      <c r="Y883" t="s">
        <v>54</v>
      </c>
      <c r="Z883" s="12">
        <f>IF(N883&lt;=1,9,9+0.8*ROUNDUP(N883-1,0))</f>
        <v>9</v>
      </c>
      <c r="AA883" s="11">
        <v>-2</v>
      </c>
      <c r="AB883" s="11">
        <v>0</v>
      </c>
      <c r="AC883" s="11">
        <v>0</v>
      </c>
      <c r="AD883" s="11">
        <v>0</v>
      </c>
      <c r="AE883" s="11">
        <v>0</v>
      </c>
      <c r="AF883" s="11">
        <f t="shared" si="39"/>
        <v>0.42</v>
      </c>
      <c r="AG883" s="11">
        <f t="shared" si="40"/>
        <v>7.42</v>
      </c>
      <c r="AH883" s="11">
        <v>0</v>
      </c>
      <c r="AI883" s="11">
        <f t="shared" si="41"/>
        <v>7.42</v>
      </c>
      <c r="AJ883" t="s">
        <v>62</v>
      </c>
    </row>
    <row r="884" spans="1:36" ht="15" customHeight="1" x14ac:dyDescent="0.35">
      <c r="A884">
        <v>10428918</v>
      </c>
      <c r="B884" t="s">
        <v>36</v>
      </c>
      <c r="C884" t="s">
        <v>37</v>
      </c>
      <c r="D884" s="6" t="s">
        <v>38</v>
      </c>
      <c r="E884" t="s">
        <v>2736</v>
      </c>
      <c r="F884" t="s">
        <v>40</v>
      </c>
      <c r="G884" t="s">
        <v>41</v>
      </c>
      <c r="H884" t="s">
        <v>2737</v>
      </c>
      <c r="I884" t="s">
        <v>43</v>
      </c>
      <c r="J884">
        <v>2</v>
      </c>
      <c r="K884" t="s">
        <v>44</v>
      </c>
      <c r="L884" t="s">
        <v>45</v>
      </c>
      <c r="M884" t="s">
        <v>46</v>
      </c>
      <c r="N884" s="7">
        <v>14</v>
      </c>
      <c r="O884" s="8">
        <v>45628.417615740742</v>
      </c>
      <c r="P884" s="9">
        <v>45629</v>
      </c>
      <c r="Q884" t="s">
        <v>74</v>
      </c>
      <c r="R884" t="s">
        <v>48</v>
      </c>
      <c r="S884" t="s">
        <v>49</v>
      </c>
      <c r="T884" t="s">
        <v>75</v>
      </c>
      <c r="U884" t="s">
        <v>2738</v>
      </c>
      <c r="V884">
        <v>28200</v>
      </c>
      <c r="W884" t="s">
        <v>48</v>
      </c>
      <c r="X884" t="s">
        <v>1718</v>
      </c>
      <c r="Y884" t="s">
        <v>54</v>
      </c>
      <c r="Z884" s="12">
        <f>IF(N884&lt;=1,9,9+0.8*ROUNDUP(N884-1,0))</f>
        <v>19.399999999999999</v>
      </c>
      <c r="AA884" s="11">
        <v>-2</v>
      </c>
      <c r="AB884" s="11">
        <v>0</v>
      </c>
      <c r="AC884" s="11">
        <v>0</v>
      </c>
      <c r="AD884" s="11">
        <v>0</v>
      </c>
      <c r="AE884" s="11">
        <v>0</v>
      </c>
      <c r="AF884" s="11">
        <f t="shared" si="39"/>
        <v>1.0439999999999998</v>
      </c>
      <c r="AG884" s="11">
        <f t="shared" si="40"/>
        <v>18.443999999999999</v>
      </c>
      <c r="AH884" s="11">
        <v>0</v>
      </c>
      <c r="AI884" s="11">
        <f t="shared" si="41"/>
        <v>18.443999999999999</v>
      </c>
      <c r="AJ884" t="s">
        <v>62</v>
      </c>
    </row>
    <row r="885" spans="1:36" ht="15" customHeight="1" x14ac:dyDescent="0.35">
      <c r="A885">
        <v>10428918</v>
      </c>
      <c r="B885" t="s">
        <v>36</v>
      </c>
      <c r="C885" t="s">
        <v>37</v>
      </c>
      <c r="D885" s="6" t="s">
        <v>38</v>
      </c>
      <c r="E885" t="s">
        <v>2739</v>
      </c>
      <c r="F885" t="s">
        <v>40</v>
      </c>
      <c r="G885" t="s">
        <v>41</v>
      </c>
      <c r="H885" t="s">
        <v>246</v>
      </c>
      <c r="I885" t="s">
        <v>43</v>
      </c>
      <c r="J885">
        <v>2</v>
      </c>
      <c r="K885" t="s">
        <v>44</v>
      </c>
      <c r="L885" t="s">
        <v>45</v>
      </c>
      <c r="M885" t="s">
        <v>46</v>
      </c>
      <c r="N885" s="7">
        <v>1</v>
      </c>
      <c r="O885" s="8">
        <v>45626.619305555556</v>
      </c>
      <c r="P885" s="9">
        <v>45629</v>
      </c>
      <c r="Q885" t="s">
        <v>74</v>
      </c>
      <c r="R885" t="s">
        <v>48</v>
      </c>
      <c r="S885" t="s">
        <v>49</v>
      </c>
      <c r="T885" t="s">
        <v>69</v>
      </c>
      <c r="U885" t="s">
        <v>2740</v>
      </c>
      <c r="V885">
        <v>86000</v>
      </c>
      <c r="W885" t="s">
        <v>48</v>
      </c>
      <c r="X885" t="s">
        <v>613</v>
      </c>
      <c r="Y885" t="s">
        <v>54</v>
      </c>
      <c r="Z885" s="12">
        <f>IF(N885&lt;=1,9,9+0.8*ROUNDUP(N885-1,0))</f>
        <v>9</v>
      </c>
      <c r="AA885" s="11">
        <v>-2</v>
      </c>
      <c r="AB885" s="11">
        <v>0</v>
      </c>
      <c r="AC885" s="11">
        <v>0</v>
      </c>
      <c r="AD885" s="11">
        <v>0</v>
      </c>
      <c r="AE885" s="11">
        <v>0</v>
      </c>
      <c r="AF885" s="11">
        <f t="shared" si="39"/>
        <v>0.42</v>
      </c>
      <c r="AG885" s="11">
        <f t="shared" si="40"/>
        <v>7.42</v>
      </c>
      <c r="AH885" s="11">
        <v>0</v>
      </c>
      <c r="AI885" s="11">
        <f t="shared" si="41"/>
        <v>7.42</v>
      </c>
      <c r="AJ885" t="s">
        <v>62</v>
      </c>
    </row>
    <row r="886" spans="1:36" ht="15" customHeight="1" x14ac:dyDescent="0.35">
      <c r="A886">
        <v>10428918</v>
      </c>
      <c r="B886" t="s">
        <v>36</v>
      </c>
      <c r="C886" t="s">
        <v>37</v>
      </c>
      <c r="D886" s="6" t="s">
        <v>38</v>
      </c>
      <c r="E886" t="s">
        <v>2741</v>
      </c>
      <c r="F886" t="s">
        <v>40</v>
      </c>
      <c r="G886" t="s">
        <v>41</v>
      </c>
      <c r="H886" t="s">
        <v>2742</v>
      </c>
      <c r="I886" t="s">
        <v>43</v>
      </c>
      <c r="J886">
        <v>2</v>
      </c>
      <c r="K886" t="s">
        <v>44</v>
      </c>
      <c r="L886" t="s">
        <v>45</v>
      </c>
      <c r="M886" t="s">
        <v>46</v>
      </c>
      <c r="N886" s="7">
        <v>1</v>
      </c>
      <c r="O886" s="8">
        <v>45626.825902777775</v>
      </c>
      <c r="P886" s="9">
        <v>45629</v>
      </c>
      <c r="Q886" t="s">
        <v>74</v>
      </c>
      <c r="R886" t="s">
        <v>48</v>
      </c>
      <c r="S886" t="s">
        <v>49</v>
      </c>
      <c r="T886" t="s">
        <v>80</v>
      </c>
      <c r="U886" t="s">
        <v>2743</v>
      </c>
      <c r="V886">
        <v>8000</v>
      </c>
      <c r="W886" t="s">
        <v>48</v>
      </c>
      <c r="X886" t="s">
        <v>145</v>
      </c>
      <c r="Y886" t="s">
        <v>54</v>
      </c>
      <c r="Z886" s="12">
        <f>IF(N886&lt;=1,9,9+0.8*ROUNDUP(N886-1,0))</f>
        <v>9</v>
      </c>
      <c r="AA886" s="11">
        <v>-2</v>
      </c>
      <c r="AB886" s="11">
        <v>0</v>
      </c>
      <c r="AC886" s="11">
        <v>0</v>
      </c>
      <c r="AD886" s="11">
        <v>0</v>
      </c>
      <c r="AE886" s="11">
        <v>0</v>
      </c>
      <c r="AF886" s="11">
        <f t="shared" si="39"/>
        <v>0.42</v>
      </c>
      <c r="AG886" s="11">
        <f t="shared" si="40"/>
        <v>7.42</v>
      </c>
      <c r="AH886" s="11">
        <v>0</v>
      </c>
      <c r="AI886" s="11">
        <f t="shared" si="41"/>
        <v>7.42</v>
      </c>
      <c r="AJ886" t="s">
        <v>62</v>
      </c>
    </row>
    <row r="887" spans="1:36" ht="15" customHeight="1" x14ac:dyDescent="0.35">
      <c r="A887">
        <v>10428918</v>
      </c>
      <c r="B887" t="s">
        <v>36</v>
      </c>
      <c r="C887" t="s">
        <v>37</v>
      </c>
      <c r="D887" s="6" t="s">
        <v>38</v>
      </c>
      <c r="E887" t="s">
        <v>2744</v>
      </c>
      <c r="F887" t="s">
        <v>40</v>
      </c>
      <c r="G887" t="s">
        <v>41</v>
      </c>
      <c r="H887" t="s">
        <v>2745</v>
      </c>
      <c r="I887" t="s">
        <v>43</v>
      </c>
      <c r="J887">
        <v>2</v>
      </c>
      <c r="K887" t="s">
        <v>44</v>
      </c>
      <c r="L887" t="s">
        <v>45</v>
      </c>
      <c r="M887" t="s">
        <v>46</v>
      </c>
      <c r="N887" s="7">
        <v>1</v>
      </c>
      <c r="O887" s="8">
        <v>45626.828414351854</v>
      </c>
      <c r="P887" s="9">
        <v>45629</v>
      </c>
      <c r="Q887" t="s">
        <v>74</v>
      </c>
      <c r="R887" t="s">
        <v>48</v>
      </c>
      <c r="S887" t="s">
        <v>49</v>
      </c>
      <c r="T887" t="s">
        <v>559</v>
      </c>
      <c r="U887" t="s">
        <v>2746</v>
      </c>
      <c r="V887">
        <v>43000</v>
      </c>
      <c r="W887" t="s">
        <v>48</v>
      </c>
      <c r="X887" t="s">
        <v>224</v>
      </c>
      <c r="Y887" t="s">
        <v>54</v>
      </c>
      <c r="Z887" s="12">
        <f>IF(N887&lt;=1,9,9+0.8*ROUNDUP(N887-1,0))</f>
        <v>9</v>
      </c>
      <c r="AA887" s="11">
        <v>-2</v>
      </c>
      <c r="AB887" s="11">
        <v>0</v>
      </c>
      <c r="AC887" s="11">
        <v>0</v>
      </c>
      <c r="AD887" s="11">
        <v>0</v>
      </c>
      <c r="AE887" s="11">
        <v>0</v>
      </c>
      <c r="AF887" s="11">
        <f t="shared" si="39"/>
        <v>0.42</v>
      </c>
      <c r="AG887" s="11">
        <f t="shared" si="40"/>
        <v>7.42</v>
      </c>
      <c r="AH887" s="11">
        <v>0</v>
      </c>
      <c r="AI887" s="11">
        <f t="shared" si="41"/>
        <v>7.42</v>
      </c>
      <c r="AJ887" t="s">
        <v>62</v>
      </c>
    </row>
    <row r="888" spans="1:36" ht="15" customHeight="1" x14ac:dyDescent="0.35">
      <c r="A888">
        <v>10428918</v>
      </c>
      <c r="B888" t="s">
        <v>36</v>
      </c>
      <c r="C888" t="s">
        <v>37</v>
      </c>
      <c r="D888" s="6" t="s">
        <v>38</v>
      </c>
      <c r="E888" t="s">
        <v>2747</v>
      </c>
      <c r="F888" t="s">
        <v>40</v>
      </c>
      <c r="G888" t="s">
        <v>41</v>
      </c>
      <c r="H888" t="s">
        <v>2748</v>
      </c>
      <c r="I888" t="s">
        <v>43</v>
      </c>
      <c r="J888">
        <v>2</v>
      </c>
      <c r="K888" t="s">
        <v>44</v>
      </c>
      <c r="L888" t="s">
        <v>45</v>
      </c>
      <c r="M888" t="s">
        <v>46</v>
      </c>
      <c r="N888" s="7">
        <v>1</v>
      </c>
      <c r="O888" s="8">
        <v>45626.613391203704</v>
      </c>
      <c r="P888" s="9">
        <v>45629</v>
      </c>
      <c r="Q888" t="s">
        <v>74</v>
      </c>
      <c r="R888" t="s">
        <v>48</v>
      </c>
      <c r="S888" t="s">
        <v>49</v>
      </c>
      <c r="T888" t="s">
        <v>85</v>
      </c>
      <c r="U888" t="s">
        <v>2749</v>
      </c>
      <c r="V888">
        <v>73400</v>
      </c>
      <c r="W888" t="s">
        <v>48</v>
      </c>
      <c r="X888" t="s">
        <v>53</v>
      </c>
      <c r="Y888" t="s">
        <v>54</v>
      </c>
      <c r="Z888" s="12">
        <f>IF(N888&lt;=1,9,9+0.8*ROUNDUP(N888-1,0))</f>
        <v>9</v>
      </c>
      <c r="AA888" s="11">
        <v>-2</v>
      </c>
      <c r="AB888" s="11">
        <v>0</v>
      </c>
      <c r="AC888" s="11">
        <v>0</v>
      </c>
      <c r="AD888" s="11">
        <v>0</v>
      </c>
      <c r="AE888" s="11">
        <v>0</v>
      </c>
      <c r="AF888" s="11">
        <f t="shared" si="39"/>
        <v>0.42</v>
      </c>
      <c r="AG888" s="11">
        <f t="shared" si="40"/>
        <v>7.42</v>
      </c>
      <c r="AH888" s="11">
        <v>0</v>
      </c>
      <c r="AI888" s="11">
        <f t="shared" si="41"/>
        <v>7.42</v>
      </c>
      <c r="AJ888" t="s">
        <v>62</v>
      </c>
    </row>
    <row r="889" spans="1:36" ht="15" customHeight="1" x14ac:dyDescent="0.35">
      <c r="A889">
        <v>10428918</v>
      </c>
      <c r="B889" t="s">
        <v>36</v>
      </c>
      <c r="C889" t="s">
        <v>37</v>
      </c>
      <c r="D889" s="6" t="s">
        <v>38</v>
      </c>
      <c r="E889" t="s">
        <v>2750</v>
      </c>
      <c r="F889" t="s">
        <v>40</v>
      </c>
      <c r="G889" t="s">
        <v>41</v>
      </c>
      <c r="H889" t="s">
        <v>2751</v>
      </c>
      <c r="I889" t="s">
        <v>43</v>
      </c>
      <c r="J889">
        <v>2</v>
      </c>
      <c r="K889" t="s">
        <v>44</v>
      </c>
      <c r="L889" t="s">
        <v>45</v>
      </c>
      <c r="M889" t="s">
        <v>46</v>
      </c>
      <c r="N889" s="7">
        <v>3</v>
      </c>
      <c r="O889" s="8">
        <v>45626.817083333335</v>
      </c>
      <c r="P889" s="9">
        <v>45629</v>
      </c>
      <c r="Q889" t="s">
        <v>74</v>
      </c>
      <c r="R889" t="s">
        <v>48</v>
      </c>
      <c r="S889" t="s">
        <v>49</v>
      </c>
      <c r="T889" t="s">
        <v>117</v>
      </c>
      <c r="U889" t="s">
        <v>2752</v>
      </c>
      <c r="V889">
        <v>47150</v>
      </c>
      <c r="W889" t="s">
        <v>48</v>
      </c>
      <c r="X889" t="s">
        <v>232</v>
      </c>
      <c r="Y889" t="s">
        <v>54</v>
      </c>
      <c r="Z889" s="12">
        <f>IF(N889&lt;=1,9,9+0.8*ROUNDUP(N889-1,0))</f>
        <v>10.6</v>
      </c>
      <c r="AA889" s="11">
        <v>-2</v>
      </c>
      <c r="AB889" s="11">
        <v>0</v>
      </c>
      <c r="AC889" s="11">
        <v>0</v>
      </c>
      <c r="AD889" s="11">
        <v>0</v>
      </c>
      <c r="AE889" s="11">
        <v>0</v>
      </c>
      <c r="AF889" s="11">
        <f t="shared" si="39"/>
        <v>0.51600000000000001</v>
      </c>
      <c r="AG889" s="11">
        <f t="shared" si="40"/>
        <v>9.1159999999999997</v>
      </c>
      <c r="AH889" s="11">
        <v>0</v>
      </c>
      <c r="AI889" s="11">
        <f t="shared" si="41"/>
        <v>9.1159999999999997</v>
      </c>
      <c r="AJ889" t="s">
        <v>62</v>
      </c>
    </row>
    <row r="890" spans="1:36" ht="15" customHeight="1" x14ac:dyDescent="0.35">
      <c r="A890">
        <v>10428918</v>
      </c>
      <c r="B890" t="s">
        <v>36</v>
      </c>
      <c r="C890" t="s">
        <v>37</v>
      </c>
      <c r="D890" s="6" t="s">
        <v>38</v>
      </c>
      <c r="E890" t="s">
        <v>2753</v>
      </c>
      <c r="F890" t="s">
        <v>40</v>
      </c>
      <c r="G890" t="s">
        <v>41</v>
      </c>
      <c r="H890" t="s">
        <v>2754</v>
      </c>
      <c r="I890" t="s">
        <v>43</v>
      </c>
      <c r="J890">
        <v>2</v>
      </c>
      <c r="K890" t="s">
        <v>44</v>
      </c>
      <c r="L890" t="s">
        <v>45</v>
      </c>
      <c r="M890" t="s">
        <v>46</v>
      </c>
      <c r="N890" s="7">
        <v>1</v>
      </c>
      <c r="O890" s="8">
        <v>45624.626944444448</v>
      </c>
      <c r="P890" s="9">
        <v>45629</v>
      </c>
      <c r="Q890" t="s">
        <v>74</v>
      </c>
      <c r="R890" t="s">
        <v>48</v>
      </c>
      <c r="S890" t="s">
        <v>49</v>
      </c>
      <c r="T890" t="s">
        <v>117</v>
      </c>
      <c r="U890" t="s">
        <v>2755</v>
      </c>
      <c r="V890">
        <v>43650</v>
      </c>
      <c r="W890" t="s">
        <v>48</v>
      </c>
      <c r="X890" t="s">
        <v>191</v>
      </c>
      <c r="Y890" t="s">
        <v>54</v>
      </c>
      <c r="Z890" s="12">
        <f>IF(N890&lt;=1,9,9+0.8*ROUNDUP(N890-1,0))</f>
        <v>9</v>
      </c>
      <c r="AA890" s="11">
        <v>-2</v>
      </c>
      <c r="AB890" s="11">
        <v>0</v>
      </c>
      <c r="AC890" s="11">
        <v>0</v>
      </c>
      <c r="AD890" s="11">
        <v>0</v>
      </c>
      <c r="AE890" s="11">
        <v>0</v>
      </c>
      <c r="AF890" s="11">
        <f t="shared" si="39"/>
        <v>0.42</v>
      </c>
      <c r="AG890" s="11">
        <f t="shared" si="40"/>
        <v>7.42</v>
      </c>
      <c r="AH890" s="11">
        <v>0</v>
      </c>
      <c r="AI890" s="11">
        <f t="shared" si="41"/>
        <v>7.42</v>
      </c>
      <c r="AJ890" t="s">
        <v>62</v>
      </c>
    </row>
    <row r="891" spans="1:36" ht="15" customHeight="1" x14ac:dyDescent="0.35">
      <c r="A891">
        <v>10428918</v>
      </c>
      <c r="B891" t="s">
        <v>36</v>
      </c>
      <c r="C891" t="s">
        <v>37</v>
      </c>
      <c r="D891" s="6" t="s">
        <v>38</v>
      </c>
      <c r="E891" t="s">
        <v>2756</v>
      </c>
      <c r="F891" t="s">
        <v>40</v>
      </c>
      <c r="G891" t="s">
        <v>41</v>
      </c>
      <c r="H891" t="s">
        <v>2757</v>
      </c>
      <c r="I891" t="s">
        <v>43</v>
      </c>
      <c r="J891">
        <v>2</v>
      </c>
      <c r="K891" t="s">
        <v>44</v>
      </c>
      <c r="L891" t="s">
        <v>45</v>
      </c>
      <c r="M891" t="s">
        <v>46</v>
      </c>
      <c r="N891" s="7">
        <v>1</v>
      </c>
      <c r="O891" s="8">
        <v>45623.78974537037</v>
      </c>
      <c r="P891" s="9">
        <v>45629</v>
      </c>
      <c r="Q891" t="s">
        <v>74</v>
      </c>
      <c r="R891" t="s">
        <v>48</v>
      </c>
      <c r="S891" t="s">
        <v>49</v>
      </c>
      <c r="T891" t="s">
        <v>69</v>
      </c>
      <c r="U891" t="s">
        <v>2758</v>
      </c>
      <c r="V891">
        <v>81800</v>
      </c>
      <c r="W891" t="s">
        <v>48</v>
      </c>
      <c r="X891" t="s">
        <v>61</v>
      </c>
      <c r="Y891" t="s">
        <v>54</v>
      </c>
      <c r="Z891" s="12">
        <f>IF(N891&lt;=1,9,9+0.8*ROUNDUP(N891-1,0))</f>
        <v>9</v>
      </c>
      <c r="AA891" s="11">
        <v>-2</v>
      </c>
      <c r="AB891" s="11">
        <v>0</v>
      </c>
      <c r="AC891" s="11">
        <v>0</v>
      </c>
      <c r="AD891" s="11">
        <v>0</v>
      </c>
      <c r="AE891" s="11">
        <v>0</v>
      </c>
      <c r="AF891" s="11">
        <f t="shared" si="39"/>
        <v>0.42</v>
      </c>
      <c r="AG891" s="11">
        <f t="shared" si="40"/>
        <v>7.42</v>
      </c>
      <c r="AH891" s="11">
        <v>0</v>
      </c>
      <c r="AI891" s="11">
        <f t="shared" si="41"/>
        <v>7.42</v>
      </c>
      <c r="AJ891" t="s">
        <v>62</v>
      </c>
    </row>
    <row r="892" spans="1:36" ht="15" customHeight="1" x14ac:dyDescent="0.35">
      <c r="A892">
        <v>10428918</v>
      </c>
      <c r="B892" t="s">
        <v>36</v>
      </c>
      <c r="C892" t="s">
        <v>37</v>
      </c>
      <c r="D892" s="6" t="s">
        <v>38</v>
      </c>
      <c r="E892" t="s">
        <v>2759</v>
      </c>
      <c r="F892" t="s">
        <v>40</v>
      </c>
      <c r="G892" t="s">
        <v>41</v>
      </c>
      <c r="H892" t="s">
        <v>2760</v>
      </c>
      <c r="I892" t="s">
        <v>43</v>
      </c>
      <c r="J892">
        <v>2</v>
      </c>
      <c r="K892" t="s">
        <v>44</v>
      </c>
      <c r="L892" t="s">
        <v>45</v>
      </c>
      <c r="M892" t="s">
        <v>46</v>
      </c>
      <c r="N892" s="7">
        <v>3</v>
      </c>
      <c r="O892" s="8">
        <v>45626.805277777778</v>
      </c>
      <c r="P892" s="9">
        <v>45629</v>
      </c>
      <c r="Q892" t="s">
        <v>74</v>
      </c>
      <c r="R892" t="s">
        <v>48</v>
      </c>
      <c r="S892" t="s">
        <v>49</v>
      </c>
      <c r="T892" t="s">
        <v>75</v>
      </c>
      <c r="U892" t="s">
        <v>2761</v>
      </c>
      <c r="V892">
        <v>27600</v>
      </c>
      <c r="W892" t="s">
        <v>48</v>
      </c>
      <c r="X892" t="s">
        <v>77</v>
      </c>
      <c r="Y892" t="s">
        <v>54</v>
      </c>
      <c r="Z892" s="12">
        <f>IF(N892&lt;=1,9,9+0.8*ROUNDUP(N892-1,0))</f>
        <v>10.6</v>
      </c>
      <c r="AA892" s="11">
        <v>-2</v>
      </c>
      <c r="AB892" s="11">
        <v>0</v>
      </c>
      <c r="AC892" s="11">
        <v>0</v>
      </c>
      <c r="AD892" s="11">
        <v>0</v>
      </c>
      <c r="AE892" s="11">
        <v>0</v>
      </c>
      <c r="AF892" s="11">
        <f t="shared" si="39"/>
        <v>0.51600000000000001</v>
      </c>
      <c r="AG892" s="11">
        <f t="shared" si="40"/>
        <v>9.1159999999999997</v>
      </c>
      <c r="AH892" s="11">
        <v>0</v>
      </c>
      <c r="AI892" s="11">
        <f t="shared" si="41"/>
        <v>9.1159999999999997</v>
      </c>
      <c r="AJ892" t="s">
        <v>62</v>
      </c>
    </row>
    <row r="893" spans="1:36" ht="15" customHeight="1" x14ac:dyDescent="0.35">
      <c r="A893">
        <v>10428918</v>
      </c>
      <c r="B893" t="s">
        <v>36</v>
      </c>
      <c r="C893" t="s">
        <v>37</v>
      </c>
      <c r="D893" s="6" t="s">
        <v>38</v>
      </c>
      <c r="E893" t="s">
        <v>2762</v>
      </c>
      <c r="F893" t="s">
        <v>40</v>
      </c>
      <c r="G893" t="s">
        <v>41</v>
      </c>
      <c r="H893" t="s">
        <v>2763</v>
      </c>
      <c r="I893" t="s">
        <v>43</v>
      </c>
      <c r="J893">
        <v>2</v>
      </c>
      <c r="K893" t="s">
        <v>44</v>
      </c>
      <c r="L893" t="s">
        <v>45</v>
      </c>
      <c r="M893" t="s">
        <v>46</v>
      </c>
      <c r="N893" s="7">
        <v>2</v>
      </c>
      <c r="O893" s="8">
        <v>45626.619305555556</v>
      </c>
      <c r="P893" s="9">
        <v>45629</v>
      </c>
      <c r="Q893" t="s">
        <v>74</v>
      </c>
      <c r="R893" t="s">
        <v>48</v>
      </c>
      <c r="S893" t="s">
        <v>49</v>
      </c>
      <c r="T893" t="s">
        <v>65</v>
      </c>
      <c r="U893" t="s">
        <v>2764</v>
      </c>
      <c r="V893">
        <v>76100</v>
      </c>
      <c r="W893" t="s">
        <v>48</v>
      </c>
      <c r="X893" t="s">
        <v>448</v>
      </c>
      <c r="Y893" t="s">
        <v>54</v>
      </c>
      <c r="Z893" s="12">
        <f>IF(N893&lt;=1,9,9+0.8*ROUNDUP(N893-1,0))</f>
        <v>9.8000000000000007</v>
      </c>
      <c r="AA893" s="11">
        <v>-2</v>
      </c>
      <c r="AB893" s="11">
        <v>0</v>
      </c>
      <c r="AC893" s="11">
        <v>0</v>
      </c>
      <c r="AD893" s="11">
        <v>0</v>
      </c>
      <c r="AE893" s="11">
        <v>0</v>
      </c>
      <c r="AF893" s="11">
        <f t="shared" si="39"/>
        <v>0.46800000000000003</v>
      </c>
      <c r="AG893" s="11">
        <f t="shared" si="40"/>
        <v>8.2680000000000007</v>
      </c>
      <c r="AH893" s="11">
        <v>0</v>
      </c>
      <c r="AI893" s="11">
        <f t="shared" si="41"/>
        <v>8.2680000000000007</v>
      </c>
      <c r="AJ893" t="s">
        <v>62</v>
      </c>
    </row>
    <row r="894" spans="1:36" ht="15" customHeight="1" x14ac:dyDescent="0.35">
      <c r="A894">
        <v>10428918</v>
      </c>
      <c r="B894" t="s">
        <v>36</v>
      </c>
      <c r="C894" t="s">
        <v>37</v>
      </c>
      <c r="D894" s="6" t="s">
        <v>38</v>
      </c>
      <c r="E894" t="s">
        <v>2765</v>
      </c>
      <c r="F894" t="s">
        <v>40</v>
      </c>
      <c r="G894" t="s">
        <v>41</v>
      </c>
      <c r="H894" t="s">
        <v>2766</v>
      </c>
      <c r="I894" t="s">
        <v>43</v>
      </c>
      <c r="J894">
        <v>2</v>
      </c>
      <c r="K894" t="s">
        <v>44</v>
      </c>
      <c r="L894" t="s">
        <v>45</v>
      </c>
      <c r="M894" t="s">
        <v>46</v>
      </c>
      <c r="N894" s="7">
        <v>2</v>
      </c>
      <c r="O894" s="8">
        <v>45626.811747685184</v>
      </c>
      <c r="P894" s="9">
        <v>45629</v>
      </c>
      <c r="Q894" t="s">
        <v>74</v>
      </c>
      <c r="R894" t="s">
        <v>48</v>
      </c>
      <c r="S894" t="s">
        <v>49</v>
      </c>
      <c r="T894" t="s">
        <v>101</v>
      </c>
      <c r="U894" t="s">
        <v>2767</v>
      </c>
      <c r="V894">
        <v>35820</v>
      </c>
      <c r="W894" t="s">
        <v>48</v>
      </c>
      <c r="X894" t="s">
        <v>1485</v>
      </c>
      <c r="Y894" t="s">
        <v>54</v>
      </c>
      <c r="Z894" s="12">
        <f>IF(N894&lt;=1,9,9+0.8*ROUNDUP(N894-1,0))</f>
        <v>9.8000000000000007</v>
      </c>
      <c r="AA894" s="11">
        <v>-2</v>
      </c>
      <c r="AB894" s="11">
        <v>0</v>
      </c>
      <c r="AC894" s="11">
        <v>0</v>
      </c>
      <c r="AD894" s="11">
        <v>0</v>
      </c>
      <c r="AE894" s="11">
        <v>0</v>
      </c>
      <c r="AF894" s="11">
        <f t="shared" si="39"/>
        <v>0.46800000000000003</v>
      </c>
      <c r="AG894" s="11">
        <f t="shared" si="40"/>
        <v>8.2680000000000007</v>
      </c>
      <c r="AH894" s="11">
        <v>0</v>
      </c>
      <c r="AI894" s="11">
        <f t="shared" si="41"/>
        <v>8.2680000000000007</v>
      </c>
      <c r="AJ894" t="s">
        <v>62</v>
      </c>
    </row>
    <row r="895" spans="1:36" ht="15" customHeight="1" x14ac:dyDescent="0.35">
      <c r="A895">
        <v>10428918</v>
      </c>
      <c r="B895" t="s">
        <v>36</v>
      </c>
      <c r="C895" t="s">
        <v>37</v>
      </c>
      <c r="D895" s="6" t="s">
        <v>38</v>
      </c>
      <c r="E895" t="s">
        <v>2768</v>
      </c>
      <c r="F895" t="s">
        <v>40</v>
      </c>
      <c r="G895" t="s">
        <v>41</v>
      </c>
      <c r="H895" t="s">
        <v>2769</v>
      </c>
      <c r="I895" t="s">
        <v>43</v>
      </c>
      <c r="J895">
        <v>2</v>
      </c>
      <c r="K895" t="s">
        <v>44</v>
      </c>
      <c r="L895" t="s">
        <v>45</v>
      </c>
      <c r="M895" t="s">
        <v>46</v>
      </c>
      <c r="N895" s="7">
        <v>3</v>
      </c>
      <c r="O895" s="8">
        <v>45623.659456018519</v>
      </c>
      <c r="P895" s="9">
        <v>45629</v>
      </c>
      <c r="Q895" t="s">
        <v>74</v>
      </c>
      <c r="R895" t="s">
        <v>48</v>
      </c>
      <c r="S895" t="s">
        <v>49</v>
      </c>
      <c r="T895" t="s">
        <v>117</v>
      </c>
      <c r="U895" t="s">
        <v>2770</v>
      </c>
      <c r="V895">
        <v>41050</v>
      </c>
      <c r="W895" t="s">
        <v>48</v>
      </c>
      <c r="X895" t="s">
        <v>429</v>
      </c>
      <c r="Y895" t="s">
        <v>54</v>
      </c>
      <c r="Z895" s="12">
        <f>IF(N895&lt;=1,9,9+0.8*ROUNDUP(N895-1,0))</f>
        <v>10.6</v>
      </c>
      <c r="AA895" s="11">
        <v>-2</v>
      </c>
      <c r="AB895" s="11">
        <v>0</v>
      </c>
      <c r="AC895" s="11">
        <v>0</v>
      </c>
      <c r="AD895" s="11">
        <v>0</v>
      </c>
      <c r="AE895" s="11">
        <v>0</v>
      </c>
      <c r="AF895" s="11">
        <f t="shared" si="39"/>
        <v>0.51600000000000001</v>
      </c>
      <c r="AG895" s="11">
        <f t="shared" si="40"/>
        <v>9.1159999999999997</v>
      </c>
      <c r="AH895" s="11">
        <v>0</v>
      </c>
      <c r="AI895" s="11">
        <f t="shared" si="41"/>
        <v>9.1159999999999997</v>
      </c>
      <c r="AJ895" t="s">
        <v>62</v>
      </c>
    </row>
    <row r="896" spans="1:36" ht="15" customHeight="1" x14ac:dyDescent="0.35">
      <c r="A896">
        <v>10428918</v>
      </c>
      <c r="B896" t="s">
        <v>36</v>
      </c>
      <c r="C896" t="s">
        <v>37</v>
      </c>
      <c r="D896" s="6" t="s">
        <v>38</v>
      </c>
      <c r="E896" t="s">
        <v>2771</v>
      </c>
      <c r="F896" t="s">
        <v>40</v>
      </c>
      <c r="G896" t="s">
        <v>41</v>
      </c>
      <c r="H896" t="s">
        <v>2772</v>
      </c>
      <c r="I896" t="s">
        <v>43</v>
      </c>
      <c r="J896">
        <v>2</v>
      </c>
      <c r="K896" t="s">
        <v>44</v>
      </c>
      <c r="L896" t="s">
        <v>45</v>
      </c>
      <c r="M896" t="s">
        <v>46</v>
      </c>
      <c r="N896" s="7">
        <v>1</v>
      </c>
      <c r="O896" s="8">
        <v>45626.62909722222</v>
      </c>
      <c r="P896" s="9">
        <v>45629</v>
      </c>
      <c r="Q896" t="s">
        <v>74</v>
      </c>
      <c r="R896" t="s">
        <v>48</v>
      </c>
      <c r="S896" t="s">
        <v>49</v>
      </c>
      <c r="T896" t="s">
        <v>75</v>
      </c>
      <c r="U896" t="s">
        <v>2773</v>
      </c>
      <c r="V896">
        <v>27000</v>
      </c>
      <c r="W896" t="s">
        <v>48</v>
      </c>
      <c r="X896" t="s">
        <v>61</v>
      </c>
      <c r="Y896" t="s">
        <v>54</v>
      </c>
      <c r="Z896" s="12">
        <f>IF(N896&lt;=1,9,9+0.8*ROUNDUP(N896-1,0))</f>
        <v>9</v>
      </c>
      <c r="AA896" s="11">
        <v>-2</v>
      </c>
      <c r="AB896" s="11">
        <v>0</v>
      </c>
      <c r="AC896" s="11">
        <v>0</v>
      </c>
      <c r="AD896" s="11">
        <v>0</v>
      </c>
      <c r="AE896" s="11">
        <v>0</v>
      </c>
      <c r="AF896" s="11">
        <f t="shared" si="39"/>
        <v>0.42</v>
      </c>
      <c r="AG896" s="11">
        <f t="shared" si="40"/>
        <v>7.42</v>
      </c>
      <c r="AH896" s="11">
        <v>0</v>
      </c>
      <c r="AI896" s="11">
        <f t="shared" si="41"/>
        <v>7.42</v>
      </c>
      <c r="AJ896" t="s">
        <v>62</v>
      </c>
    </row>
    <row r="897" spans="1:36" ht="15" customHeight="1" x14ac:dyDescent="0.35">
      <c r="A897">
        <v>10428918</v>
      </c>
      <c r="B897" t="s">
        <v>36</v>
      </c>
      <c r="C897" t="s">
        <v>37</v>
      </c>
      <c r="D897" s="6" t="s">
        <v>38</v>
      </c>
      <c r="E897" t="s">
        <v>2774</v>
      </c>
      <c r="F897" t="s">
        <v>40</v>
      </c>
      <c r="G897" t="s">
        <v>41</v>
      </c>
      <c r="H897" t="s">
        <v>2775</v>
      </c>
      <c r="I897" t="s">
        <v>43</v>
      </c>
      <c r="J897">
        <v>2</v>
      </c>
      <c r="K897" t="s">
        <v>44</v>
      </c>
      <c r="L897" t="s">
        <v>45</v>
      </c>
      <c r="M897" t="s">
        <v>46</v>
      </c>
      <c r="N897" s="7">
        <v>2</v>
      </c>
      <c r="O897" s="8">
        <v>45626.805277777778</v>
      </c>
      <c r="P897" s="9">
        <v>45629</v>
      </c>
      <c r="Q897" t="s">
        <v>74</v>
      </c>
      <c r="R897" t="s">
        <v>48</v>
      </c>
      <c r="S897" t="s">
        <v>49</v>
      </c>
      <c r="T897" t="s">
        <v>170</v>
      </c>
      <c r="U897" t="s">
        <v>2776</v>
      </c>
      <c r="V897">
        <v>56100</v>
      </c>
      <c r="W897" t="s">
        <v>48</v>
      </c>
      <c r="X897" t="s">
        <v>343</v>
      </c>
      <c r="Y897" t="s">
        <v>54</v>
      </c>
      <c r="Z897" s="12">
        <f>IF(N897&lt;=1,9,9+0.8*ROUNDUP(N897-1,0))</f>
        <v>9.8000000000000007</v>
      </c>
      <c r="AA897" s="11">
        <v>-2</v>
      </c>
      <c r="AB897" s="11">
        <v>0</v>
      </c>
      <c r="AC897" s="11">
        <v>0</v>
      </c>
      <c r="AD897" s="11">
        <v>0</v>
      </c>
      <c r="AE897" s="11">
        <v>0</v>
      </c>
      <c r="AF897" s="11">
        <f t="shared" si="39"/>
        <v>0.46800000000000003</v>
      </c>
      <c r="AG897" s="11">
        <f t="shared" si="40"/>
        <v>8.2680000000000007</v>
      </c>
      <c r="AH897" s="11">
        <v>0</v>
      </c>
      <c r="AI897" s="11">
        <f t="shared" si="41"/>
        <v>8.2680000000000007</v>
      </c>
      <c r="AJ897" t="s">
        <v>62</v>
      </c>
    </row>
    <row r="898" spans="1:36" ht="15" customHeight="1" x14ac:dyDescent="0.35">
      <c r="A898">
        <v>10428918</v>
      </c>
      <c r="B898" t="s">
        <v>36</v>
      </c>
      <c r="C898" t="s">
        <v>37</v>
      </c>
      <c r="D898" s="6" t="s">
        <v>38</v>
      </c>
      <c r="E898" t="s">
        <v>2777</v>
      </c>
      <c r="F898" t="s">
        <v>40</v>
      </c>
      <c r="G898" t="s">
        <v>41</v>
      </c>
      <c r="H898" t="s">
        <v>2778</v>
      </c>
      <c r="I898" t="s">
        <v>43</v>
      </c>
      <c r="J898">
        <v>2</v>
      </c>
      <c r="K898" t="s">
        <v>44</v>
      </c>
      <c r="L898" t="s">
        <v>45</v>
      </c>
      <c r="M898" t="s">
        <v>46</v>
      </c>
      <c r="N898" s="7">
        <v>1</v>
      </c>
      <c r="O898" s="8">
        <v>45623.650231481479</v>
      </c>
      <c r="P898" s="9">
        <v>45629</v>
      </c>
      <c r="Q898" t="s">
        <v>74</v>
      </c>
      <c r="R898" t="s">
        <v>48</v>
      </c>
      <c r="S898" t="s">
        <v>49</v>
      </c>
      <c r="T898" t="s">
        <v>80</v>
      </c>
      <c r="U898" t="s">
        <v>2779</v>
      </c>
      <c r="V898">
        <v>5300</v>
      </c>
      <c r="W898" t="s">
        <v>48</v>
      </c>
      <c r="X898" t="s">
        <v>53</v>
      </c>
      <c r="Y898" t="s">
        <v>54</v>
      </c>
      <c r="Z898" s="12">
        <f>IF(N898&lt;=1,9,9+0.8*ROUNDUP(N898-1,0))</f>
        <v>9</v>
      </c>
      <c r="AA898" s="11">
        <v>-2</v>
      </c>
      <c r="AB898" s="11">
        <v>0</v>
      </c>
      <c r="AC898" s="11">
        <v>0</v>
      </c>
      <c r="AD898" s="11">
        <v>0</v>
      </c>
      <c r="AE898" s="11">
        <v>0</v>
      </c>
      <c r="AF898" s="11">
        <f t="shared" ref="AF898:AF961" si="42">(Z898+AA898+AC898+AE898)*6%</f>
        <v>0.42</v>
      </c>
      <c r="AG898" s="11">
        <f t="shared" ref="AG898:AG961" si="43">Z898+AA898+AC898+AE898+AF898</f>
        <v>7.42</v>
      </c>
      <c r="AH898" s="11">
        <v>0</v>
      </c>
      <c r="AI898" s="11">
        <f t="shared" ref="AI898:AI961" si="44">AG898+AH898</f>
        <v>7.42</v>
      </c>
      <c r="AJ898" t="s">
        <v>62</v>
      </c>
    </row>
    <row r="899" spans="1:36" ht="15" customHeight="1" x14ac:dyDescent="0.35">
      <c r="A899">
        <v>10428918</v>
      </c>
      <c r="B899" t="s">
        <v>36</v>
      </c>
      <c r="C899" t="s">
        <v>37</v>
      </c>
      <c r="D899" s="6" t="s">
        <v>38</v>
      </c>
      <c r="E899" t="s">
        <v>2780</v>
      </c>
      <c r="F899" t="s">
        <v>40</v>
      </c>
      <c r="G899" t="s">
        <v>41</v>
      </c>
      <c r="H899" t="s">
        <v>2781</v>
      </c>
      <c r="I899" t="s">
        <v>43</v>
      </c>
      <c r="J899">
        <v>2</v>
      </c>
      <c r="K899" t="s">
        <v>44</v>
      </c>
      <c r="L899" t="s">
        <v>45</v>
      </c>
      <c r="M899" t="s">
        <v>46</v>
      </c>
      <c r="N899" s="7">
        <v>1</v>
      </c>
      <c r="O899" s="8">
        <v>45622.83662037037</v>
      </c>
      <c r="P899" s="9">
        <v>45629</v>
      </c>
      <c r="Q899" t="s">
        <v>74</v>
      </c>
      <c r="R899" t="s">
        <v>48</v>
      </c>
      <c r="S899" t="s">
        <v>49</v>
      </c>
      <c r="T899" t="s">
        <v>80</v>
      </c>
      <c r="U899" t="s">
        <v>2782</v>
      </c>
      <c r="V899">
        <v>8000</v>
      </c>
      <c r="W899" t="s">
        <v>48</v>
      </c>
      <c r="X899" t="s">
        <v>141</v>
      </c>
      <c r="Y899" t="s">
        <v>54</v>
      </c>
      <c r="Z899" s="12">
        <f>IF(N899&lt;=1,9,9+0.8*ROUNDUP(N899-1,0))</f>
        <v>9</v>
      </c>
      <c r="AA899" s="11">
        <v>-2</v>
      </c>
      <c r="AB899" s="11">
        <v>0</v>
      </c>
      <c r="AC899" s="11">
        <v>0</v>
      </c>
      <c r="AD899" s="11">
        <v>0</v>
      </c>
      <c r="AE899" s="11">
        <v>0</v>
      </c>
      <c r="AF899" s="11">
        <f t="shared" si="42"/>
        <v>0.42</v>
      </c>
      <c r="AG899" s="11">
        <f t="shared" si="43"/>
        <v>7.42</v>
      </c>
      <c r="AH899" s="11">
        <v>0</v>
      </c>
      <c r="AI899" s="11">
        <f t="shared" si="44"/>
        <v>7.42</v>
      </c>
      <c r="AJ899" t="s">
        <v>62</v>
      </c>
    </row>
    <row r="900" spans="1:36" ht="15" customHeight="1" x14ac:dyDescent="0.35">
      <c r="A900">
        <v>10428918</v>
      </c>
      <c r="B900" t="s">
        <v>36</v>
      </c>
      <c r="C900" t="s">
        <v>37</v>
      </c>
      <c r="D900" s="6" t="s">
        <v>38</v>
      </c>
      <c r="E900" t="s">
        <v>2783</v>
      </c>
      <c r="F900" t="s">
        <v>40</v>
      </c>
      <c r="G900" t="s">
        <v>41</v>
      </c>
      <c r="H900" t="s">
        <v>2784</v>
      </c>
      <c r="I900" t="s">
        <v>43</v>
      </c>
      <c r="J900">
        <v>2</v>
      </c>
      <c r="K900" t="s">
        <v>44</v>
      </c>
      <c r="L900" t="s">
        <v>45</v>
      </c>
      <c r="M900" t="s">
        <v>46</v>
      </c>
      <c r="N900" s="7">
        <v>1</v>
      </c>
      <c r="O900" s="8">
        <v>45626.613391203704</v>
      </c>
      <c r="P900" s="9">
        <v>45629</v>
      </c>
      <c r="Q900" t="s">
        <v>74</v>
      </c>
      <c r="R900" t="s">
        <v>48</v>
      </c>
      <c r="S900" t="s">
        <v>49</v>
      </c>
      <c r="T900" t="s">
        <v>75</v>
      </c>
      <c r="U900" t="s">
        <v>2785</v>
      </c>
      <c r="V900">
        <v>26680</v>
      </c>
      <c r="W900" t="s">
        <v>48</v>
      </c>
      <c r="X900" t="s">
        <v>61</v>
      </c>
      <c r="Y900" t="s">
        <v>54</v>
      </c>
      <c r="Z900" s="12">
        <f>IF(N900&lt;=1,9,9+0.8*ROUNDUP(N900-1,0))</f>
        <v>9</v>
      </c>
      <c r="AA900" s="11">
        <v>-2</v>
      </c>
      <c r="AB900" s="11">
        <v>0</v>
      </c>
      <c r="AC900" s="11">
        <v>0</v>
      </c>
      <c r="AD900" s="11">
        <v>0</v>
      </c>
      <c r="AE900" s="11">
        <v>0</v>
      </c>
      <c r="AF900" s="11">
        <f t="shared" si="42"/>
        <v>0.42</v>
      </c>
      <c r="AG900" s="11">
        <f t="shared" si="43"/>
        <v>7.42</v>
      </c>
      <c r="AH900" s="11">
        <v>0</v>
      </c>
      <c r="AI900" s="11">
        <f t="shared" si="44"/>
        <v>7.42</v>
      </c>
      <c r="AJ900" t="s">
        <v>62</v>
      </c>
    </row>
    <row r="901" spans="1:36" ht="15" customHeight="1" x14ac:dyDescent="0.35">
      <c r="A901">
        <v>10428918</v>
      </c>
      <c r="B901" t="s">
        <v>36</v>
      </c>
      <c r="C901" t="s">
        <v>37</v>
      </c>
      <c r="D901" s="6" t="s">
        <v>38</v>
      </c>
      <c r="E901" t="s">
        <v>2786</v>
      </c>
      <c r="F901" t="s">
        <v>40</v>
      </c>
      <c r="G901" t="s">
        <v>41</v>
      </c>
      <c r="H901" t="s">
        <v>2787</v>
      </c>
      <c r="I901" t="s">
        <v>43</v>
      </c>
      <c r="J901">
        <v>2</v>
      </c>
      <c r="K901" t="s">
        <v>44</v>
      </c>
      <c r="L901" t="s">
        <v>45</v>
      </c>
      <c r="M901" t="s">
        <v>46</v>
      </c>
      <c r="N901" s="7">
        <v>1</v>
      </c>
      <c r="O901" s="8">
        <v>45627.636435185188</v>
      </c>
      <c r="P901" s="9">
        <v>45629</v>
      </c>
      <c r="Q901" t="s">
        <v>74</v>
      </c>
      <c r="R901" t="s">
        <v>48</v>
      </c>
      <c r="S901" t="s">
        <v>49</v>
      </c>
      <c r="T901" t="s">
        <v>90</v>
      </c>
      <c r="U901" t="s">
        <v>2788</v>
      </c>
      <c r="V901">
        <v>21080</v>
      </c>
      <c r="W901" t="s">
        <v>48</v>
      </c>
      <c r="X901" t="s">
        <v>61</v>
      </c>
      <c r="Y901" t="s">
        <v>54</v>
      </c>
      <c r="Z901" s="12">
        <f>IF(N901&lt;=1,9,9+0.8*ROUNDUP(N901-1,0))</f>
        <v>9</v>
      </c>
      <c r="AA901" s="11">
        <v>-2</v>
      </c>
      <c r="AB901" s="11">
        <v>0</v>
      </c>
      <c r="AC901" s="11">
        <v>0</v>
      </c>
      <c r="AD901" s="11">
        <v>0</v>
      </c>
      <c r="AE901" s="11">
        <v>0</v>
      </c>
      <c r="AF901" s="11">
        <f t="shared" si="42"/>
        <v>0.42</v>
      </c>
      <c r="AG901" s="11">
        <f t="shared" si="43"/>
        <v>7.42</v>
      </c>
      <c r="AH901" s="11">
        <v>0</v>
      </c>
      <c r="AI901" s="11">
        <f t="shared" si="44"/>
        <v>7.42</v>
      </c>
      <c r="AJ901" t="s">
        <v>62</v>
      </c>
    </row>
    <row r="902" spans="1:36" ht="15" customHeight="1" x14ac:dyDescent="0.35">
      <c r="A902">
        <v>10428918</v>
      </c>
      <c r="B902" t="s">
        <v>36</v>
      </c>
      <c r="C902" t="s">
        <v>37</v>
      </c>
      <c r="D902" s="6" t="s">
        <v>38</v>
      </c>
      <c r="E902" t="s">
        <v>2789</v>
      </c>
      <c r="F902" t="s">
        <v>40</v>
      </c>
      <c r="G902" t="s">
        <v>41</v>
      </c>
      <c r="H902" t="s">
        <v>2790</v>
      </c>
      <c r="I902" t="s">
        <v>43</v>
      </c>
      <c r="J902">
        <v>2</v>
      </c>
      <c r="K902" t="s">
        <v>44</v>
      </c>
      <c r="L902" t="s">
        <v>45</v>
      </c>
      <c r="M902" t="s">
        <v>46</v>
      </c>
      <c r="N902" s="7">
        <v>1</v>
      </c>
      <c r="O902" s="8">
        <v>45623.78974537037</v>
      </c>
      <c r="P902" s="9">
        <v>45629</v>
      </c>
      <c r="Q902" t="s">
        <v>74</v>
      </c>
      <c r="R902" t="s">
        <v>48</v>
      </c>
      <c r="S902" t="s">
        <v>49</v>
      </c>
      <c r="T902" t="s">
        <v>59</v>
      </c>
      <c r="U902" t="s">
        <v>2791</v>
      </c>
      <c r="V902">
        <v>17000</v>
      </c>
      <c r="W902" t="s">
        <v>48</v>
      </c>
      <c r="X902" t="s">
        <v>61</v>
      </c>
      <c r="Y902" t="s">
        <v>54</v>
      </c>
      <c r="Z902" s="12">
        <f>IF(N902&lt;=1,9,9+0.8*ROUNDUP(N902-1,0))</f>
        <v>9</v>
      </c>
      <c r="AA902" s="11">
        <v>-2</v>
      </c>
      <c r="AB902" s="11">
        <v>0</v>
      </c>
      <c r="AC902" s="11">
        <v>0</v>
      </c>
      <c r="AD902" s="11">
        <v>0</v>
      </c>
      <c r="AE902" s="11">
        <v>0</v>
      </c>
      <c r="AF902" s="11">
        <f t="shared" si="42"/>
        <v>0.42</v>
      </c>
      <c r="AG902" s="11">
        <f t="shared" si="43"/>
        <v>7.42</v>
      </c>
      <c r="AH902" s="11">
        <v>0</v>
      </c>
      <c r="AI902" s="11">
        <f t="shared" si="44"/>
        <v>7.42</v>
      </c>
      <c r="AJ902" t="s">
        <v>62</v>
      </c>
    </row>
    <row r="903" spans="1:36" ht="15" customHeight="1" x14ac:dyDescent="0.35">
      <c r="A903">
        <v>10428918</v>
      </c>
      <c r="B903" t="s">
        <v>36</v>
      </c>
      <c r="C903" t="s">
        <v>37</v>
      </c>
      <c r="D903" s="6" t="s">
        <v>38</v>
      </c>
      <c r="E903" t="s">
        <v>2792</v>
      </c>
      <c r="F903" t="s">
        <v>40</v>
      </c>
      <c r="G903" t="s">
        <v>41</v>
      </c>
      <c r="H903" t="s">
        <v>2793</v>
      </c>
      <c r="I903" t="s">
        <v>43</v>
      </c>
      <c r="J903">
        <v>2</v>
      </c>
      <c r="K903" t="s">
        <v>44</v>
      </c>
      <c r="L903" t="s">
        <v>45</v>
      </c>
      <c r="M903" t="s">
        <v>46</v>
      </c>
      <c r="N903" s="7">
        <v>1</v>
      </c>
      <c r="O903" s="8">
        <v>45623.654513888891</v>
      </c>
      <c r="P903" s="9">
        <v>45629</v>
      </c>
      <c r="Q903" t="s">
        <v>74</v>
      </c>
      <c r="R903" t="s">
        <v>48</v>
      </c>
      <c r="S903" t="s">
        <v>49</v>
      </c>
      <c r="T903" t="s">
        <v>59</v>
      </c>
      <c r="U903" t="s">
        <v>2794</v>
      </c>
      <c r="V903">
        <v>18300</v>
      </c>
      <c r="W903" t="s">
        <v>48</v>
      </c>
      <c r="X903" t="s">
        <v>61</v>
      </c>
      <c r="Y903" t="s">
        <v>54</v>
      </c>
      <c r="Z903" s="12">
        <f>IF(N903&lt;=1,9,9+0.8*ROUNDUP(N903-1,0))</f>
        <v>9</v>
      </c>
      <c r="AA903" s="11">
        <v>-2</v>
      </c>
      <c r="AB903" s="11">
        <v>0</v>
      </c>
      <c r="AC903" s="11">
        <v>0</v>
      </c>
      <c r="AD903" s="11">
        <v>0</v>
      </c>
      <c r="AE903" s="11">
        <v>0</v>
      </c>
      <c r="AF903" s="11">
        <f t="shared" si="42"/>
        <v>0.42</v>
      </c>
      <c r="AG903" s="11">
        <f t="shared" si="43"/>
        <v>7.42</v>
      </c>
      <c r="AH903" s="11">
        <v>0</v>
      </c>
      <c r="AI903" s="11">
        <f t="shared" si="44"/>
        <v>7.42</v>
      </c>
      <c r="AJ903" t="s">
        <v>62</v>
      </c>
    </row>
    <row r="904" spans="1:36" ht="15" customHeight="1" x14ac:dyDescent="0.35">
      <c r="A904">
        <v>10428918</v>
      </c>
      <c r="B904" t="s">
        <v>36</v>
      </c>
      <c r="C904" t="s">
        <v>37</v>
      </c>
      <c r="D904" s="6" t="s">
        <v>38</v>
      </c>
      <c r="E904" t="s">
        <v>2795</v>
      </c>
      <c r="F904" t="s">
        <v>40</v>
      </c>
      <c r="G904" t="s">
        <v>41</v>
      </c>
      <c r="H904" t="s">
        <v>2796</v>
      </c>
      <c r="I904" t="s">
        <v>43</v>
      </c>
      <c r="J904">
        <v>2</v>
      </c>
      <c r="K904" t="s">
        <v>44</v>
      </c>
      <c r="L904" t="s">
        <v>45</v>
      </c>
      <c r="M904" t="s">
        <v>46</v>
      </c>
      <c r="N904" s="7">
        <v>1</v>
      </c>
      <c r="O904" s="8">
        <v>45623.78974537037</v>
      </c>
      <c r="P904" s="9">
        <v>45629</v>
      </c>
      <c r="Q904" t="s">
        <v>74</v>
      </c>
      <c r="R904" t="s">
        <v>48</v>
      </c>
      <c r="S904" t="s">
        <v>49</v>
      </c>
      <c r="T904" t="s">
        <v>80</v>
      </c>
      <c r="U904" t="s">
        <v>2797</v>
      </c>
      <c r="V904">
        <v>9000</v>
      </c>
      <c r="W904" t="s">
        <v>48</v>
      </c>
      <c r="X904" t="s">
        <v>53</v>
      </c>
      <c r="Y904" t="s">
        <v>54</v>
      </c>
      <c r="Z904" s="12">
        <f>IF(N904&lt;=1,9,9+0.8*ROUNDUP(N904-1,0))</f>
        <v>9</v>
      </c>
      <c r="AA904" s="11">
        <v>-2</v>
      </c>
      <c r="AB904" s="11">
        <v>0</v>
      </c>
      <c r="AC904" s="11">
        <v>0</v>
      </c>
      <c r="AD904" s="11">
        <v>0</v>
      </c>
      <c r="AE904" s="11">
        <v>0</v>
      </c>
      <c r="AF904" s="11">
        <f t="shared" si="42"/>
        <v>0.42</v>
      </c>
      <c r="AG904" s="11">
        <f t="shared" si="43"/>
        <v>7.42</v>
      </c>
      <c r="AH904" s="11">
        <v>0</v>
      </c>
      <c r="AI904" s="11">
        <f t="shared" si="44"/>
        <v>7.42</v>
      </c>
      <c r="AJ904" t="s">
        <v>62</v>
      </c>
    </row>
    <row r="905" spans="1:36" ht="15" customHeight="1" x14ac:dyDescent="0.35">
      <c r="A905">
        <v>10428918</v>
      </c>
      <c r="B905" t="s">
        <v>36</v>
      </c>
      <c r="C905" t="s">
        <v>37</v>
      </c>
      <c r="D905" s="6" t="s">
        <v>38</v>
      </c>
      <c r="E905" t="s">
        <v>2798</v>
      </c>
      <c r="F905" t="s">
        <v>40</v>
      </c>
      <c r="G905" t="s">
        <v>41</v>
      </c>
      <c r="H905" t="s">
        <v>2799</v>
      </c>
      <c r="I905" t="s">
        <v>43</v>
      </c>
      <c r="J905">
        <v>2</v>
      </c>
      <c r="K905" t="s">
        <v>44</v>
      </c>
      <c r="L905" t="s">
        <v>45</v>
      </c>
      <c r="M905" t="s">
        <v>46</v>
      </c>
      <c r="N905" s="7">
        <v>1</v>
      </c>
      <c r="O905" s="8">
        <v>45626.825902777775</v>
      </c>
      <c r="P905" s="9">
        <v>45629</v>
      </c>
      <c r="Q905" t="s">
        <v>74</v>
      </c>
      <c r="R905" t="s">
        <v>48</v>
      </c>
      <c r="S905" t="s">
        <v>49</v>
      </c>
      <c r="T905" t="s">
        <v>117</v>
      </c>
      <c r="U905" t="s">
        <v>2800</v>
      </c>
      <c r="V905">
        <v>42000</v>
      </c>
      <c r="W905" t="s">
        <v>48</v>
      </c>
      <c r="X905" t="s">
        <v>149</v>
      </c>
      <c r="Y905" t="s">
        <v>54</v>
      </c>
      <c r="Z905" s="12">
        <f>IF(N905&lt;=1,9,9+0.8*ROUNDUP(N905-1,0))</f>
        <v>9</v>
      </c>
      <c r="AA905" s="11">
        <v>-2</v>
      </c>
      <c r="AB905" s="11">
        <v>0</v>
      </c>
      <c r="AC905" s="11">
        <v>0</v>
      </c>
      <c r="AD905" s="11">
        <v>0</v>
      </c>
      <c r="AE905" s="11">
        <v>0</v>
      </c>
      <c r="AF905" s="11">
        <f t="shared" si="42"/>
        <v>0.42</v>
      </c>
      <c r="AG905" s="11">
        <f t="shared" si="43"/>
        <v>7.42</v>
      </c>
      <c r="AH905" s="11">
        <v>0</v>
      </c>
      <c r="AI905" s="11">
        <f t="shared" si="44"/>
        <v>7.42</v>
      </c>
      <c r="AJ905" t="s">
        <v>62</v>
      </c>
    </row>
    <row r="906" spans="1:36" ht="15" customHeight="1" x14ac:dyDescent="0.35">
      <c r="A906">
        <v>10428918</v>
      </c>
      <c r="B906" t="s">
        <v>36</v>
      </c>
      <c r="C906" t="s">
        <v>37</v>
      </c>
      <c r="D906" s="6" t="s">
        <v>38</v>
      </c>
      <c r="E906" t="s">
        <v>2801</v>
      </c>
      <c r="F906" t="s">
        <v>40</v>
      </c>
      <c r="G906" t="s">
        <v>41</v>
      </c>
      <c r="H906" t="s">
        <v>2802</v>
      </c>
      <c r="I906" t="s">
        <v>43</v>
      </c>
      <c r="J906">
        <v>2</v>
      </c>
      <c r="K906" t="s">
        <v>44</v>
      </c>
      <c r="L906" t="s">
        <v>45</v>
      </c>
      <c r="M906" t="s">
        <v>46</v>
      </c>
      <c r="N906" s="7">
        <v>2</v>
      </c>
      <c r="O906" s="8">
        <v>45627.629282407404</v>
      </c>
      <c r="P906" s="9">
        <v>45629</v>
      </c>
      <c r="Q906" t="s">
        <v>74</v>
      </c>
      <c r="R906" t="s">
        <v>48</v>
      </c>
      <c r="S906" t="s">
        <v>49</v>
      </c>
      <c r="T906" t="s">
        <v>59</v>
      </c>
      <c r="U906" t="s">
        <v>2803</v>
      </c>
      <c r="V906">
        <v>18300</v>
      </c>
      <c r="W906" t="s">
        <v>48</v>
      </c>
      <c r="X906" t="s">
        <v>61</v>
      </c>
      <c r="Y906" t="s">
        <v>54</v>
      </c>
      <c r="Z906" s="12">
        <f>IF(N906&lt;=1,9,9+0.8*ROUNDUP(N906-1,0))</f>
        <v>9.8000000000000007</v>
      </c>
      <c r="AA906" s="11">
        <v>-2</v>
      </c>
      <c r="AB906" s="11">
        <v>0</v>
      </c>
      <c r="AC906" s="11">
        <v>0</v>
      </c>
      <c r="AD906" s="11">
        <v>0</v>
      </c>
      <c r="AE906" s="11">
        <v>0</v>
      </c>
      <c r="AF906" s="11">
        <f t="shared" si="42"/>
        <v>0.46800000000000003</v>
      </c>
      <c r="AG906" s="11">
        <f t="shared" si="43"/>
        <v>8.2680000000000007</v>
      </c>
      <c r="AH906" s="11">
        <v>0</v>
      </c>
      <c r="AI906" s="11">
        <f t="shared" si="44"/>
        <v>8.2680000000000007</v>
      </c>
      <c r="AJ906" t="s">
        <v>62</v>
      </c>
    </row>
    <row r="907" spans="1:36" ht="15" customHeight="1" x14ac:dyDescent="0.35">
      <c r="A907">
        <v>10428918</v>
      </c>
      <c r="B907" t="s">
        <v>36</v>
      </c>
      <c r="C907" t="s">
        <v>37</v>
      </c>
      <c r="D907" s="6" t="s">
        <v>38</v>
      </c>
      <c r="E907" t="s">
        <v>2804</v>
      </c>
      <c r="F907" t="s">
        <v>40</v>
      </c>
      <c r="G907" t="s">
        <v>41</v>
      </c>
      <c r="H907" t="s">
        <v>2805</v>
      </c>
      <c r="I907" t="s">
        <v>43</v>
      </c>
      <c r="J907">
        <v>2</v>
      </c>
      <c r="K907" t="s">
        <v>44</v>
      </c>
      <c r="L907" t="s">
        <v>45</v>
      </c>
      <c r="M907" t="s">
        <v>46</v>
      </c>
      <c r="N907" s="7">
        <v>1</v>
      </c>
      <c r="O907" s="8">
        <v>45626.619305555556</v>
      </c>
      <c r="P907" s="9">
        <v>45629</v>
      </c>
      <c r="Q907" t="s">
        <v>74</v>
      </c>
      <c r="R907" t="s">
        <v>48</v>
      </c>
      <c r="S907" t="s">
        <v>49</v>
      </c>
      <c r="T907" t="s">
        <v>65</v>
      </c>
      <c r="U907" t="s">
        <v>2806</v>
      </c>
      <c r="V907">
        <v>78000</v>
      </c>
      <c r="W907" t="s">
        <v>48</v>
      </c>
      <c r="X907" t="s">
        <v>448</v>
      </c>
      <c r="Y907" t="s">
        <v>54</v>
      </c>
      <c r="Z907" s="12">
        <f>IF(N907&lt;=1,9,9+0.8*ROUNDUP(N907-1,0))</f>
        <v>9</v>
      </c>
      <c r="AA907" s="11">
        <v>-2</v>
      </c>
      <c r="AB907" s="11">
        <v>0</v>
      </c>
      <c r="AC907" s="11">
        <v>0</v>
      </c>
      <c r="AD907" s="11">
        <v>0</v>
      </c>
      <c r="AE907" s="11">
        <v>0</v>
      </c>
      <c r="AF907" s="11">
        <f t="shared" si="42"/>
        <v>0.42</v>
      </c>
      <c r="AG907" s="11">
        <f t="shared" si="43"/>
        <v>7.42</v>
      </c>
      <c r="AH907" s="11">
        <v>0</v>
      </c>
      <c r="AI907" s="11">
        <f t="shared" si="44"/>
        <v>7.42</v>
      </c>
      <c r="AJ907" t="s">
        <v>62</v>
      </c>
    </row>
    <row r="908" spans="1:36" ht="15" customHeight="1" x14ac:dyDescent="0.35">
      <c r="A908">
        <v>10428918</v>
      </c>
      <c r="B908" t="s">
        <v>36</v>
      </c>
      <c r="C908" t="s">
        <v>37</v>
      </c>
      <c r="D908" s="6" t="s">
        <v>38</v>
      </c>
      <c r="E908" t="s">
        <v>2807</v>
      </c>
      <c r="F908" t="s">
        <v>40</v>
      </c>
      <c r="G908" t="s">
        <v>41</v>
      </c>
      <c r="H908" t="s">
        <v>2808</v>
      </c>
      <c r="I908" t="s">
        <v>43</v>
      </c>
      <c r="J908">
        <v>2</v>
      </c>
      <c r="K908" t="s">
        <v>44</v>
      </c>
      <c r="L908" t="s">
        <v>45</v>
      </c>
      <c r="M908" t="s">
        <v>46</v>
      </c>
      <c r="N908" s="7">
        <v>1</v>
      </c>
      <c r="O908" s="8">
        <v>45627.629270833335</v>
      </c>
      <c r="P908" s="9">
        <v>45629</v>
      </c>
      <c r="Q908" t="s">
        <v>74</v>
      </c>
      <c r="R908" t="s">
        <v>48</v>
      </c>
      <c r="S908" t="s">
        <v>49</v>
      </c>
      <c r="T908" t="s">
        <v>59</v>
      </c>
      <c r="U908" t="s">
        <v>2809</v>
      </c>
      <c r="V908">
        <v>15000</v>
      </c>
      <c r="W908" t="s">
        <v>48</v>
      </c>
      <c r="X908" t="s">
        <v>61</v>
      </c>
      <c r="Y908" t="s">
        <v>54</v>
      </c>
      <c r="Z908" s="12">
        <f>IF(N908&lt;=1,9,9+0.8*ROUNDUP(N908-1,0))</f>
        <v>9</v>
      </c>
      <c r="AA908" s="11">
        <v>-2</v>
      </c>
      <c r="AB908" s="11">
        <v>0</v>
      </c>
      <c r="AC908" s="11">
        <v>0</v>
      </c>
      <c r="AD908" s="11">
        <v>0</v>
      </c>
      <c r="AE908" s="11">
        <v>0</v>
      </c>
      <c r="AF908" s="11">
        <f t="shared" si="42"/>
        <v>0.42</v>
      </c>
      <c r="AG908" s="11">
        <f t="shared" si="43"/>
        <v>7.42</v>
      </c>
      <c r="AH908" s="11">
        <v>0</v>
      </c>
      <c r="AI908" s="11">
        <f t="shared" si="44"/>
        <v>7.42</v>
      </c>
      <c r="AJ908" t="s">
        <v>62</v>
      </c>
    </row>
    <row r="909" spans="1:36" ht="15" customHeight="1" x14ac:dyDescent="0.35">
      <c r="A909">
        <v>10428918</v>
      </c>
      <c r="B909" t="s">
        <v>36</v>
      </c>
      <c r="C909" t="s">
        <v>37</v>
      </c>
      <c r="D909" s="6" t="s">
        <v>38</v>
      </c>
      <c r="E909" t="s">
        <v>2810</v>
      </c>
      <c r="F909" t="s">
        <v>40</v>
      </c>
      <c r="G909" t="s">
        <v>41</v>
      </c>
      <c r="H909" t="s">
        <v>2811</v>
      </c>
      <c r="I909" t="s">
        <v>43</v>
      </c>
      <c r="J909">
        <v>2</v>
      </c>
      <c r="K909" t="s">
        <v>44</v>
      </c>
      <c r="L909" t="s">
        <v>45</v>
      </c>
      <c r="M909" t="s">
        <v>46</v>
      </c>
      <c r="N909" s="7">
        <v>1</v>
      </c>
      <c r="O909" s="8">
        <v>45627.422314814816</v>
      </c>
      <c r="P909" s="9">
        <v>45629</v>
      </c>
      <c r="Q909" t="s">
        <v>74</v>
      </c>
      <c r="R909" t="s">
        <v>48</v>
      </c>
      <c r="S909" t="s">
        <v>49</v>
      </c>
      <c r="T909" t="s">
        <v>80</v>
      </c>
      <c r="U909" t="s">
        <v>2812</v>
      </c>
      <c r="V909">
        <v>9400</v>
      </c>
      <c r="W909" t="s">
        <v>48</v>
      </c>
      <c r="X909" t="s">
        <v>690</v>
      </c>
      <c r="Y909" t="s">
        <v>54</v>
      </c>
      <c r="Z909" s="12">
        <f>IF(N909&lt;=1,9,9+0.8*ROUNDUP(N909-1,0))</f>
        <v>9</v>
      </c>
      <c r="AA909" s="11">
        <v>-2</v>
      </c>
      <c r="AB909" s="11">
        <v>0</v>
      </c>
      <c r="AC909" s="11">
        <v>0</v>
      </c>
      <c r="AD909" s="11">
        <v>0</v>
      </c>
      <c r="AE909" s="11">
        <v>0</v>
      </c>
      <c r="AF909" s="11">
        <f t="shared" si="42"/>
        <v>0.42</v>
      </c>
      <c r="AG909" s="11">
        <f t="shared" si="43"/>
        <v>7.42</v>
      </c>
      <c r="AH909" s="11">
        <v>0</v>
      </c>
      <c r="AI909" s="11">
        <f t="shared" si="44"/>
        <v>7.42</v>
      </c>
      <c r="AJ909" t="s">
        <v>62</v>
      </c>
    </row>
    <row r="910" spans="1:36" ht="15" customHeight="1" x14ac:dyDescent="0.35">
      <c r="A910">
        <v>10428918</v>
      </c>
      <c r="B910" t="s">
        <v>36</v>
      </c>
      <c r="C910" t="s">
        <v>37</v>
      </c>
      <c r="D910" s="6" t="s">
        <v>38</v>
      </c>
      <c r="E910" t="s">
        <v>2813</v>
      </c>
      <c r="F910" t="s">
        <v>40</v>
      </c>
      <c r="G910" t="s">
        <v>41</v>
      </c>
      <c r="H910" t="s">
        <v>2814</v>
      </c>
      <c r="I910" t="s">
        <v>43</v>
      </c>
      <c r="J910">
        <v>2</v>
      </c>
      <c r="K910" t="s">
        <v>44</v>
      </c>
      <c r="L910" t="s">
        <v>45</v>
      </c>
      <c r="M910" t="s">
        <v>46</v>
      </c>
      <c r="N910" s="7">
        <v>2</v>
      </c>
      <c r="O910" s="8">
        <v>45626.811747685184</v>
      </c>
      <c r="P910" s="9">
        <v>45629</v>
      </c>
      <c r="Q910" t="s">
        <v>74</v>
      </c>
      <c r="R910" t="s">
        <v>48</v>
      </c>
      <c r="S910" t="s">
        <v>49</v>
      </c>
      <c r="T910" t="s">
        <v>117</v>
      </c>
      <c r="U910" t="s">
        <v>2815</v>
      </c>
      <c r="V910">
        <v>42700</v>
      </c>
      <c r="W910" t="s">
        <v>48</v>
      </c>
      <c r="X910" t="s">
        <v>901</v>
      </c>
      <c r="Y910" t="s">
        <v>54</v>
      </c>
      <c r="Z910" s="12">
        <f>IF(N910&lt;=1,9,9+0.8*ROUNDUP(N910-1,0))</f>
        <v>9.8000000000000007</v>
      </c>
      <c r="AA910" s="11">
        <v>-2</v>
      </c>
      <c r="AB910" s="11">
        <v>0</v>
      </c>
      <c r="AC910" s="11">
        <v>0</v>
      </c>
      <c r="AD910" s="11">
        <v>0</v>
      </c>
      <c r="AE910" s="11">
        <v>0</v>
      </c>
      <c r="AF910" s="11">
        <f t="shared" si="42"/>
        <v>0.46800000000000003</v>
      </c>
      <c r="AG910" s="11">
        <f t="shared" si="43"/>
        <v>8.2680000000000007</v>
      </c>
      <c r="AH910" s="11">
        <v>0</v>
      </c>
      <c r="AI910" s="11">
        <f t="shared" si="44"/>
        <v>8.2680000000000007</v>
      </c>
      <c r="AJ910" t="s">
        <v>62</v>
      </c>
    </row>
    <row r="911" spans="1:36" ht="15" customHeight="1" x14ac:dyDescent="0.35">
      <c r="A911">
        <v>10428918</v>
      </c>
      <c r="B911" t="s">
        <v>36</v>
      </c>
      <c r="C911" t="s">
        <v>37</v>
      </c>
      <c r="D911" s="6" t="s">
        <v>38</v>
      </c>
      <c r="E911" t="s">
        <v>2816</v>
      </c>
      <c r="F911" t="s">
        <v>40</v>
      </c>
      <c r="G911" t="s">
        <v>41</v>
      </c>
      <c r="H911" t="s">
        <v>2817</v>
      </c>
      <c r="I911" t="s">
        <v>43</v>
      </c>
      <c r="J911">
        <v>2</v>
      </c>
      <c r="K911" t="s">
        <v>44</v>
      </c>
      <c r="L911" t="s">
        <v>45</v>
      </c>
      <c r="M911" t="s">
        <v>46</v>
      </c>
      <c r="N911" s="7">
        <v>2</v>
      </c>
      <c r="O911" s="8">
        <v>45627.422314814816</v>
      </c>
      <c r="P911" s="9">
        <v>45629</v>
      </c>
      <c r="Q911" t="s">
        <v>74</v>
      </c>
      <c r="R911" t="s">
        <v>48</v>
      </c>
      <c r="S911" t="s">
        <v>49</v>
      </c>
      <c r="T911" t="s">
        <v>80</v>
      </c>
      <c r="U911" t="s">
        <v>2818</v>
      </c>
      <c r="V911">
        <v>9020</v>
      </c>
      <c r="W911" t="s">
        <v>48</v>
      </c>
      <c r="X911" t="s">
        <v>1388</v>
      </c>
      <c r="Y911" t="s">
        <v>54</v>
      </c>
      <c r="Z911" s="12">
        <f>IF(N911&lt;=1,9,9+0.8*ROUNDUP(N911-1,0))</f>
        <v>9.8000000000000007</v>
      </c>
      <c r="AA911" s="11">
        <v>-2</v>
      </c>
      <c r="AB911" s="11">
        <v>0</v>
      </c>
      <c r="AC911" s="11">
        <v>0</v>
      </c>
      <c r="AD911" s="11">
        <v>0</v>
      </c>
      <c r="AE911" s="11">
        <v>0</v>
      </c>
      <c r="AF911" s="11">
        <f t="shared" si="42"/>
        <v>0.46800000000000003</v>
      </c>
      <c r="AG911" s="11">
        <f t="shared" si="43"/>
        <v>8.2680000000000007</v>
      </c>
      <c r="AH911" s="11">
        <v>0</v>
      </c>
      <c r="AI911" s="11">
        <f t="shared" si="44"/>
        <v>8.2680000000000007</v>
      </c>
      <c r="AJ911" t="s">
        <v>62</v>
      </c>
    </row>
    <row r="912" spans="1:36" ht="15" customHeight="1" x14ac:dyDescent="0.35">
      <c r="A912">
        <v>10428918</v>
      </c>
      <c r="B912" t="s">
        <v>36</v>
      </c>
      <c r="C912" t="s">
        <v>37</v>
      </c>
      <c r="D912" s="6" t="s">
        <v>38</v>
      </c>
      <c r="E912" t="s">
        <v>2819</v>
      </c>
      <c r="F912" t="s">
        <v>40</v>
      </c>
      <c r="G912" t="s">
        <v>41</v>
      </c>
      <c r="H912" t="s">
        <v>2820</v>
      </c>
      <c r="I912" t="s">
        <v>43</v>
      </c>
      <c r="J912">
        <v>2</v>
      </c>
      <c r="K912" t="s">
        <v>44</v>
      </c>
      <c r="L912" t="s">
        <v>45</v>
      </c>
      <c r="M912" t="s">
        <v>46</v>
      </c>
      <c r="N912" s="7">
        <v>1</v>
      </c>
      <c r="O912" s="8">
        <v>45626.817094907405</v>
      </c>
      <c r="P912" s="9">
        <v>45629</v>
      </c>
      <c r="Q912" t="s">
        <v>74</v>
      </c>
      <c r="R912" t="s">
        <v>48</v>
      </c>
      <c r="S912" t="s">
        <v>49</v>
      </c>
      <c r="T912" t="s">
        <v>161</v>
      </c>
      <c r="U912" t="s">
        <v>2821</v>
      </c>
      <c r="V912">
        <v>14120</v>
      </c>
      <c r="W912" t="s">
        <v>48</v>
      </c>
      <c r="X912" t="s">
        <v>666</v>
      </c>
      <c r="Y912" t="s">
        <v>54</v>
      </c>
      <c r="Z912" s="12">
        <f>IF(N912&lt;=1,9,9+0.8*ROUNDUP(N912-1,0))</f>
        <v>9</v>
      </c>
      <c r="AA912" s="11">
        <v>-2</v>
      </c>
      <c r="AB912" s="11">
        <v>0</v>
      </c>
      <c r="AC912" s="11">
        <v>0</v>
      </c>
      <c r="AD912" s="11">
        <v>0</v>
      </c>
      <c r="AE912" s="11">
        <v>0</v>
      </c>
      <c r="AF912" s="11">
        <f t="shared" si="42"/>
        <v>0.42</v>
      </c>
      <c r="AG912" s="11">
        <f t="shared" si="43"/>
        <v>7.42</v>
      </c>
      <c r="AH912" s="11">
        <v>0</v>
      </c>
      <c r="AI912" s="11">
        <f t="shared" si="44"/>
        <v>7.42</v>
      </c>
      <c r="AJ912" t="s">
        <v>62</v>
      </c>
    </row>
    <row r="913" spans="1:36" ht="15" customHeight="1" x14ac:dyDescent="0.35">
      <c r="A913">
        <v>10428918</v>
      </c>
      <c r="B913" t="s">
        <v>36</v>
      </c>
      <c r="C913" t="s">
        <v>37</v>
      </c>
      <c r="D913" s="6" t="s">
        <v>38</v>
      </c>
      <c r="E913" t="s">
        <v>2822</v>
      </c>
      <c r="F913" t="s">
        <v>40</v>
      </c>
      <c r="G913" t="s">
        <v>41</v>
      </c>
      <c r="H913" t="s">
        <v>2823</v>
      </c>
      <c r="I913" t="s">
        <v>43</v>
      </c>
      <c r="J913">
        <v>2</v>
      </c>
      <c r="K913" t="s">
        <v>44</v>
      </c>
      <c r="L913" t="s">
        <v>45</v>
      </c>
      <c r="M913" t="s">
        <v>46</v>
      </c>
      <c r="N913" s="7">
        <v>2</v>
      </c>
      <c r="O913" s="8">
        <v>45626.811747685184</v>
      </c>
      <c r="P913" s="9">
        <v>45629</v>
      </c>
      <c r="Q913" t="s">
        <v>74</v>
      </c>
      <c r="R913" t="s">
        <v>48</v>
      </c>
      <c r="S913" t="s">
        <v>49</v>
      </c>
      <c r="T913" t="s">
        <v>117</v>
      </c>
      <c r="U913" t="s">
        <v>2824</v>
      </c>
      <c r="V913">
        <v>40170</v>
      </c>
      <c r="W913" t="s">
        <v>48</v>
      </c>
      <c r="X913" t="s">
        <v>429</v>
      </c>
      <c r="Y913" t="s">
        <v>54</v>
      </c>
      <c r="Z913" s="12">
        <f>IF(N913&lt;=1,9,9+0.8*ROUNDUP(N913-1,0))</f>
        <v>9.8000000000000007</v>
      </c>
      <c r="AA913" s="11">
        <v>-2</v>
      </c>
      <c r="AB913" s="11">
        <v>0</v>
      </c>
      <c r="AC913" s="11">
        <v>0</v>
      </c>
      <c r="AD913" s="11">
        <v>0</v>
      </c>
      <c r="AE913" s="11">
        <v>0</v>
      </c>
      <c r="AF913" s="11">
        <f t="shared" si="42"/>
        <v>0.46800000000000003</v>
      </c>
      <c r="AG913" s="11">
        <f t="shared" si="43"/>
        <v>8.2680000000000007</v>
      </c>
      <c r="AH913" s="11">
        <v>0</v>
      </c>
      <c r="AI913" s="11">
        <f t="shared" si="44"/>
        <v>8.2680000000000007</v>
      </c>
      <c r="AJ913" t="s">
        <v>62</v>
      </c>
    </row>
    <row r="914" spans="1:36" ht="15" customHeight="1" x14ac:dyDescent="0.35">
      <c r="A914">
        <v>10428918</v>
      </c>
      <c r="B914" t="s">
        <v>36</v>
      </c>
      <c r="C914" t="s">
        <v>37</v>
      </c>
      <c r="D914" s="6" t="s">
        <v>38</v>
      </c>
      <c r="E914" t="s">
        <v>2825</v>
      </c>
      <c r="F914" t="s">
        <v>40</v>
      </c>
      <c r="G914" t="s">
        <v>41</v>
      </c>
      <c r="H914" t="s">
        <v>2826</v>
      </c>
      <c r="I914" t="s">
        <v>43</v>
      </c>
      <c r="J914">
        <v>2</v>
      </c>
      <c r="K914" t="s">
        <v>44</v>
      </c>
      <c r="L914" t="s">
        <v>45</v>
      </c>
      <c r="M914" t="s">
        <v>46</v>
      </c>
      <c r="N914" s="7">
        <v>3</v>
      </c>
      <c r="O914" s="8">
        <v>45628.705057870371</v>
      </c>
      <c r="P914" s="9">
        <v>45629</v>
      </c>
      <c r="Q914" t="s">
        <v>74</v>
      </c>
      <c r="R914" t="s">
        <v>48</v>
      </c>
      <c r="S914" t="s">
        <v>49</v>
      </c>
      <c r="T914" t="s">
        <v>170</v>
      </c>
      <c r="U914" t="s">
        <v>2827</v>
      </c>
      <c r="V914">
        <v>47800</v>
      </c>
      <c r="W914" t="s">
        <v>48</v>
      </c>
      <c r="X914" t="s">
        <v>2828</v>
      </c>
      <c r="Y914" t="s">
        <v>54</v>
      </c>
      <c r="Z914" s="12">
        <f>IF(N914&lt;=1,9,9+0.8*ROUNDUP(N914-1,0))</f>
        <v>10.6</v>
      </c>
      <c r="AA914" s="11">
        <v>-2</v>
      </c>
      <c r="AB914" s="11">
        <v>0</v>
      </c>
      <c r="AC914" s="11">
        <v>0</v>
      </c>
      <c r="AD914" s="11">
        <v>0</v>
      </c>
      <c r="AE914" s="11">
        <v>0</v>
      </c>
      <c r="AF914" s="11">
        <f t="shared" si="42"/>
        <v>0.51600000000000001</v>
      </c>
      <c r="AG914" s="11">
        <f t="shared" si="43"/>
        <v>9.1159999999999997</v>
      </c>
      <c r="AH914" s="11">
        <v>0</v>
      </c>
      <c r="AI914" s="11">
        <f t="shared" si="44"/>
        <v>9.1159999999999997</v>
      </c>
      <c r="AJ914" t="s">
        <v>62</v>
      </c>
    </row>
    <row r="915" spans="1:36" ht="15" customHeight="1" x14ac:dyDescent="0.35">
      <c r="A915">
        <v>10428918</v>
      </c>
      <c r="B915" t="s">
        <v>36</v>
      </c>
      <c r="C915" t="s">
        <v>37</v>
      </c>
      <c r="D915" s="6" t="s">
        <v>38</v>
      </c>
      <c r="E915" t="s">
        <v>2829</v>
      </c>
      <c r="F915" t="s">
        <v>40</v>
      </c>
      <c r="G915" t="s">
        <v>41</v>
      </c>
      <c r="H915" t="s">
        <v>2830</v>
      </c>
      <c r="I915" t="s">
        <v>43</v>
      </c>
      <c r="J915">
        <v>2</v>
      </c>
      <c r="K915" t="s">
        <v>44</v>
      </c>
      <c r="L915" t="s">
        <v>45</v>
      </c>
      <c r="M915" t="s">
        <v>46</v>
      </c>
      <c r="N915" s="7">
        <v>1</v>
      </c>
      <c r="O915" s="8">
        <v>45626.627071759256</v>
      </c>
      <c r="P915" s="9">
        <v>45629</v>
      </c>
      <c r="Q915" t="s">
        <v>74</v>
      </c>
      <c r="R915" t="s">
        <v>48</v>
      </c>
      <c r="S915" t="s">
        <v>49</v>
      </c>
      <c r="T915" t="s">
        <v>80</v>
      </c>
      <c r="U915" t="s">
        <v>2831</v>
      </c>
      <c r="V915">
        <v>8800</v>
      </c>
      <c r="W915" t="s">
        <v>48</v>
      </c>
      <c r="X915" t="s">
        <v>141</v>
      </c>
      <c r="Y915" t="s">
        <v>54</v>
      </c>
      <c r="Z915" s="12">
        <f>IF(N915&lt;=1,9,9+0.8*ROUNDUP(N915-1,0))</f>
        <v>9</v>
      </c>
      <c r="AA915" s="11">
        <v>-2</v>
      </c>
      <c r="AB915" s="11">
        <v>0</v>
      </c>
      <c r="AC915" s="11">
        <v>0</v>
      </c>
      <c r="AD915" s="11">
        <v>0</v>
      </c>
      <c r="AE915" s="11">
        <v>0</v>
      </c>
      <c r="AF915" s="11">
        <f t="shared" si="42"/>
        <v>0.42</v>
      </c>
      <c r="AG915" s="11">
        <f t="shared" si="43"/>
        <v>7.42</v>
      </c>
      <c r="AH915" s="11">
        <v>0</v>
      </c>
      <c r="AI915" s="11">
        <f t="shared" si="44"/>
        <v>7.42</v>
      </c>
      <c r="AJ915" t="s">
        <v>62</v>
      </c>
    </row>
    <row r="916" spans="1:36" ht="15" customHeight="1" x14ac:dyDescent="0.35">
      <c r="A916">
        <v>10428918</v>
      </c>
      <c r="B916" t="s">
        <v>36</v>
      </c>
      <c r="C916" t="s">
        <v>37</v>
      </c>
      <c r="D916" s="6" t="s">
        <v>38</v>
      </c>
      <c r="E916" t="s">
        <v>2832</v>
      </c>
      <c r="F916" t="s">
        <v>40</v>
      </c>
      <c r="G916" t="s">
        <v>41</v>
      </c>
      <c r="H916" t="s">
        <v>2833</v>
      </c>
      <c r="I916" t="s">
        <v>43</v>
      </c>
      <c r="J916">
        <v>2</v>
      </c>
      <c r="K916" t="s">
        <v>44</v>
      </c>
      <c r="L916" t="s">
        <v>45</v>
      </c>
      <c r="M916" t="s">
        <v>46</v>
      </c>
      <c r="N916" s="7">
        <v>10</v>
      </c>
      <c r="O916" s="8">
        <v>45624.423113425924</v>
      </c>
      <c r="P916" s="9">
        <v>45629</v>
      </c>
      <c r="Q916" t="s">
        <v>74</v>
      </c>
      <c r="R916" t="s">
        <v>48</v>
      </c>
      <c r="S916" t="s">
        <v>49</v>
      </c>
      <c r="T916" t="s">
        <v>117</v>
      </c>
      <c r="U916" t="s">
        <v>2834</v>
      </c>
      <c r="V916">
        <v>48010</v>
      </c>
      <c r="W916" t="s">
        <v>48</v>
      </c>
      <c r="X916" t="s">
        <v>53</v>
      </c>
      <c r="Y916" t="s">
        <v>54</v>
      </c>
      <c r="Z916" s="12">
        <f>IF(N916&lt;=1,9,9+0.8*ROUNDUP(N916-1,0))</f>
        <v>16.2</v>
      </c>
      <c r="AA916" s="11">
        <v>-2</v>
      </c>
      <c r="AB916" s="11">
        <v>0</v>
      </c>
      <c r="AC916" s="11">
        <v>0</v>
      </c>
      <c r="AD916" s="11">
        <v>1500</v>
      </c>
      <c r="AE916" s="11">
        <f>AD916*1.5%</f>
        <v>22.5</v>
      </c>
      <c r="AF916" s="11">
        <f t="shared" si="42"/>
        <v>2.202</v>
      </c>
      <c r="AG916" s="11">
        <f t="shared" si="43"/>
        <v>38.902000000000001</v>
      </c>
      <c r="AH916" s="11">
        <v>0</v>
      </c>
      <c r="AI916" s="11">
        <f t="shared" si="44"/>
        <v>38.902000000000001</v>
      </c>
      <c r="AJ916" t="s">
        <v>62</v>
      </c>
    </row>
    <row r="917" spans="1:36" ht="15" customHeight="1" x14ac:dyDescent="0.35">
      <c r="A917">
        <v>10428918</v>
      </c>
      <c r="B917" t="s">
        <v>36</v>
      </c>
      <c r="C917" t="s">
        <v>37</v>
      </c>
      <c r="D917" s="6" t="s">
        <v>38</v>
      </c>
      <c r="E917" t="s">
        <v>2835</v>
      </c>
      <c r="F917" t="s">
        <v>40</v>
      </c>
      <c r="G917" t="s">
        <v>41</v>
      </c>
      <c r="H917" t="s">
        <v>2836</v>
      </c>
      <c r="I917" t="s">
        <v>43</v>
      </c>
      <c r="J917">
        <v>2</v>
      </c>
      <c r="K917" t="s">
        <v>44</v>
      </c>
      <c r="L917" t="s">
        <v>45</v>
      </c>
      <c r="M917" t="s">
        <v>46</v>
      </c>
      <c r="N917" s="7">
        <v>1</v>
      </c>
      <c r="O917" s="8">
        <v>45626.613391203704</v>
      </c>
      <c r="P917" s="9">
        <v>45629</v>
      </c>
      <c r="Q917" t="s">
        <v>74</v>
      </c>
      <c r="R917" t="s">
        <v>48</v>
      </c>
      <c r="S917" t="s">
        <v>49</v>
      </c>
      <c r="T917" t="s">
        <v>80</v>
      </c>
      <c r="U917" t="s">
        <v>2837</v>
      </c>
      <c r="V917">
        <v>6200</v>
      </c>
      <c r="W917" t="s">
        <v>48</v>
      </c>
      <c r="X917" t="s">
        <v>522</v>
      </c>
      <c r="Y917" t="s">
        <v>54</v>
      </c>
      <c r="Z917" s="12">
        <f>IF(N917&lt;=1,9,9+0.8*ROUNDUP(N917-1,0))</f>
        <v>9</v>
      </c>
      <c r="AA917" s="11">
        <v>-2</v>
      </c>
      <c r="AB917" s="11">
        <v>0</v>
      </c>
      <c r="AC917" s="11">
        <v>0</v>
      </c>
      <c r="AD917" s="11">
        <v>0</v>
      </c>
      <c r="AE917" s="11">
        <v>0</v>
      </c>
      <c r="AF917" s="11">
        <f t="shared" si="42"/>
        <v>0.42</v>
      </c>
      <c r="AG917" s="11">
        <f t="shared" si="43"/>
        <v>7.42</v>
      </c>
      <c r="AH917" s="11">
        <v>0</v>
      </c>
      <c r="AI917" s="11">
        <f t="shared" si="44"/>
        <v>7.42</v>
      </c>
      <c r="AJ917" t="s">
        <v>62</v>
      </c>
    </row>
    <row r="918" spans="1:36" ht="15" customHeight="1" x14ac:dyDescent="0.35">
      <c r="A918">
        <v>10428918</v>
      </c>
      <c r="B918" t="s">
        <v>36</v>
      </c>
      <c r="C918" t="s">
        <v>37</v>
      </c>
      <c r="D918" s="6" t="s">
        <v>38</v>
      </c>
      <c r="E918" t="s">
        <v>2838</v>
      </c>
      <c r="F918" t="s">
        <v>40</v>
      </c>
      <c r="G918" t="s">
        <v>41</v>
      </c>
      <c r="H918" t="s">
        <v>2839</v>
      </c>
      <c r="I918" t="s">
        <v>43</v>
      </c>
      <c r="J918">
        <v>2</v>
      </c>
      <c r="K918" t="s">
        <v>44</v>
      </c>
      <c r="L918" t="s">
        <v>45</v>
      </c>
      <c r="M918" t="s">
        <v>46</v>
      </c>
      <c r="N918" s="7">
        <v>1</v>
      </c>
      <c r="O918" s="8">
        <v>45624.632118055553</v>
      </c>
      <c r="P918" s="9">
        <v>45629</v>
      </c>
      <c r="Q918" t="s">
        <v>74</v>
      </c>
      <c r="R918" t="s">
        <v>48</v>
      </c>
      <c r="S918" t="s">
        <v>49</v>
      </c>
      <c r="T918" t="s">
        <v>117</v>
      </c>
      <c r="U918" t="s">
        <v>2840</v>
      </c>
      <c r="V918">
        <v>42500</v>
      </c>
      <c r="W918" t="s">
        <v>48</v>
      </c>
      <c r="X918" t="s">
        <v>455</v>
      </c>
      <c r="Y918" t="s">
        <v>54</v>
      </c>
      <c r="Z918" s="12">
        <f>IF(N918&lt;=1,9,9+0.8*ROUNDUP(N918-1,0))</f>
        <v>9</v>
      </c>
      <c r="AA918" s="11">
        <v>-2</v>
      </c>
      <c r="AB918" s="11">
        <v>0</v>
      </c>
      <c r="AC918" s="11">
        <v>0</v>
      </c>
      <c r="AD918" s="11">
        <v>0</v>
      </c>
      <c r="AE918" s="11">
        <v>0</v>
      </c>
      <c r="AF918" s="11">
        <f t="shared" si="42"/>
        <v>0.42</v>
      </c>
      <c r="AG918" s="11">
        <f t="shared" si="43"/>
        <v>7.42</v>
      </c>
      <c r="AH918" s="11">
        <v>0</v>
      </c>
      <c r="AI918" s="11">
        <f t="shared" si="44"/>
        <v>7.42</v>
      </c>
      <c r="AJ918" t="s">
        <v>62</v>
      </c>
    </row>
    <row r="919" spans="1:36" ht="15" customHeight="1" x14ac:dyDescent="0.35">
      <c r="A919">
        <v>10428918</v>
      </c>
      <c r="B919" t="s">
        <v>36</v>
      </c>
      <c r="C919" t="s">
        <v>37</v>
      </c>
      <c r="D919" s="6" t="s">
        <v>38</v>
      </c>
      <c r="E919" t="s">
        <v>2841</v>
      </c>
      <c r="F919" t="s">
        <v>40</v>
      </c>
      <c r="G919" t="s">
        <v>41</v>
      </c>
      <c r="H919" t="s">
        <v>2842</v>
      </c>
      <c r="I919" t="s">
        <v>43</v>
      </c>
      <c r="J919">
        <v>2</v>
      </c>
      <c r="K919" t="s">
        <v>44</v>
      </c>
      <c r="L919" t="s">
        <v>45</v>
      </c>
      <c r="M919" t="s">
        <v>46</v>
      </c>
      <c r="N919" s="7">
        <v>4</v>
      </c>
      <c r="O919" s="8">
        <v>45627.439039351855</v>
      </c>
      <c r="P919" s="9">
        <v>45629</v>
      </c>
      <c r="Q919" t="s">
        <v>74</v>
      </c>
      <c r="R919" t="s">
        <v>48</v>
      </c>
      <c r="S919" t="s">
        <v>49</v>
      </c>
      <c r="T919" t="s">
        <v>85</v>
      </c>
      <c r="U919" t="s">
        <v>2843</v>
      </c>
      <c r="V919">
        <v>71050</v>
      </c>
      <c r="W919" t="s">
        <v>48</v>
      </c>
      <c r="X919" t="s">
        <v>53</v>
      </c>
      <c r="Y919" t="s">
        <v>54</v>
      </c>
      <c r="Z919" s="12">
        <f>IF(N919&lt;=1,9,9+0.8*ROUNDUP(N919-1,0))</f>
        <v>11.4</v>
      </c>
      <c r="AA919" s="11">
        <v>-2</v>
      </c>
      <c r="AB919" s="11">
        <v>0</v>
      </c>
      <c r="AC919" s="11">
        <v>0</v>
      </c>
      <c r="AD919" s="11">
        <v>0</v>
      </c>
      <c r="AE919" s="11">
        <v>0</v>
      </c>
      <c r="AF919" s="11">
        <f t="shared" si="42"/>
        <v>0.56399999999999995</v>
      </c>
      <c r="AG919" s="11">
        <f t="shared" si="43"/>
        <v>9.9640000000000004</v>
      </c>
      <c r="AH919" s="11">
        <v>0</v>
      </c>
      <c r="AI919" s="11">
        <f t="shared" si="44"/>
        <v>9.9640000000000004</v>
      </c>
      <c r="AJ919" t="s">
        <v>62</v>
      </c>
    </row>
    <row r="920" spans="1:36" ht="15" customHeight="1" x14ac:dyDescent="0.35">
      <c r="A920">
        <v>10428918</v>
      </c>
      <c r="B920" t="s">
        <v>36</v>
      </c>
      <c r="C920" t="s">
        <v>37</v>
      </c>
      <c r="D920" s="6" t="s">
        <v>38</v>
      </c>
      <c r="E920" t="s">
        <v>2844</v>
      </c>
      <c r="F920" t="s">
        <v>40</v>
      </c>
      <c r="G920" t="s">
        <v>41</v>
      </c>
      <c r="H920" t="s">
        <v>2845</v>
      </c>
      <c r="I920" t="s">
        <v>43</v>
      </c>
      <c r="J920">
        <v>2</v>
      </c>
      <c r="K920" t="s">
        <v>44</v>
      </c>
      <c r="L920" t="s">
        <v>45</v>
      </c>
      <c r="M920" t="s">
        <v>46</v>
      </c>
      <c r="N920" s="7">
        <v>1</v>
      </c>
      <c r="O920" s="8">
        <v>45622.836770833332</v>
      </c>
      <c r="P920" s="9">
        <v>45629</v>
      </c>
      <c r="Q920" t="s">
        <v>74</v>
      </c>
      <c r="R920" t="s">
        <v>48</v>
      </c>
      <c r="S920" t="s">
        <v>49</v>
      </c>
      <c r="T920" t="s">
        <v>101</v>
      </c>
      <c r="U920" t="s">
        <v>2846</v>
      </c>
      <c r="V920">
        <v>31600</v>
      </c>
      <c r="W920" t="s">
        <v>48</v>
      </c>
      <c r="X920" t="s">
        <v>414</v>
      </c>
      <c r="Y920" t="s">
        <v>54</v>
      </c>
      <c r="Z920" s="12">
        <f>IF(N920&lt;=1,9,9+0.8*ROUNDUP(N920-1,0))</f>
        <v>9</v>
      </c>
      <c r="AA920" s="11">
        <v>-2</v>
      </c>
      <c r="AB920" s="11">
        <v>0</v>
      </c>
      <c r="AC920" s="11">
        <v>0</v>
      </c>
      <c r="AD920" s="11">
        <v>0</v>
      </c>
      <c r="AE920" s="11">
        <v>0</v>
      </c>
      <c r="AF920" s="11">
        <f t="shared" si="42"/>
        <v>0.42</v>
      </c>
      <c r="AG920" s="11">
        <f t="shared" si="43"/>
        <v>7.42</v>
      </c>
      <c r="AH920" s="11">
        <v>0</v>
      </c>
      <c r="AI920" s="11">
        <f t="shared" si="44"/>
        <v>7.42</v>
      </c>
      <c r="AJ920" t="s">
        <v>62</v>
      </c>
    </row>
    <row r="921" spans="1:36" ht="15" customHeight="1" x14ac:dyDescent="0.35">
      <c r="A921">
        <v>10428918</v>
      </c>
      <c r="B921" t="s">
        <v>36</v>
      </c>
      <c r="C921" t="s">
        <v>37</v>
      </c>
      <c r="D921" s="6" t="s">
        <v>38</v>
      </c>
      <c r="E921" t="s">
        <v>2847</v>
      </c>
      <c r="F921" t="s">
        <v>40</v>
      </c>
      <c r="G921" t="s">
        <v>41</v>
      </c>
      <c r="H921" t="s">
        <v>2848</v>
      </c>
      <c r="I921" t="s">
        <v>43</v>
      </c>
      <c r="J921">
        <v>2</v>
      </c>
      <c r="K921" t="s">
        <v>44</v>
      </c>
      <c r="L921" t="s">
        <v>45</v>
      </c>
      <c r="M921" t="s">
        <v>46</v>
      </c>
      <c r="N921" s="7">
        <v>1</v>
      </c>
      <c r="O921" s="8">
        <v>45626.767893518518</v>
      </c>
      <c r="P921" s="9">
        <v>45629</v>
      </c>
      <c r="Q921" t="s">
        <v>74</v>
      </c>
      <c r="R921" t="s">
        <v>48</v>
      </c>
      <c r="S921" t="s">
        <v>49</v>
      </c>
      <c r="T921" t="s">
        <v>170</v>
      </c>
      <c r="U921" t="s">
        <v>2849</v>
      </c>
      <c r="V921">
        <v>58200</v>
      </c>
      <c r="W921" t="s">
        <v>48</v>
      </c>
      <c r="X921" t="s">
        <v>2850</v>
      </c>
      <c r="Y921" t="s">
        <v>54</v>
      </c>
      <c r="Z921" s="12">
        <f>IF(N921&lt;=1,9,9+0.8*ROUNDUP(N921-1,0))</f>
        <v>9</v>
      </c>
      <c r="AA921" s="11">
        <v>-2</v>
      </c>
      <c r="AB921" s="11">
        <v>0</v>
      </c>
      <c r="AC921" s="11">
        <v>0</v>
      </c>
      <c r="AD921" s="11">
        <v>0</v>
      </c>
      <c r="AE921" s="11">
        <v>0</v>
      </c>
      <c r="AF921" s="11">
        <f t="shared" si="42"/>
        <v>0.42</v>
      </c>
      <c r="AG921" s="11">
        <f t="shared" si="43"/>
        <v>7.42</v>
      </c>
      <c r="AH921" s="11">
        <v>0</v>
      </c>
      <c r="AI921" s="11">
        <f t="shared" si="44"/>
        <v>7.42</v>
      </c>
      <c r="AJ921" t="s">
        <v>62</v>
      </c>
    </row>
    <row r="922" spans="1:36" ht="15" customHeight="1" x14ac:dyDescent="0.35">
      <c r="A922">
        <v>10428918</v>
      </c>
      <c r="B922" t="s">
        <v>36</v>
      </c>
      <c r="C922" t="s">
        <v>37</v>
      </c>
      <c r="D922" s="6" t="s">
        <v>38</v>
      </c>
      <c r="E922" t="s">
        <v>2851</v>
      </c>
      <c r="F922" t="s">
        <v>40</v>
      </c>
      <c r="G922" t="s">
        <v>41</v>
      </c>
      <c r="H922" t="s">
        <v>2852</v>
      </c>
      <c r="I922" t="s">
        <v>43</v>
      </c>
      <c r="J922">
        <v>2</v>
      </c>
      <c r="K922" t="s">
        <v>44</v>
      </c>
      <c r="L922" t="s">
        <v>45</v>
      </c>
      <c r="M922" t="s">
        <v>46</v>
      </c>
      <c r="N922" s="7">
        <v>1</v>
      </c>
      <c r="O922" s="8">
        <v>45622.836770833332</v>
      </c>
      <c r="P922" s="9">
        <v>45629</v>
      </c>
      <c r="Q922" t="s">
        <v>74</v>
      </c>
      <c r="R922" t="s">
        <v>48</v>
      </c>
      <c r="S922" t="s">
        <v>49</v>
      </c>
      <c r="T922" t="s">
        <v>69</v>
      </c>
      <c r="U922" t="s">
        <v>2853</v>
      </c>
      <c r="V922">
        <v>81930</v>
      </c>
      <c r="W922" t="s">
        <v>48</v>
      </c>
      <c r="X922" t="s">
        <v>53</v>
      </c>
      <c r="Y922" t="s">
        <v>54</v>
      </c>
      <c r="Z922" s="12">
        <f>IF(N922&lt;=1,9,9+0.8*ROUNDUP(N922-1,0))</f>
        <v>9</v>
      </c>
      <c r="AA922" s="11">
        <v>-2</v>
      </c>
      <c r="AB922" s="11">
        <v>0</v>
      </c>
      <c r="AC922" s="11">
        <v>0</v>
      </c>
      <c r="AD922" s="11">
        <v>0</v>
      </c>
      <c r="AE922" s="11">
        <v>0</v>
      </c>
      <c r="AF922" s="11">
        <f t="shared" si="42"/>
        <v>0.42</v>
      </c>
      <c r="AG922" s="11">
        <f t="shared" si="43"/>
        <v>7.42</v>
      </c>
      <c r="AH922" s="11">
        <v>0</v>
      </c>
      <c r="AI922" s="11">
        <f t="shared" si="44"/>
        <v>7.42</v>
      </c>
      <c r="AJ922" t="s">
        <v>62</v>
      </c>
    </row>
    <row r="923" spans="1:36" ht="15" customHeight="1" x14ac:dyDescent="0.35">
      <c r="A923">
        <v>10428918</v>
      </c>
      <c r="B923" t="s">
        <v>36</v>
      </c>
      <c r="C923" t="s">
        <v>37</v>
      </c>
      <c r="D923" s="6" t="s">
        <v>38</v>
      </c>
      <c r="E923" t="s">
        <v>2854</v>
      </c>
      <c r="F923" t="s">
        <v>40</v>
      </c>
      <c r="G923" t="s">
        <v>41</v>
      </c>
      <c r="H923" t="s">
        <v>2855</v>
      </c>
      <c r="I923" t="s">
        <v>43</v>
      </c>
      <c r="J923">
        <v>2</v>
      </c>
      <c r="K923" t="s">
        <v>44</v>
      </c>
      <c r="L923" t="s">
        <v>45</v>
      </c>
      <c r="M923" t="s">
        <v>46</v>
      </c>
      <c r="N923" s="7">
        <v>1</v>
      </c>
      <c r="O923" s="8">
        <v>45627.426539351851</v>
      </c>
      <c r="P923" s="9">
        <v>45629</v>
      </c>
      <c r="Q923" t="s">
        <v>74</v>
      </c>
      <c r="R923" t="s">
        <v>48</v>
      </c>
      <c r="S923" t="s">
        <v>49</v>
      </c>
      <c r="T923" t="s">
        <v>117</v>
      </c>
      <c r="U923" t="s">
        <v>2856</v>
      </c>
      <c r="V923">
        <v>43900</v>
      </c>
      <c r="W923" t="s">
        <v>48</v>
      </c>
      <c r="X923" t="s">
        <v>53</v>
      </c>
      <c r="Y923" t="s">
        <v>54</v>
      </c>
      <c r="Z923" s="12">
        <f>IF(N923&lt;=1,9,9+0.8*ROUNDUP(N923-1,0))</f>
        <v>9</v>
      </c>
      <c r="AA923" s="11">
        <v>-2</v>
      </c>
      <c r="AB923" s="11">
        <v>0</v>
      </c>
      <c r="AC923" s="11">
        <v>0</v>
      </c>
      <c r="AD923" s="11">
        <v>0</v>
      </c>
      <c r="AE923" s="11">
        <v>0</v>
      </c>
      <c r="AF923" s="11">
        <f t="shared" si="42"/>
        <v>0.42</v>
      </c>
      <c r="AG923" s="11">
        <f t="shared" si="43"/>
        <v>7.42</v>
      </c>
      <c r="AH923" s="11">
        <v>0</v>
      </c>
      <c r="AI923" s="11">
        <f t="shared" si="44"/>
        <v>7.42</v>
      </c>
      <c r="AJ923" t="s">
        <v>62</v>
      </c>
    </row>
    <row r="924" spans="1:36" ht="15" customHeight="1" x14ac:dyDescent="0.35">
      <c r="A924">
        <v>10428918</v>
      </c>
      <c r="B924" t="s">
        <v>36</v>
      </c>
      <c r="C924" t="s">
        <v>37</v>
      </c>
      <c r="D924" s="6" t="s">
        <v>38</v>
      </c>
      <c r="E924" t="s">
        <v>2857</v>
      </c>
      <c r="F924" t="s">
        <v>40</v>
      </c>
      <c r="G924" t="s">
        <v>41</v>
      </c>
      <c r="H924" t="s">
        <v>2858</v>
      </c>
      <c r="I924" t="s">
        <v>43</v>
      </c>
      <c r="J924">
        <v>2</v>
      </c>
      <c r="K924" t="s">
        <v>44</v>
      </c>
      <c r="L924" t="s">
        <v>45</v>
      </c>
      <c r="M924" t="s">
        <v>46</v>
      </c>
      <c r="N924" s="7">
        <v>17</v>
      </c>
      <c r="O924" s="8">
        <v>45623.842256944445</v>
      </c>
      <c r="P924" s="9">
        <v>45629</v>
      </c>
      <c r="Q924" t="s">
        <v>74</v>
      </c>
      <c r="R924" t="s">
        <v>48</v>
      </c>
      <c r="S924" t="s">
        <v>49</v>
      </c>
      <c r="T924" t="s">
        <v>80</v>
      </c>
      <c r="U924" t="s">
        <v>2859</v>
      </c>
      <c r="V924">
        <v>9400</v>
      </c>
      <c r="W924" t="s">
        <v>48</v>
      </c>
      <c r="X924" t="s">
        <v>53</v>
      </c>
      <c r="Y924" t="s">
        <v>54</v>
      </c>
      <c r="Z924" s="12">
        <f>IF(N924&lt;=1,9,9+0.8*ROUNDUP(N924-1,0))</f>
        <v>21.8</v>
      </c>
      <c r="AA924" s="11">
        <v>-2</v>
      </c>
      <c r="AB924" s="11">
        <v>0</v>
      </c>
      <c r="AC924" s="11">
        <v>0</v>
      </c>
      <c r="AD924" s="11">
        <v>0</v>
      </c>
      <c r="AE924" s="11">
        <v>0</v>
      </c>
      <c r="AF924" s="11">
        <f t="shared" si="42"/>
        <v>1.1879999999999999</v>
      </c>
      <c r="AG924" s="11">
        <f t="shared" si="43"/>
        <v>20.988</v>
      </c>
      <c r="AH924" s="11">
        <v>0</v>
      </c>
      <c r="AI924" s="11">
        <f t="shared" si="44"/>
        <v>20.988</v>
      </c>
      <c r="AJ924" t="s">
        <v>62</v>
      </c>
    </row>
    <row r="925" spans="1:36" ht="15" customHeight="1" x14ac:dyDescent="0.35">
      <c r="A925">
        <v>10428918</v>
      </c>
      <c r="B925" t="s">
        <v>36</v>
      </c>
      <c r="C925" t="s">
        <v>37</v>
      </c>
      <c r="D925" s="6" t="s">
        <v>38</v>
      </c>
      <c r="E925" t="s">
        <v>2860</v>
      </c>
      <c r="F925" t="s">
        <v>40</v>
      </c>
      <c r="G925" t="s">
        <v>41</v>
      </c>
      <c r="H925" t="s">
        <v>2858</v>
      </c>
      <c r="I925" t="s">
        <v>43</v>
      </c>
      <c r="J925">
        <v>2</v>
      </c>
      <c r="K925" t="s">
        <v>44</v>
      </c>
      <c r="L925" t="s">
        <v>45</v>
      </c>
      <c r="M925" t="s">
        <v>46</v>
      </c>
      <c r="N925" s="7">
        <v>18</v>
      </c>
      <c r="O925" s="8">
        <v>45623.842256944445</v>
      </c>
      <c r="P925" s="9">
        <v>45629</v>
      </c>
      <c r="Q925" t="s">
        <v>74</v>
      </c>
      <c r="R925" t="s">
        <v>48</v>
      </c>
      <c r="S925" t="s">
        <v>49</v>
      </c>
      <c r="T925" t="s">
        <v>80</v>
      </c>
      <c r="U925" t="s">
        <v>2859</v>
      </c>
      <c r="V925">
        <v>9400</v>
      </c>
      <c r="W925" t="s">
        <v>48</v>
      </c>
      <c r="X925" t="s">
        <v>690</v>
      </c>
      <c r="Y925" t="s">
        <v>54</v>
      </c>
      <c r="Z925" s="12">
        <f>IF(N925&lt;=1,9,9+0.8*ROUNDUP(N925-1,0))</f>
        <v>22.6</v>
      </c>
      <c r="AA925" s="11">
        <v>-2</v>
      </c>
      <c r="AB925" s="11">
        <v>0</v>
      </c>
      <c r="AC925" s="11">
        <v>0</v>
      </c>
      <c r="AD925" s="11">
        <v>0</v>
      </c>
      <c r="AE925" s="11">
        <v>0</v>
      </c>
      <c r="AF925" s="11">
        <f t="shared" si="42"/>
        <v>1.236</v>
      </c>
      <c r="AG925" s="11">
        <f t="shared" si="43"/>
        <v>21.836000000000002</v>
      </c>
      <c r="AH925" s="11">
        <v>0</v>
      </c>
      <c r="AI925" s="11">
        <f t="shared" si="44"/>
        <v>21.836000000000002</v>
      </c>
      <c r="AJ925" t="s">
        <v>62</v>
      </c>
    </row>
    <row r="926" spans="1:36" ht="15" customHeight="1" x14ac:dyDescent="0.35">
      <c r="A926">
        <v>10428918</v>
      </c>
      <c r="B926" t="s">
        <v>36</v>
      </c>
      <c r="C926" t="s">
        <v>37</v>
      </c>
      <c r="D926" s="6" t="s">
        <v>38</v>
      </c>
      <c r="E926" t="s">
        <v>2861</v>
      </c>
      <c r="F926" t="s">
        <v>40</v>
      </c>
      <c r="G926" t="s">
        <v>41</v>
      </c>
      <c r="H926" t="s">
        <v>2862</v>
      </c>
      <c r="I926" t="s">
        <v>43</v>
      </c>
      <c r="J926">
        <v>2</v>
      </c>
      <c r="K926" t="s">
        <v>44</v>
      </c>
      <c r="L926" t="s">
        <v>45</v>
      </c>
      <c r="M926" t="s">
        <v>46</v>
      </c>
      <c r="N926" s="7">
        <v>6</v>
      </c>
      <c r="O926" s="8">
        <v>45627.75503472222</v>
      </c>
      <c r="P926" s="9">
        <v>45629</v>
      </c>
      <c r="Q926" t="s">
        <v>74</v>
      </c>
      <c r="R926" t="s">
        <v>48</v>
      </c>
      <c r="S926" t="s">
        <v>49</v>
      </c>
      <c r="T926" t="s">
        <v>59</v>
      </c>
      <c r="U926" t="s">
        <v>2863</v>
      </c>
      <c r="V926">
        <v>18300</v>
      </c>
      <c r="W926" t="s">
        <v>48</v>
      </c>
      <c r="X926" t="s">
        <v>831</v>
      </c>
      <c r="Y926" t="s">
        <v>54</v>
      </c>
      <c r="Z926" s="12">
        <f>IF(N926&lt;=1,9,9+0.8*ROUNDUP(N926-1,0))</f>
        <v>13</v>
      </c>
      <c r="AA926" s="11">
        <v>-2</v>
      </c>
      <c r="AB926" s="11">
        <v>0</v>
      </c>
      <c r="AC926" s="11">
        <v>0</v>
      </c>
      <c r="AD926" s="11">
        <v>0</v>
      </c>
      <c r="AE926" s="11">
        <v>0</v>
      </c>
      <c r="AF926" s="11">
        <f t="shared" si="42"/>
        <v>0.65999999999999992</v>
      </c>
      <c r="AG926" s="11">
        <f t="shared" si="43"/>
        <v>11.66</v>
      </c>
      <c r="AH926" s="11">
        <v>0</v>
      </c>
      <c r="AI926" s="11">
        <f t="shared" si="44"/>
        <v>11.66</v>
      </c>
      <c r="AJ926" t="s">
        <v>62</v>
      </c>
    </row>
    <row r="927" spans="1:36" ht="15" customHeight="1" x14ac:dyDescent="0.35">
      <c r="A927">
        <v>10428918</v>
      </c>
      <c r="B927" t="s">
        <v>36</v>
      </c>
      <c r="C927" t="s">
        <v>37</v>
      </c>
      <c r="D927" s="6" t="s">
        <v>38</v>
      </c>
      <c r="E927" t="s">
        <v>2864</v>
      </c>
      <c r="F927" t="s">
        <v>40</v>
      </c>
      <c r="G927" t="s">
        <v>41</v>
      </c>
      <c r="H927" t="s">
        <v>2865</v>
      </c>
      <c r="I927" t="s">
        <v>43</v>
      </c>
      <c r="J927">
        <v>2</v>
      </c>
      <c r="K927" t="s">
        <v>44</v>
      </c>
      <c r="L927" t="s">
        <v>45</v>
      </c>
      <c r="M927" t="s">
        <v>46</v>
      </c>
      <c r="N927" s="7">
        <v>1</v>
      </c>
      <c r="O927" s="8">
        <v>45626.619305555556</v>
      </c>
      <c r="P927" s="9">
        <v>45629</v>
      </c>
      <c r="Q927" t="s">
        <v>74</v>
      </c>
      <c r="R927" t="s">
        <v>48</v>
      </c>
      <c r="S927" t="s">
        <v>49</v>
      </c>
      <c r="T927" t="s">
        <v>117</v>
      </c>
      <c r="U927" t="s">
        <v>2866</v>
      </c>
      <c r="V927">
        <v>56100</v>
      </c>
      <c r="W927" t="s">
        <v>48</v>
      </c>
      <c r="X927" t="s">
        <v>53</v>
      </c>
      <c r="Y927" t="s">
        <v>54</v>
      </c>
      <c r="Z927" s="12">
        <f>IF(N927&lt;=1,9,9+0.8*ROUNDUP(N927-1,0))</f>
        <v>9</v>
      </c>
      <c r="AA927" s="11">
        <v>-2</v>
      </c>
      <c r="AB927" s="11">
        <v>0</v>
      </c>
      <c r="AC927" s="11">
        <v>0</v>
      </c>
      <c r="AD927" s="11">
        <v>0</v>
      </c>
      <c r="AE927" s="11">
        <v>0</v>
      </c>
      <c r="AF927" s="11">
        <f t="shared" si="42"/>
        <v>0.42</v>
      </c>
      <c r="AG927" s="11">
        <f t="shared" si="43"/>
        <v>7.42</v>
      </c>
      <c r="AH927" s="11">
        <v>0</v>
      </c>
      <c r="AI927" s="11">
        <f t="shared" si="44"/>
        <v>7.42</v>
      </c>
      <c r="AJ927" t="s">
        <v>62</v>
      </c>
    </row>
    <row r="928" spans="1:36" ht="15" customHeight="1" x14ac:dyDescent="0.35">
      <c r="A928">
        <v>10428918</v>
      </c>
      <c r="B928" t="s">
        <v>36</v>
      </c>
      <c r="C928" t="s">
        <v>37</v>
      </c>
      <c r="D928" s="6" t="s">
        <v>38</v>
      </c>
      <c r="E928" t="s">
        <v>2867</v>
      </c>
      <c r="F928" t="s">
        <v>40</v>
      </c>
      <c r="G928" t="s">
        <v>41</v>
      </c>
      <c r="H928" t="s">
        <v>2868</v>
      </c>
      <c r="I928" t="s">
        <v>43</v>
      </c>
      <c r="J928">
        <v>2</v>
      </c>
      <c r="K928" t="s">
        <v>44</v>
      </c>
      <c r="L928" t="s">
        <v>45</v>
      </c>
      <c r="M928" t="s">
        <v>46</v>
      </c>
      <c r="N928" s="7">
        <v>1</v>
      </c>
      <c r="O928" s="8">
        <v>45623.603020833332</v>
      </c>
      <c r="P928" s="9">
        <v>45629</v>
      </c>
      <c r="Q928" t="s">
        <v>74</v>
      </c>
      <c r="R928" t="s">
        <v>48</v>
      </c>
      <c r="S928" t="s">
        <v>49</v>
      </c>
      <c r="T928" t="s">
        <v>75</v>
      </c>
      <c r="U928" t="s">
        <v>2869</v>
      </c>
      <c r="V928">
        <v>27600</v>
      </c>
      <c r="W928" t="s">
        <v>48</v>
      </c>
      <c r="X928" t="s">
        <v>77</v>
      </c>
      <c r="Y928" t="s">
        <v>54</v>
      </c>
      <c r="Z928" s="12">
        <f>IF(N928&lt;=1,9,9+0.8*ROUNDUP(N928-1,0))</f>
        <v>9</v>
      </c>
      <c r="AA928" s="11">
        <v>-2</v>
      </c>
      <c r="AB928" s="11">
        <v>0</v>
      </c>
      <c r="AC928" s="11">
        <v>0</v>
      </c>
      <c r="AD928" s="11">
        <v>0</v>
      </c>
      <c r="AE928" s="11">
        <v>0</v>
      </c>
      <c r="AF928" s="11">
        <f t="shared" si="42"/>
        <v>0.42</v>
      </c>
      <c r="AG928" s="11">
        <f t="shared" si="43"/>
        <v>7.42</v>
      </c>
      <c r="AH928" s="11">
        <v>0</v>
      </c>
      <c r="AI928" s="11">
        <f t="shared" si="44"/>
        <v>7.42</v>
      </c>
      <c r="AJ928" t="s">
        <v>62</v>
      </c>
    </row>
    <row r="929" spans="1:36" ht="15" customHeight="1" x14ac:dyDescent="0.35">
      <c r="A929">
        <v>10428918</v>
      </c>
      <c r="B929" t="s">
        <v>36</v>
      </c>
      <c r="C929" t="s">
        <v>37</v>
      </c>
      <c r="D929" s="6" t="s">
        <v>38</v>
      </c>
      <c r="E929" t="s">
        <v>2870</v>
      </c>
      <c r="F929" t="s">
        <v>40</v>
      </c>
      <c r="G929" t="s">
        <v>41</v>
      </c>
      <c r="H929" t="s">
        <v>2871</v>
      </c>
      <c r="I929" t="s">
        <v>43</v>
      </c>
      <c r="J929">
        <v>2</v>
      </c>
      <c r="K929" t="s">
        <v>44</v>
      </c>
      <c r="L929" t="s">
        <v>45</v>
      </c>
      <c r="M929" t="s">
        <v>46</v>
      </c>
      <c r="N929" s="7">
        <v>1</v>
      </c>
      <c r="O929" s="8">
        <v>45624.808680555558</v>
      </c>
      <c r="P929" s="9">
        <v>45629</v>
      </c>
      <c r="Q929" t="s">
        <v>74</v>
      </c>
      <c r="R929" t="s">
        <v>48</v>
      </c>
      <c r="S929" t="s">
        <v>49</v>
      </c>
      <c r="T929" t="s">
        <v>117</v>
      </c>
      <c r="U929" t="s">
        <v>2872</v>
      </c>
      <c r="V929">
        <v>56100</v>
      </c>
      <c r="W929" t="s">
        <v>48</v>
      </c>
      <c r="X929" t="s">
        <v>172</v>
      </c>
      <c r="Y929" t="s">
        <v>54</v>
      </c>
      <c r="Z929" s="12">
        <f>IF(N929&lt;=1,9,9+0.8*ROUNDUP(N929-1,0))</f>
        <v>9</v>
      </c>
      <c r="AA929" s="11">
        <v>-2</v>
      </c>
      <c r="AB929" s="11">
        <v>0</v>
      </c>
      <c r="AC929" s="11">
        <v>0</v>
      </c>
      <c r="AD929" s="11">
        <v>0</v>
      </c>
      <c r="AE929" s="11">
        <v>0</v>
      </c>
      <c r="AF929" s="11">
        <f t="shared" si="42"/>
        <v>0.42</v>
      </c>
      <c r="AG929" s="11">
        <f t="shared" si="43"/>
        <v>7.42</v>
      </c>
      <c r="AH929" s="11">
        <v>0</v>
      </c>
      <c r="AI929" s="11">
        <f t="shared" si="44"/>
        <v>7.42</v>
      </c>
      <c r="AJ929" t="s">
        <v>62</v>
      </c>
    </row>
    <row r="930" spans="1:36" ht="15" customHeight="1" x14ac:dyDescent="0.35">
      <c r="A930">
        <v>10428918</v>
      </c>
      <c r="B930" t="s">
        <v>36</v>
      </c>
      <c r="C930" t="s">
        <v>37</v>
      </c>
      <c r="D930" s="6" t="s">
        <v>38</v>
      </c>
      <c r="E930" t="s">
        <v>2873</v>
      </c>
      <c r="F930" t="s">
        <v>40</v>
      </c>
      <c r="G930" t="s">
        <v>41</v>
      </c>
      <c r="H930" t="s">
        <v>2874</v>
      </c>
      <c r="I930" t="s">
        <v>43</v>
      </c>
      <c r="J930">
        <v>2</v>
      </c>
      <c r="K930" t="s">
        <v>44</v>
      </c>
      <c r="L930" t="s">
        <v>45</v>
      </c>
      <c r="M930" t="s">
        <v>46</v>
      </c>
      <c r="N930" s="7">
        <v>2</v>
      </c>
      <c r="O930" s="8">
        <v>45626.811759259261</v>
      </c>
      <c r="P930" s="9">
        <v>45629</v>
      </c>
      <c r="Q930" t="s">
        <v>74</v>
      </c>
      <c r="R930" t="s">
        <v>48</v>
      </c>
      <c r="S930" t="s">
        <v>49</v>
      </c>
      <c r="T930" t="s">
        <v>117</v>
      </c>
      <c r="U930" t="s">
        <v>2875</v>
      </c>
      <c r="V930">
        <v>45800</v>
      </c>
      <c r="W930" t="s">
        <v>48</v>
      </c>
      <c r="X930" t="s">
        <v>258</v>
      </c>
      <c r="Y930" t="s">
        <v>54</v>
      </c>
      <c r="Z930" s="12">
        <f>IF(N930&lt;=1,9,9+0.8*ROUNDUP(N930-1,0))</f>
        <v>9.8000000000000007</v>
      </c>
      <c r="AA930" s="11">
        <v>-2</v>
      </c>
      <c r="AB930" s="11">
        <v>0</v>
      </c>
      <c r="AC930" s="11">
        <v>0</v>
      </c>
      <c r="AD930" s="11">
        <v>0</v>
      </c>
      <c r="AE930" s="11">
        <v>0</v>
      </c>
      <c r="AF930" s="11">
        <f t="shared" si="42"/>
        <v>0.46800000000000003</v>
      </c>
      <c r="AG930" s="11">
        <f t="shared" si="43"/>
        <v>8.2680000000000007</v>
      </c>
      <c r="AH930" s="11">
        <v>0</v>
      </c>
      <c r="AI930" s="11">
        <f t="shared" si="44"/>
        <v>8.2680000000000007</v>
      </c>
      <c r="AJ930" t="s">
        <v>62</v>
      </c>
    </row>
    <row r="931" spans="1:36" ht="15" customHeight="1" x14ac:dyDescent="0.35">
      <c r="A931">
        <v>10428918</v>
      </c>
      <c r="B931" t="s">
        <v>36</v>
      </c>
      <c r="C931" t="s">
        <v>37</v>
      </c>
      <c r="D931" s="6" t="s">
        <v>38</v>
      </c>
      <c r="E931" t="s">
        <v>2876</v>
      </c>
      <c r="F931" t="s">
        <v>40</v>
      </c>
      <c r="G931" t="s">
        <v>41</v>
      </c>
      <c r="H931" t="s">
        <v>2877</v>
      </c>
      <c r="I931" t="s">
        <v>43</v>
      </c>
      <c r="J931">
        <v>2</v>
      </c>
      <c r="K931" t="s">
        <v>44</v>
      </c>
      <c r="L931" t="s">
        <v>45</v>
      </c>
      <c r="M931" t="s">
        <v>46</v>
      </c>
      <c r="N931" s="7">
        <v>1</v>
      </c>
      <c r="O931" s="8">
        <v>45626.767893518518</v>
      </c>
      <c r="P931" s="9">
        <v>45629</v>
      </c>
      <c r="Q931" t="s">
        <v>74</v>
      </c>
      <c r="R931" t="s">
        <v>48</v>
      </c>
      <c r="S931" t="s">
        <v>49</v>
      </c>
      <c r="T931" t="s">
        <v>75</v>
      </c>
      <c r="U931" t="s">
        <v>2878</v>
      </c>
      <c r="V931">
        <v>28000</v>
      </c>
      <c r="W931" t="s">
        <v>48</v>
      </c>
      <c r="X931" t="s">
        <v>61</v>
      </c>
      <c r="Y931" t="s">
        <v>54</v>
      </c>
      <c r="Z931" s="12">
        <f>IF(N931&lt;=1,9,9+0.8*ROUNDUP(N931-1,0))</f>
        <v>9</v>
      </c>
      <c r="AA931" s="11">
        <v>-2</v>
      </c>
      <c r="AB931" s="11">
        <v>0</v>
      </c>
      <c r="AC931" s="11">
        <v>0</v>
      </c>
      <c r="AD931" s="11">
        <v>0</v>
      </c>
      <c r="AE931" s="11">
        <v>0</v>
      </c>
      <c r="AF931" s="11">
        <f t="shared" si="42"/>
        <v>0.42</v>
      </c>
      <c r="AG931" s="11">
        <f t="shared" si="43"/>
        <v>7.42</v>
      </c>
      <c r="AH931" s="11">
        <v>0</v>
      </c>
      <c r="AI931" s="11">
        <f t="shared" si="44"/>
        <v>7.42</v>
      </c>
      <c r="AJ931" t="s">
        <v>62</v>
      </c>
    </row>
    <row r="932" spans="1:36" ht="15" customHeight="1" x14ac:dyDescent="0.35">
      <c r="A932">
        <v>10428918</v>
      </c>
      <c r="B932" t="s">
        <v>36</v>
      </c>
      <c r="C932" t="s">
        <v>37</v>
      </c>
      <c r="D932" s="6" t="s">
        <v>38</v>
      </c>
      <c r="E932" t="s">
        <v>2879</v>
      </c>
      <c r="F932" t="s">
        <v>40</v>
      </c>
      <c r="G932" t="s">
        <v>41</v>
      </c>
      <c r="H932" t="s">
        <v>1959</v>
      </c>
      <c r="I932" t="s">
        <v>43</v>
      </c>
      <c r="J932">
        <v>2</v>
      </c>
      <c r="K932" t="s">
        <v>44</v>
      </c>
      <c r="L932" t="s">
        <v>45</v>
      </c>
      <c r="M932" t="s">
        <v>46</v>
      </c>
      <c r="N932" s="7">
        <v>1</v>
      </c>
      <c r="O932" s="8">
        <v>45626.627071759256</v>
      </c>
      <c r="P932" s="9">
        <v>45629</v>
      </c>
      <c r="Q932" t="s">
        <v>74</v>
      </c>
      <c r="R932" t="s">
        <v>48</v>
      </c>
      <c r="S932" t="s">
        <v>49</v>
      </c>
      <c r="T932" t="s">
        <v>75</v>
      </c>
      <c r="U932" t="s">
        <v>1960</v>
      </c>
      <c r="V932">
        <v>25200</v>
      </c>
      <c r="W932" t="s">
        <v>48</v>
      </c>
      <c r="X932" t="s">
        <v>61</v>
      </c>
      <c r="Y932" t="s">
        <v>54</v>
      </c>
      <c r="Z932" s="12">
        <f>IF(N932&lt;=1,9,9+0.8*ROUNDUP(N932-1,0))</f>
        <v>9</v>
      </c>
      <c r="AA932" s="11">
        <v>-2</v>
      </c>
      <c r="AB932" s="11">
        <v>0</v>
      </c>
      <c r="AC932" s="11">
        <v>0</v>
      </c>
      <c r="AD932" s="11">
        <v>0</v>
      </c>
      <c r="AE932" s="11">
        <v>0</v>
      </c>
      <c r="AF932" s="11">
        <f t="shared" si="42"/>
        <v>0.42</v>
      </c>
      <c r="AG932" s="11">
        <f t="shared" si="43"/>
        <v>7.42</v>
      </c>
      <c r="AH932" s="11">
        <v>0</v>
      </c>
      <c r="AI932" s="11">
        <f t="shared" si="44"/>
        <v>7.42</v>
      </c>
      <c r="AJ932" t="s">
        <v>62</v>
      </c>
    </row>
    <row r="933" spans="1:36" ht="15" customHeight="1" x14ac:dyDescent="0.35">
      <c r="A933">
        <v>10428918</v>
      </c>
      <c r="B933" t="s">
        <v>36</v>
      </c>
      <c r="C933" t="s">
        <v>37</v>
      </c>
      <c r="D933" s="6" t="s">
        <v>38</v>
      </c>
      <c r="E933" t="s">
        <v>2880</v>
      </c>
      <c r="F933" t="s">
        <v>40</v>
      </c>
      <c r="G933" t="s">
        <v>41</v>
      </c>
      <c r="H933" t="s">
        <v>345</v>
      </c>
      <c r="I933" t="s">
        <v>43</v>
      </c>
      <c r="J933">
        <v>2</v>
      </c>
      <c r="K933" t="s">
        <v>44</v>
      </c>
      <c r="L933" t="s">
        <v>45</v>
      </c>
      <c r="M933" t="s">
        <v>46</v>
      </c>
      <c r="N933" s="7">
        <v>2</v>
      </c>
      <c r="O933" s="8">
        <v>45626.811759259261</v>
      </c>
      <c r="P933" s="9">
        <v>45629</v>
      </c>
      <c r="Q933" t="s">
        <v>74</v>
      </c>
      <c r="R933" t="s">
        <v>48</v>
      </c>
      <c r="S933" t="s">
        <v>49</v>
      </c>
      <c r="T933" t="s">
        <v>75</v>
      </c>
      <c r="U933" t="s">
        <v>346</v>
      </c>
      <c r="V933">
        <v>27050</v>
      </c>
      <c r="W933" t="s">
        <v>48</v>
      </c>
      <c r="X933" t="s">
        <v>61</v>
      </c>
      <c r="Y933" t="s">
        <v>54</v>
      </c>
      <c r="Z933" s="12">
        <f>IF(N933&lt;=1,9,9+0.8*ROUNDUP(N933-1,0))</f>
        <v>9.8000000000000007</v>
      </c>
      <c r="AA933" s="11">
        <v>-2</v>
      </c>
      <c r="AB933" s="11">
        <v>0</v>
      </c>
      <c r="AC933" s="11">
        <v>0</v>
      </c>
      <c r="AD933" s="11">
        <v>0</v>
      </c>
      <c r="AE933" s="11">
        <v>0</v>
      </c>
      <c r="AF933" s="11">
        <f t="shared" si="42"/>
        <v>0.46800000000000003</v>
      </c>
      <c r="AG933" s="11">
        <f t="shared" si="43"/>
        <v>8.2680000000000007</v>
      </c>
      <c r="AH933" s="11">
        <v>0</v>
      </c>
      <c r="AI933" s="11">
        <f t="shared" si="44"/>
        <v>8.2680000000000007</v>
      </c>
      <c r="AJ933" t="s">
        <v>62</v>
      </c>
    </row>
    <row r="934" spans="1:36" ht="15" customHeight="1" x14ac:dyDescent="0.35">
      <c r="A934">
        <v>10428918</v>
      </c>
      <c r="B934" t="s">
        <v>36</v>
      </c>
      <c r="C934" t="s">
        <v>37</v>
      </c>
      <c r="D934" s="6" t="s">
        <v>38</v>
      </c>
      <c r="E934" t="s">
        <v>2881</v>
      </c>
      <c r="F934" t="s">
        <v>40</v>
      </c>
      <c r="G934" t="s">
        <v>41</v>
      </c>
      <c r="H934" t="s">
        <v>2882</v>
      </c>
      <c r="I934" t="s">
        <v>43</v>
      </c>
      <c r="J934">
        <v>2</v>
      </c>
      <c r="K934" t="s">
        <v>44</v>
      </c>
      <c r="L934" t="s">
        <v>45</v>
      </c>
      <c r="M934" t="s">
        <v>46</v>
      </c>
      <c r="N934" s="7">
        <v>1</v>
      </c>
      <c r="O934" s="8">
        <v>45627.422314814816</v>
      </c>
      <c r="P934" s="9">
        <v>45629</v>
      </c>
      <c r="Q934" t="s">
        <v>74</v>
      </c>
      <c r="R934" t="s">
        <v>48</v>
      </c>
      <c r="S934" t="s">
        <v>49</v>
      </c>
      <c r="T934" t="s">
        <v>69</v>
      </c>
      <c r="U934" t="s">
        <v>2883</v>
      </c>
      <c r="V934">
        <v>81900</v>
      </c>
      <c r="W934" t="s">
        <v>48</v>
      </c>
      <c r="X934" t="s">
        <v>1310</v>
      </c>
      <c r="Y934" t="s">
        <v>54</v>
      </c>
      <c r="Z934" s="12">
        <f>IF(N934&lt;=1,9,9+0.8*ROUNDUP(N934-1,0))</f>
        <v>9</v>
      </c>
      <c r="AA934" s="11">
        <v>-2</v>
      </c>
      <c r="AB934" s="11">
        <v>0</v>
      </c>
      <c r="AC934" s="11">
        <v>0</v>
      </c>
      <c r="AD934" s="11">
        <v>0</v>
      </c>
      <c r="AE934" s="11">
        <v>0</v>
      </c>
      <c r="AF934" s="11">
        <f t="shared" si="42"/>
        <v>0.42</v>
      </c>
      <c r="AG934" s="11">
        <f t="shared" si="43"/>
        <v>7.42</v>
      </c>
      <c r="AH934" s="11">
        <v>0</v>
      </c>
      <c r="AI934" s="11">
        <f t="shared" si="44"/>
        <v>7.42</v>
      </c>
      <c r="AJ934" t="s">
        <v>62</v>
      </c>
    </row>
    <row r="935" spans="1:36" ht="15" customHeight="1" x14ac:dyDescent="0.35">
      <c r="A935">
        <v>10428918</v>
      </c>
      <c r="B935" t="s">
        <v>36</v>
      </c>
      <c r="C935" t="s">
        <v>37</v>
      </c>
      <c r="D935" s="6" t="s">
        <v>38</v>
      </c>
      <c r="E935" t="s">
        <v>2884</v>
      </c>
      <c r="F935" t="s">
        <v>40</v>
      </c>
      <c r="G935" t="s">
        <v>41</v>
      </c>
      <c r="H935" t="s">
        <v>2885</v>
      </c>
      <c r="I935" t="s">
        <v>43</v>
      </c>
      <c r="J935">
        <v>2</v>
      </c>
      <c r="K935" t="s">
        <v>44</v>
      </c>
      <c r="L935" t="s">
        <v>45</v>
      </c>
      <c r="M935" t="s">
        <v>46</v>
      </c>
      <c r="N935" s="7">
        <v>1</v>
      </c>
      <c r="O935" s="8">
        <v>45622.83662037037</v>
      </c>
      <c r="P935" s="9">
        <v>45629</v>
      </c>
      <c r="Q935" t="s">
        <v>74</v>
      </c>
      <c r="R935" t="s">
        <v>48</v>
      </c>
      <c r="S935" t="s">
        <v>49</v>
      </c>
      <c r="T935" t="s">
        <v>117</v>
      </c>
      <c r="U935" t="s">
        <v>2886</v>
      </c>
      <c r="V935">
        <v>43500</v>
      </c>
      <c r="W935" t="s">
        <v>48</v>
      </c>
      <c r="X935" t="s">
        <v>398</v>
      </c>
      <c r="Y935" t="s">
        <v>54</v>
      </c>
      <c r="Z935" s="12">
        <f>IF(N935&lt;=1,9,9+0.8*ROUNDUP(N935-1,0))</f>
        <v>9</v>
      </c>
      <c r="AA935" s="11">
        <v>-2</v>
      </c>
      <c r="AB935" s="11">
        <v>0</v>
      </c>
      <c r="AC935" s="11">
        <v>0</v>
      </c>
      <c r="AD935" s="11">
        <v>0</v>
      </c>
      <c r="AE935" s="11">
        <v>0</v>
      </c>
      <c r="AF935" s="11">
        <f t="shared" si="42"/>
        <v>0.42</v>
      </c>
      <c r="AG935" s="11">
        <f t="shared" si="43"/>
        <v>7.42</v>
      </c>
      <c r="AH935" s="11">
        <v>0</v>
      </c>
      <c r="AI935" s="11">
        <f t="shared" si="44"/>
        <v>7.42</v>
      </c>
      <c r="AJ935" t="s">
        <v>62</v>
      </c>
    </row>
    <row r="936" spans="1:36" ht="15" customHeight="1" x14ac:dyDescent="0.35">
      <c r="A936">
        <v>10428918</v>
      </c>
      <c r="B936" t="s">
        <v>36</v>
      </c>
      <c r="C936" t="s">
        <v>37</v>
      </c>
      <c r="D936" s="6" t="s">
        <v>38</v>
      </c>
      <c r="E936" t="s">
        <v>2887</v>
      </c>
      <c r="F936" t="s">
        <v>40</v>
      </c>
      <c r="G936" t="s">
        <v>41</v>
      </c>
      <c r="H936" t="s">
        <v>2888</v>
      </c>
      <c r="I936" t="s">
        <v>43</v>
      </c>
      <c r="J936">
        <v>2</v>
      </c>
      <c r="K936" t="s">
        <v>44</v>
      </c>
      <c r="L936" t="s">
        <v>45</v>
      </c>
      <c r="M936" t="s">
        <v>46</v>
      </c>
      <c r="N936" s="7">
        <v>3</v>
      </c>
      <c r="O936" s="8">
        <v>45627.75503472222</v>
      </c>
      <c r="P936" s="9">
        <v>45629</v>
      </c>
      <c r="Q936" t="s">
        <v>74</v>
      </c>
      <c r="R936" t="s">
        <v>48</v>
      </c>
      <c r="S936" t="s">
        <v>49</v>
      </c>
      <c r="T936" t="s">
        <v>117</v>
      </c>
      <c r="U936" t="s">
        <v>2889</v>
      </c>
      <c r="V936">
        <v>48000</v>
      </c>
      <c r="W936" t="s">
        <v>48</v>
      </c>
      <c r="X936" t="s">
        <v>254</v>
      </c>
      <c r="Y936" t="s">
        <v>54</v>
      </c>
      <c r="Z936" s="12">
        <f>IF(N936&lt;=1,9,9+0.8*ROUNDUP(N936-1,0))</f>
        <v>10.6</v>
      </c>
      <c r="AA936" s="11">
        <v>-2</v>
      </c>
      <c r="AB936" s="11">
        <v>0</v>
      </c>
      <c r="AC936" s="11">
        <v>0</v>
      </c>
      <c r="AD936" s="11">
        <v>0</v>
      </c>
      <c r="AE936" s="11">
        <v>0</v>
      </c>
      <c r="AF936" s="11">
        <f t="shared" si="42"/>
        <v>0.51600000000000001</v>
      </c>
      <c r="AG936" s="11">
        <f t="shared" si="43"/>
        <v>9.1159999999999997</v>
      </c>
      <c r="AH936" s="11">
        <v>0</v>
      </c>
      <c r="AI936" s="11">
        <f t="shared" si="44"/>
        <v>9.1159999999999997</v>
      </c>
      <c r="AJ936" t="s">
        <v>62</v>
      </c>
    </row>
    <row r="937" spans="1:36" ht="15" customHeight="1" x14ac:dyDescent="0.35">
      <c r="A937">
        <v>10428918</v>
      </c>
      <c r="B937" t="s">
        <v>36</v>
      </c>
      <c r="C937" t="s">
        <v>37</v>
      </c>
      <c r="D937" s="6" t="s">
        <v>38</v>
      </c>
      <c r="E937" t="s">
        <v>2890</v>
      </c>
      <c r="F937" t="s">
        <v>40</v>
      </c>
      <c r="G937" t="s">
        <v>41</v>
      </c>
      <c r="H937" t="s">
        <v>2891</v>
      </c>
      <c r="I937" t="s">
        <v>43</v>
      </c>
      <c r="J937">
        <v>2</v>
      </c>
      <c r="K937" t="s">
        <v>44</v>
      </c>
      <c r="L937" t="s">
        <v>45</v>
      </c>
      <c r="M937" t="s">
        <v>46</v>
      </c>
      <c r="N937" s="7">
        <v>2</v>
      </c>
      <c r="O937" s="8">
        <v>45624.808680555558</v>
      </c>
      <c r="P937" s="9">
        <v>45629</v>
      </c>
      <c r="Q937" t="s">
        <v>74</v>
      </c>
      <c r="R937" t="s">
        <v>48</v>
      </c>
      <c r="S937" t="s">
        <v>49</v>
      </c>
      <c r="T937" t="s">
        <v>117</v>
      </c>
      <c r="U937" t="s">
        <v>2892</v>
      </c>
      <c r="V937">
        <v>47301</v>
      </c>
      <c r="W937" t="s">
        <v>48</v>
      </c>
      <c r="X937" t="s">
        <v>53</v>
      </c>
      <c r="Y937" t="s">
        <v>54</v>
      </c>
      <c r="Z937" s="12">
        <f>IF(N937&lt;=1,9,9+0.8*ROUNDUP(N937-1,0))</f>
        <v>9.8000000000000007</v>
      </c>
      <c r="AA937" s="11">
        <v>-2</v>
      </c>
      <c r="AB937" s="11">
        <v>0</v>
      </c>
      <c r="AC937" s="11">
        <v>0</v>
      </c>
      <c r="AD937" s="11">
        <v>0</v>
      </c>
      <c r="AE937" s="11">
        <v>0</v>
      </c>
      <c r="AF937" s="11">
        <f t="shared" si="42"/>
        <v>0.46800000000000003</v>
      </c>
      <c r="AG937" s="11">
        <f t="shared" si="43"/>
        <v>8.2680000000000007</v>
      </c>
      <c r="AH937" s="11">
        <v>0</v>
      </c>
      <c r="AI937" s="11">
        <f t="shared" si="44"/>
        <v>8.2680000000000007</v>
      </c>
      <c r="AJ937" t="s">
        <v>62</v>
      </c>
    </row>
    <row r="938" spans="1:36" ht="15" customHeight="1" x14ac:dyDescent="0.35">
      <c r="A938">
        <v>10428918</v>
      </c>
      <c r="B938" t="s">
        <v>36</v>
      </c>
      <c r="C938" t="s">
        <v>37</v>
      </c>
      <c r="D938" s="6" t="s">
        <v>38</v>
      </c>
      <c r="E938" t="s">
        <v>2893</v>
      </c>
      <c r="F938" t="s">
        <v>40</v>
      </c>
      <c r="G938" t="s">
        <v>41</v>
      </c>
      <c r="H938" t="s">
        <v>2894</v>
      </c>
      <c r="I938" t="s">
        <v>43</v>
      </c>
      <c r="J938">
        <v>2</v>
      </c>
      <c r="K938" t="s">
        <v>44</v>
      </c>
      <c r="L938" t="s">
        <v>45</v>
      </c>
      <c r="M938" t="s">
        <v>46</v>
      </c>
      <c r="N938" s="7">
        <v>1</v>
      </c>
      <c r="O938" s="8">
        <v>45627.41196759259</v>
      </c>
      <c r="P938" s="9">
        <v>45629</v>
      </c>
      <c r="Q938" t="s">
        <v>74</v>
      </c>
      <c r="R938" t="s">
        <v>48</v>
      </c>
      <c r="S938" t="s">
        <v>49</v>
      </c>
      <c r="T938" t="s">
        <v>117</v>
      </c>
      <c r="U938" t="s">
        <v>2895</v>
      </c>
      <c r="V938">
        <v>42700</v>
      </c>
      <c r="W938" t="s">
        <v>48</v>
      </c>
      <c r="X938" t="s">
        <v>901</v>
      </c>
      <c r="Y938" t="s">
        <v>54</v>
      </c>
      <c r="Z938" s="12">
        <f>IF(N938&lt;=1,9,9+0.8*ROUNDUP(N938-1,0))</f>
        <v>9</v>
      </c>
      <c r="AA938" s="11">
        <v>-2</v>
      </c>
      <c r="AB938" s="11">
        <v>0</v>
      </c>
      <c r="AC938" s="11">
        <v>0</v>
      </c>
      <c r="AD938" s="11">
        <v>0</v>
      </c>
      <c r="AE938" s="11">
        <v>0</v>
      </c>
      <c r="AF938" s="11">
        <f t="shared" si="42"/>
        <v>0.42</v>
      </c>
      <c r="AG938" s="11">
        <f t="shared" si="43"/>
        <v>7.42</v>
      </c>
      <c r="AH938" s="11">
        <v>0</v>
      </c>
      <c r="AI938" s="11">
        <f t="shared" si="44"/>
        <v>7.42</v>
      </c>
      <c r="AJ938" t="s">
        <v>62</v>
      </c>
    </row>
    <row r="939" spans="1:36" ht="15" customHeight="1" x14ac:dyDescent="0.35">
      <c r="A939">
        <v>10428918</v>
      </c>
      <c r="B939" t="s">
        <v>36</v>
      </c>
      <c r="C939" t="s">
        <v>37</v>
      </c>
      <c r="D939" s="6" t="s">
        <v>38</v>
      </c>
      <c r="E939" t="s">
        <v>2896</v>
      </c>
      <c r="F939" t="s">
        <v>40</v>
      </c>
      <c r="G939" t="s">
        <v>41</v>
      </c>
      <c r="H939" t="s">
        <v>1538</v>
      </c>
      <c r="I939" t="s">
        <v>43</v>
      </c>
      <c r="J939">
        <v>2</v>
      </c>
      <c r="K939" t="s">
        <v>44</v>
      </c>
      <c r="L939" t="s">
        <v>45</v>
      </c>
      <c r="M939" t="s">
        <v>46</v>
      </c>
      <c r="N939" s="7">
        <v>1</v>
      </c>
      <c r="O939" s="8">
        <v>45628.526435185187</v>
      </c>
      <c r="P939" s="9">
        <v>45629</v>
      </c>
      <c r="Q939" t="s">
        <v>74</v>
      </c>
      <c r="R939" t="s">
        <v>48</v>
      </c>
      <c r="S939" t="s">
        <v>49</v>
      </c>
      <c r="T939" t="s">
        <v>59</v>
      </c>
      <c r="U939" t="s">
        <v>1539</v>
      </c>
      <c r="V939">
        <v>18200</v>
      </c>
      <c r="W939" t="s">
        <v>48</v>
      </c>
      <c r="X939" t="s">
        <v>77</v>
      </c>
      <c r="Y939" t="s">
        <v>54</v>
      </c>
      <c r="Z939" s="12">
        <f>IF(N939&lt;=1,9,9+0.8*ROUNDUP(N939-1,0))</f>
        <v>9</v>
      </c>
      <c r="AA939" s="11">
        <v>-2</v>
      </c>
      <c r="AB939" s="11">
        <v>0</v>
      </c>
      <c r="AC939" s="11">
        <v>0</v>
      </c>
      <c r="AD939" s="11">
        <v>0</v>
      </c>
      <c r="AE939" s="11">
        <v>0</v>
      </c>
      <c r="AF939" s="11">
        <f t="shared" si="42"/>
        <v>0.42</v>
      </c>
      <c r="AG939" s="11">
        <f t="shared" si="43"/>
        <v>7.42</v>
      </c>
      <c r="AH939" s="11">
        <v>0</v>
      </c>
      <c r="AI939" s="11">
        <f t="shared" si="44"/>
        <v>7.42</v>
      </c>
      <c r="AJ939" t="s">
        <v>62</v>
      </c>
    </row>
    <row r="940" spans="1:36" ht="15" customHeight="1" x14ac:dyDescent="0.35">
      <c r="A940">
        <v>10428918</v>
      </c>
      <c r="B940" t="s">
        <v>36</v>
      </c>
      <c r="C940" t="s">
        <v>37</v>
      </c>
      <c r="D940" s="6" t="s">
        <v>38</v>
      </c>
      <c r="E940" t="s">
        <v>2897</v>
      </c>
      <c r="F940" t="s">
        <v>40</v>
      </c>
      <c r="G940" t="s">
        <v>41</v>
      </c>
      <c r="H940" t="s">
        <v>2898</v>
      </c>
      <c r="I940" t="s">
        <v>43</v>
      </c>
      <c r="J940">
        <v>2</v>
      </c>
      <c r="K940" t="s">
        <v>44</v>
      </c>
      <c r="L940" t="s">
        <v>45</v>
      </c>
      <c r="M940" t="s">
        <v>46</v>
      </c>
      <c r="N940" s="7">
        <v>1</v>
      </c>
      <c r="O940" s="8">
        <v>45627.573587962965</v>
      </c>
      <c r="P940" s="9">
        <v>45629</v>
      </c>
      <c r="Q940" t="s">
        <v>74</v>
      </c>
      <c r="R940" t="s">
        <v>48</v>
      </c>
      <c r="S940" t="s">
        <v>49</v>
      </c>
      <c r="T940" t="s">
        <v>170</v>
      </c>
      <c r="U940" t="s">
        <v>2899</v>
      </c>
      <c r="V940">
        <v>58200</v>
      </c>
      <c r="W940" t="s">
        <v>48</v>
      </c>
      <c r="X940" t="s">
        <v>2850</v>
      </c>
      <c r="Y940" t="s">
        <v>54</v>
      </c>
      <c r="Z940" s="12">
        <f>IF(N940&lt;=1,9,9+0.8*ROUNDUP(N940-1,0))</f>
        <v>9</v>
      </c>
      <c r="AA940" s="11">
        <v>-2</v>
      </c>
      <c r="AB940" s="11">
        <v>0</v>
      </c>
      <c r="AC940" s="11">
        <v>0</v>
      </c>
      <c r="AD940" s="11">
        <v>0</v>
      </c>
      <c r="AE940" s="11">
        <v>0</v>
      </c>
      <c r="AF940" s="11">
        <f t="shared" si="42"/>
        <v>0.42</v>
      </c>
      <c r="AG940" s="11">
        <f t="shared" si="43"/>
        <v>7.42</v>
      </c>
      <c r="AH940" s="11">
        <v>0</v>
      </c>
      <c r="AI940" s="11">
        <f t="shared" si="44"/>
        <v>7.42</v>
      </c>
      <c r="AJ940" t="s">
        <v>62</v>
      </c>
    </row>
    <row r="941" spans="1:36" ht="15" customHeight="1" x14ac:dyDescent="0.35">
      <c r="A941">
        <v>10428918</v>
      </c>
      <c r="B941" t="s">
        <v>36</v>
      </c>
      <c r="C941" t="s">
        <v>37</v>
      </c>
      <c r="D941" s="6" t="s">
        <v>38</v>
      </c>
      <c r="E941" t="s">
        <v>2900</v>
      </c>
      <c r="F941" t="s">
        <v>40</v>
      </c>
      <c r="G941" t="s">
        <v>41</v>
      </c>
      <c r="H941" t="s">
        <v>2901</v>
      </c>
      <c r="I941" t="s">
        <v>43</v>
      </c>
      <c r="J941">
        <v>2</v>
      </c>
      <c r="K941" t="s">
        <v>44</v>
      </c>
      <c r="L941" t="s">
        <v>45</v>
      </c>
      <c r="M941" t="s">
        <v>46</v>
      </c>
      <c r="N941" s="7">
        <v>1</v>
      </c>
      <c r="O941" s="8">
        <v>45622.83662037037</v>
      </c>
      <c r="P941" s="9">
        <v>45629</v>
      </c>
      <c r="Q941" t="s">
        <v>74</v>
      </c>
      <c r="R941" t="s">
        <v>48</v>
      </c>
      <c r="S941" t="s">
        <v>49</v>
      </c>
      <c r="T941" t="s">
        <v>117</v>
      </c>
      <c r="U941" t="s">
        <v>2902</v>
      </c>
      <c r="V941">
        <v>47100</v>
      </c>
      <c r="W941" t="s">
        <v>48</v>
      </c>
      <c r="X941" t="s">
        <v>232</v>
      </c>
      <c r="Y941" t="s">
        <v>54</v>
      </c>
      <c r="Z941" s="12">
        <f>IF(N941&lt;=1,9,9+0.8*ROUNDUP(N941-1,0))</f>
        <v>9</v>
      </c>
      <c r="AA941" s="11">
        <v>-2</v>
      </c>
      <c r="AB941" s="11">
        <v>0</v>
      </c>
      <c r="AC941" s="11">
        <v>0</v>
      </c>
      <c r="AD941" s="11">
        <v>0</v>
      </c>
      <c r="AE941" s="11">
        <v>0</v>
      </c>
      <c r="AF941" s="11">
        <f t="shared" si="42"/>
        <v>0.42</v>
      </c>
      <c r="AG941" s="11">
        <f t="shared" si="43"/>
        <v>7.42</v>
      </c>
      <c r="AH941" s="11">
        <v>0</v>
      </c>
      <c r="AI941" s="11">
        <f t="shared" si="44"/>
        <v>7.42</v>
      </c>
      <c r="AJ941" t="s">
        <v>62</v>
      </c>
    </row>
    <row r="942" spans="1:36" ht="15" customHeight="1" x14ac:dyDescent="0.35">
      <c r="A942">
        <v>10428918</v>
      </c>
      <c r="B942" t="s">
        <v>36</v>
      </c>
      <c r="C942" t="s">
        <v>37</v>
      </c>
      <c r="D942" s="6" t="s">
        <v>38</v>
      </c>
      <c r="E942" t="s">
        <v>2903</v>
      </c>
      <c r="F942" t="s">
        <v>40</v>
      </c>
      <c r="G942" t="s">
        <v>41</v>
      </c>
      <c r="H942" t="s">
        <v>2904</v>
      </c>
      <c r="I942" t="s">
        <v>43</v>
      </c>
      <c r="J942">
        <v>2</v>
      </c>
      <c r="K942" t="s">
        <v>44</v>
      </c>
      <c r="L942" t="s">
        <v>45</v>
      </c>
      <c r="M942" t="s">
        <v>46</v>
      </c>
      <c r="N942" s="7">
        <v>1</v>
      </c>
      <c r="O942" s="8">
        <v>45624.535381944443</v>
      </c>
      <c r="P942" s="9">
        <v>45629</v>
      </c>
      <c r="Q942" t="s">
        <v>74</v>
      </c>
      <c r="R942" t="s">
        <v>48</v>
      </c>
      <c r="S942" t="s">
        <v>49</v>
      </c>
      <c r="T942" t="s">
        <v>117</v>
      </c>
      <c r="U942" t="s">
        <v>2905</v>
      </c>
      <c r="V942">
        <v>43000</v>
      </c>
      <c r="W942" t="s">
        <v>48</v>
      </c>
      <c r="X942" t="s">
        <v>53</v>
      </c>
      <c r="Y942" t="s">
        <v>54</v>
      </c>
      <c r="Z942" s="12">
        <f>IF(N942&lt;=1,9,9+0.8*ROUNDUP(N942-1,0))</f>
        <v>9</v>
      </c>
      <c r="AA942" s="11">
        <v>-2</v>
      </c>
      <c r="AB942" s="11">
        <v>0</v>
      </c>
      <c r="AC942" s="11">
        <v>0</v>
      </c>
      <c r="AD942" s="11">
        <v>0</v>
      </c>
      <c r="AE942" s="11">
        <v>0</v>
      </c>
      <c r="AF942" s="11">
        <f t="shared" si="42"/>
        <v>0.42</v>
      </c>
      <c r="AG942" s="11">
        <f t="shared" si="43"/>
        <v>7.42</v>
      </c>
      <c r="AH942" s="11">
        <v>0</v>
      </c>
      <c r="AI942" s="11">
        <f t="shared" si="44"/>
        <v>7.42</v>
      </c>
      <c r="AJ942" t="s">
        <v>62</v>
      </c>
    </row>
    <row r="943" spans="1:36" ht="15" customHeight="1" x14ac:dyDescent="0.35">
      <c r="A943">
        <v>10428918</v>
      </c>
      <c r="B943" t="s">
        <v>36</v>
      </c>
      <c r="C943" t="s">
        <v>37</v>
      </c>
      <c r="D943" s="6" t="s">
        <v>38</v>
      </c>
      <c r="E943" t="s">
        <v>2906</v>
      </c>
      <c r="F943" t="s">
        <v>40</v>
      </c>
      <c r="G943" t="s">
        <v>41</v>
      </c>
      <c r="H943" t="s">
        <v>2907</v>
      </c>
      <c r="I943" t="s">
        <v>43</v>
      </c>
      <c r="J943">
        <v>2</v>
      </c>
      <c r="K943" t="s">
        <v>44</v>
      </c>
      <c r="L943" t="s">
        <v>45</v>
      </c>
      <c r="M943" t="s">
        <v>46</v>
      </c>
      <c r="N943" s="7">
        <v>2</v>
      </c>
      <c r="O943" s="8">
        <v>45626.817083333335</v>
      </c>
      <c r="P943" s="9">
        <v>45629</v>
      </c>
      <c r="Q943" t="s">
        <v>74</v>
      </c>
      <c r="R943" t="s">
        <v>48</v>
      </c>
      <c r="S943" t="s">
        <v>49</v>
      </c>
      <c r="T943" t="s">
        <v>170</v>
      </c>
      <c r="U943" t="s">
        <v>2908</v>
      </c>
      <c r="V943">
        <v>57100</v>
      </c>
      <c r="W943" t="s">
        <v>48</v>
      </c>
      <c r="X943" t="s">
        <v>790</v>
      </c>
      <c r="Y943" t="s">
        <v>54</v>
      </c>
      <c r="Z943" s="12">
        <f>IF(N943&lt;=1,9,9+0.8*ROUNDUP(N943-1,0))</f>
        <v>9.8000000000000007</v>
      </c>
      <c r="AA943" s="11">
        <v>-2</v>
      </c>
      <c r="AB943" s="11">
        <v>0</v>
      </c>
      <c r="AC943" s="11">
        <v>0</v>
      </c>
      <c r="AD943" s="11">
        <v>0</v>
      </c>
      <c r="AE943" s="11">
        <v>0</v>
      </c>
      <c r="AF943" s="11">
        <f t="shared" si="42"/>
        <v>0.46800000000000003</v>
      </c>
      <c r="AG943" s="11">
        <f t="shared" si="43"/>
        <v>8.2680000000000007</v>
      </c>
      <c r="AH943" s="11">
        <v>0</v>
      </c>
      <c r="AI943" s="11">
        <f t="shared" si="44"/>
        <v>8.2680000000000007</v>
      </c>
      <c r="AJ943" t="s">
        <v>62</v>
      </c>
    </row>
    <row r="944" spans="1:36" ht="15" customHeight="1" x14ac:dyDescent="0.35">
      <c r="A944">
        <v>10428918</v>
      </c>
      <c r="B944" t="s">
        <v>36</v>
      </c>
      <c r="C944" t="s">
        <v>37</v>
      </c>
      <c r="D944" s="6" t="s">
        <v>38</v>
      </c>
      <c r="E944" t="s">
        <v>2909</v>
      </c>
      <c r="F944" t="s">
        <v>40</v>
      </c>
      <c r="G944" t="s">
        <v>41</v>
      </c>
      <c r="H944" t="s">
        <v>2910</v>
      </c>
      <c r="I944" t="s">
        <v>43</v>
      </c>
      <c r="J944">
        <v>2</v>
      </c>
      <c r="K944" t="s">
        <v>44</v>
      </c>
      <c r="L944" t="s">
        <v>45</v>
      </c>
      <c r="M944" t="s">
        <v>46</v>
      </c>
      <c r="N944" s="7">
        <v>1</v>
      </c>
      <c r="O944" s="8">
        <v>45622.823229166665</v>
      </c>
      <c r="P944" s="9">
        <v>45629</v>
      </c>
      <c r="Q944" t="s">
        <v>74</v>
      </c>
      <c r="R944" t="s">
        <v>48</v>
      </c>
      <c r="S944" t="s">
        <v>49</v>
      </c>
      <c r="T944" t="s">
        <v>80</v>
      </c>
      <c r="U944" t="s">
        <v>2911</v>
      </c>
      <c r="V944">
        <v>8000</v>
      </c>
      <c r="W944" t="s">
        <v>48</v>
      </c>
      <c r="X944" t="s">
        <v>145</v>
      </c>
      <c r="Y944" t="s">
        <v>54</v>
      </c>
      <c r="Z944" s="12">
        <f>IF(N944&lt;=1,9,9+0.8*ROUNDUP(N944-1,0))</f>
        <v>9</v>
      </c>
      <c r="AA944" s="11">
        <v>-2</v>
      </c>
      <c r="AB944" s="11">
        <v>0</v>
      </c>
      <c r="AC944" s="11">
        <v>0</v>
      </c>
      <c r="AD944" s="11">
        <v>0</v>
      </c>
      <c r="AE944" s="11">
        <v>0</v>
      </c>
      <c r="AF944" s="11">
        <f t="shared" si="42"/>
        <v>0.42</v>
      </c>
      <c r="AG944" s="11">
        <f t="shared" si="43"/>
        <v>7.42</v>
      </c>
      <c r="AH944" s="11">
        <v>0</v>
      </c>
      <c r="AI944" s="11">
        <f t="shared" si="44"/>
        <v>7.42</v>
      </c>
      <c r="AJ944" t="s">
        <v>62</v>
      </c>
    </row>
    <row r="945" spans="1:36" ht="15" customHeight="1" x14ac:dyDescent="0.35">
      <c r="A945">
        <v>10428918</v>
      </c>
      <c r="B945" t="s">
        <v>36</v>
      </c>
      <c r="C945" t="s">
        <v>37</v>
      </c>
      <c r="D945" s="6" t="s">
        <v>38</v>
      </c>
      <c r="E945" t="s">
        <v>2912</v>
      </c>
      <c r="F945" t="s">
        <v>40</v>
      </c>
      <c r="G945" t="s">
        <v>41</v>
      </c>
      <c r="H945" t="s">
        <v>2913</v>
      </c>
      <c r="I945" t="s">
        <v>43</v>
      </c>
      <c r="J945">
        <v>2</v>
      </c>
      <c r="K945" t="s">
        <v>44</v>
      </c>
      <c r="L945" t="s">
        <v>45</v>
      </c>
      <c r="M945" t="s">
        <v>46</v>
      </c>
      <c r="N945" s="7">
        <v>1</v>
      </c>
      <c r="O945" s="8">
        <v>45628.701203703706</v>
      </c>
      <c r="P945" s="9">
        <v>45629</v>
      </c>
      <c r="Q945" t="s">
        <v>74</v>
      </c>
      <c r="R945" t="s">
        <v>48</v>
      </c>
      <c r="S945" t="s">
        <v>49</v>
      </c>
      <c r="T945" t="s">
        <v>117</v>
      </c>
      <c r="U945" t="s">
        <v>2914</v>
      </c>
      <c r="V945">
        <v>68000</v>
      </c>
      <c r="W945" t="s">
        <v>48</v>
      </c>
      <c r="X945" t="s">
        <v>1329</v>
      </c>
      <c r="Y945" t="s">
        <v>54</v>
      </c>
      <c r="Z945" s="12">
        <f>IF(N945&lt;=1,9,9+0.8*ROUNDUP(N945-1,0))</f>
        <v>9</v>
      </c>
      <c r="AA945" s="11">
        <v>-2</v>
      </c>
      <c r="AB945" s="11">
        <v>0</v>
      </c>
      <c r="AC945" s="11">
        <v>0</v>
      </c>
      <c r="AD945" s="11">
        <v>0</v>
      </c>
      <c r="AE945" s="11">
        <v>0</v>
      </c>
      <c r="AF945" s="11">
        <f t="shared" si="42"/>
        <v>0.42</v>
      </c>
      <c r="AG945" s="11">
        <f t="shared" si="43"/>
        <v>7.42</v>
      </c>
      <c r="AH945" s="11">
        <v>0</v>
      </c>
      <c r="AI945" s="11">
        <f t="shared" si="44"/>
        <v>7.42</v>
      </c>
      <c r="AJ945" t="s">
        <v>62</v>
      </c>
    </row>
    <row r="946" spans="1:36" ht="15" customHeight="1" x14ac:dyDescent="0.35">
      <c r="A946">
        <v>10428918</v>
      </c>
      <c r="B946" t="s">
        <v>36</v>
      </c>
      <c r="C946" t="s">
        <v>37</v>
      </c>
      <c r="D946" s="6" t="s">
        <v>38</v>
      </c>
      <c r="E946" t="s">
        <v>2915</v>
      </c>
      <c r="F946" t="s">
        <v>40</v>
      </c>
      <c r="G946" t="s">
        <v>41</v>
      </c>
      <c r="H946" t="s">
        <v>2916</v>
      </c>
      <c r="I946" t="s">
        <v>43</v>
      </c>
      <c r="J946">
        <v>2</v>
      </c>
      <c r="K946" t="s">
        <v>44</v>
      </c>
      <c r="L946" t="s">
        <v>45</v>
      </c>
      <c r="M946" t="s">
        <v>46</v>
      </c>
      <c r="N946" s="7">
        <v>2</v>
      </c>
      <c r="O946" s="8">
        <v>45623.650613425925</v>
      </c>
      <c r="P946" s="9">
        <v>45629</v>
      </c>
      <c r="Q946" t="s">
        <v>74</v>
      </c>
      <c r="R946" t="s">
        <v>48</v>
      </c>
      <c r="S946" t="s">
        <v>49</v>
      </c>
      <c r="T946" t="s">
        <v>117</v>
      </c>
      <c r="U946" t="s">
        <v>2917</v>
      </c>
      <c r="V946">
        <v>43100</v>
      </c>
      <c r="W946" t="s">
        <v>48</v>
      </c>
      <c r="X946" t="s">
        <v>53</v>
      </c>
      <c r="Y946" t="s">
        <v>54</v>
      </c>
      <c r="Z946" s="12">
        <f>IF(N946&lt;=1,9,9+0.8*ROUNDUP(N946-1,0))</f>
        <v>9.8000000000000007</v>
      </c>
      <c r="AA946" s="11">
        <v>-2</v>
      </c>
      <c r="AB946" s="11">
        <v>0</v>
      </c>
      <c r="AC946" s="11">
        <v>0</v>
      </c>
      <c r="AD946" s="11">
        <v>0</v>
      </c>
      <c r="AE946" s="11">
        <v>0</v>
      </c>
      <c r="AF946" s="11">
        <f t="shared" si="42"/>
        <v>0.46800000000000003</v>
      </c>
      <c r="AG946" s="11">
        <f t="shared" si="43"/>
        <v>8.2680000000000007</v>
      </c>
      <c r="AH946" s="11">
        <v>0</v>
      </c>
      <c r="AI946" s="11">
        <f t="shared" si="44"/>
        <v>8.2680000000000007</v>
      </c>
      <c r="AJ946" t="s">
        <v>62</v>
      </c>
    </row>
    <row r="947" spans="1:36" ht="15" customHeight="1" x14ac:dyDescent="0.35">
      <c r="A947">
        <v>10428918</v>
      </c>
      <c r="B947" t="s">
        <v>36</v>
      </c>
      <c r="C947" t="s">
        <v>37</v>
      </c>
      <c r="D947" s="6" t="s">
        <v>38</v>
      </c>
      <c r="E947" t="s">
        <v>2918</v>
      </c>
      <c r="F947" t="s">
        <v>40</v>
      </c>
      <c r="G947" t="s">
        <v>41</v>
      </c>
      <c r="H947" t="s">
        <v>2919</v>
      </c>
      <c r="I947" t="s">
        <v>43</v>
      </c>
      <c r="J947">
        <v>2</v>
      </c>
      <c r="K947" t="s">
        <v>44</v>
      </c>
      <c r="L947" t="s">
        <v>45</v>
      </c>
      <c r="M947" t="s">
        <v>46</v>
      </c>
      <c r="N947" s="7">
        <v>1</v>
      </c>
      <c r="O947" s="8">
        <v>45628.526446759257</v>
      </c>
      <c r="P947" s="9">
        <v>45629</v>
      </c>
      <c r="Q947" t="s">
        <v>74</v>
      </c>
      <c r="R947" t="s">
        <v>48</v>
      </c>
      <c r="S947" t="s">
        <v>49</v>
      </c>
      <c r="T947" t="s">
        <v>59</v>
      </c>
      <c r="U947" t="s">
        <v>2920</v>
      </c>
      <c r="V947">
        <v>18500</v>
      </c>
      <c r="W947" t="s">
        <v>48</v>
      </c>
      <c r="X947" t="s">
        <v>77</v>
      </c>
      <c r="Y947" t="s">
        <v>54</v>
      </c>
      <c r="Z947" s="12">
        <f>IF(N947&lt;=1,9,9+0.8*ROUNDUP(N947-1,0))</f>
        <v>9</v>
      </c>
      <c r="AA947" s="11">
        <v>-2</v>
      </c>
      <c r="AB947" s="11">
        <v>0</v>
      </c>
      <c r="AC947" s="11">
        <v>0</v>
      </c>
      <c r="AD947" s="11">
        <v>0</v>
      </c>
      <c r="AE947" s="11">
        <v>0</v>
      </c>
      <c r="AF947" s="11">
        <f t="shared" si="42"/>
        <v>0.42</v>
      </c>
      <c r="AG947" s="11">
        <f t="shared" si="43"/>
        <v>7.42</v>
      </c>
      <c r="AH947" s="11">
        <v>0</v>
      </c>
      <c r="AI947" s="11">
        <f t="shared" si="44"/>
        <v>7.42</v>
      </c>
      <c r="AJ947" t="s">
        <v>62</v>
      </c>
    </row>
    <row r="948" spans="1:36" ht="15" customHeight="1" x14ac:dyDescent="0.35">
      <c r="A948">
        <v>10428918</v>
      </c>
      <c r="B948" t="s">
        <v>36</v>
      </c>
      <c r="C948" t="s">
        <v>37</v>
      </c>
      <c r="D948" s="6" t="s">
        <v>38</v>
      </c>
      <c r="E948" t="s">
        <v>2921</v>
      </c>
      <c r="F948" t="s">
        <v>40</v>
      </c>
      <c r="G948" t="s">
        <v>41</v>
      </c>
      <c r="H948" t="s">
        <v>2922</v>
      </c>
      <c r="I948" t="s">
        <v>43</v>
      </c>
      <c r="J948">
        <v>2</v>
      </c>
      <c r="K948" t="s">
        <v>44</v>
      </c>
      <c r="L948" t="s">
        <v>45</v>
      </c>
      <c r="M948" t="s">
        <v>46</v>
      </c>
      <c r="N948" s="7">
        <v>1</v>
      </c>
      <c r="O948" s="8">
        <v>45626.825902777775</v>
      </c>
      <c r="P948" s="9">
        <v>45629</v>
      </c>
      <c r="Q948" t="s">
        <v>74</v>
      </c>
      <c r="R948" t="s">
        <v>48</v>
      </c>
      <c r="S948" t="s">
        <v>49</v>
      </c>
      <c r="T948" t="s">
        <v>59</v>
      </c>
      <c r="U948" t="s">
        <v>2923</v>
      </c>
      <c r="V948">
        <v>16150</v>
      </c>
      <c r="W948" t="s">
        <v>48</v>
      </c>
      <c r="X948" t="s">
        <v>61</v>
      </c>
      <c r="Y948" t="s">
        <v>54</v>
      </c>
      <c r="Z948" s="12">
        <f>IF(N948&lt;=1,9,9+0.8*ROUNDUP(N948-1,0))</f>
        <v>9</v>
      </c>
      <c r="AA948" s="11">
        <v>-2</v>
      </c>
      <c r="AB948" s="11">
        <v>0</v>
      </c>
      <c r="AC948" s="11">
        <v>0</v>
      </c>
      <c r="AD948" s="11">
        <v>0</v>
      </c>
      <c r="AE948" s="11">
        <v>0</v>
      </c>
      <c r="AF948" s="11">
        <f t="shared" si="42"/>
        <v>0.42</v>
      </c>
      <c r="AG948" s="11">
        <f t="shared" si="43"/>
        <v>7.42</v>
      </c>
      <c r="AH948" s="11">
        <v>0</v>
      </c>
      <c r="AI948" s="11">
        <f t="shared" si="44"/>
        <v>7.42</v>
      </c>
      <c r="AJ948" t="s">
        <v>62</v>
      </c>
    </row>
    <row r="949" spans="1:36" ht="15" customHeight="1" x14ac:dyDescent="0.35">
      <c r="A949">
        <v>10428918</v>
      </c>
      <c r="B949" t="s">
        <v>36</v>
      </c>
      <c r="C949" t="s">
        <v>37</v>
      </c>
      <c r="D949" s="6" t="s">
        <v>38</v>
      </c>
      <c r="E949" t="s">
        <v>2924</v>
      </c>
      <c r="F949" t="s">
        <v>40</v>
      </c>
      <c r="G949" t="s">
        <v>41</v>
      </c>
      <c r="H949" t="s">
        <v>1556</v>
      </c>
      <c r="I949" t="s">
        <v>43</v>
      </c>
      <c r="J949">
        <v>2</v>
      </c>
      <c r="K949" t="s">
        <v>44</v>
      </c>
      <c r="L949" t="s">
        <v>45</v>
      </c>
      <c r="M949" t="s">
        <v>46</v>
      </c>
      <c r="N949" s="7">
        <v>3</v>
      </c>
      <c r="O949" s="8">
        <v>45628.526435185187</v>
      </c>
      <c r="P949" s="9">
        <v>45629</v>
      </c>
      <c r="Q949" t="s">
        <v>74</v>
      </c>
      <c r="R949" t="s">
        <v>48</v>
      </c>
      <c r="S949" t="s">
        <v>49</v>
      </c>
      <c r="T949" t="s">
        <v>59</v>
      </c>
      <c r="U949" t="s">
        <v>1557</v>
      </c>
      <c r="V949">
        <v>16800</v>
      </c>
      <c r="W949" t="s">
        <v>48</v>
      </c>
      <c r="X949" t="s">
        <v>77</v>
      </c>
      <c r="Y949" t="s">
        <v>54</v>
      </c>
      <c r="Z949" s="12">
        <f>IF(N949&lt;=1,9,9+0.8*ROUNDUP(N949-1,0))</f>
        <v>10.6</v>
      </c>
      <c r="AA949" s="11">
        <v>-2</v>
      </c>
      <c r="AB949" s="11">
        <v>0</v>
      </c>
      <c r="AC949" s="11">
        <v>0</v>
      </c>
      <c r="AD949" s="11">
        <v>0</v>
      </c>
      <c r="AE949" s="11">
        <v>0</v>
      </c>
      <c r="AF949" s="11">
        <f t="shared" si="42"/>
        <v>0.51600000000000001</v>
      </c>
      <c r="AG949" s="11">
        <f t="shared" si="43"/>
        <v>9.1159999999999997</v>
      </c>
      <c r="AH949" s="11">
        <v>0</v>
      </c>
      <c r="AI949" s="11">
        <f t="shared" si="44"/>
        <v>9.1159999999999997</v>
      </c>
      <c r="AJ949" t="s">
        <v>62</v>
      </c>
    </row>
    <row r="950" spans="1:36" ht="15" customHeight="1" x14ac:dyDescent="0.35">
      <c r="A950">
        <v>10428918</v>
      </c>
      <c r="B950" t="s">
        <v>36</v>
      </c>
      <c r="C950" t="s">
        <v>37</v>
      </c>
      <c r="D950" s="6" t="s">
        <v>38</v>
      </c>
      <c r="E950" t="s">
        <v>2925</v>
      </c>
      <c r="F950" t="s">
        <v>40</v>
      </c>
      <c r="G950" t="s">
        <v>41</v>
      </c>
      <c r="H950" t="s">
        <v>2926</v>
      </c>
      <c r="I950" t="s">
        <v>43</v>
      </c>
      <c r="J950">
        <v>2</v>
      </c>
      <c r="K950" t="s">
        <v>44</v>
      </c>
      <c r="L950" t="s">
        <v>45</v>
      </c>
      <c r="M950" t="s">
        <v>46</v>
      </c>
      <c r="N950" s="7">
        <v>1</v>
      </c>
      <c r="O950" s="8">
        <v>45623.78974537037</v>
      </c>
      <c r="P950" s="9">
        <v>45629</v>
      </c>
      <c r="Q950" t="s">
        <v>74</v>
      </c>
      <c r="R950" t="s">
        <v>48</v>
      </c>
      <c r="S950" t="s">
        <v>49</v>
      </c>
      <c r="T950" t="s">
        <v>65</v>
      </c>
      <c r="U950" t="s">
        <v>2927</v>
      </c>
      <c r="V950">
        <v>75200</v>
      </c>
      <c r="W950" t="s">
        <v>48</v>
      </c>
      <c r="X950" t="s">
        <v>53</v>
      </c>
      <c r="Y950" t="s">
        <v>54</v>
      </c>
      <c r="Z950" s="12">
        <f>IF(N950&lt;=1,9,9+0.8*ROUNDUP(N950-1,0))</f>
        <v>9</v>
      </c>
      <c r="AA950" s="11">
        <v>-2</v>
      </c>
      <c r="AB950" s="11">
        <v>0</v>
      </c>
      <c r="AC950" s="11">
        <v>0</v>
      </c>
      <c r="AD950" s="11">
        <v>0</v>
      </c>
      <c r="AE950" s="11">
        <v>0</v>
      </c>
      <c r="AF950" s="11">
        <f t="shared" si="42"/>
        <v>0.42</v>
      </c>
      <c r="AG950" s="11">
        <f t="shared" si="43"/>
        <v>7.42</v>
      </c>
      <c r="AH950" s="11">
        <v>0</v>
      </c>
      <c r="AI950" s="11">
        <f t="shared" si="44"/>
        <v>7.42</v>
      </c>
      <c r="AJ950" t="s">
        <v>62</v>
      </c>
    </row>
    <row r="951" spans="1:36" ht="15" customHeight="1" x14ac:dyDescent="0.35">
      <c r="A951">
        <v>10428918</v>
      </c>
      <c r="B951" t="s">
        <v>36</v>
      </c>
      <c r="C951" t="s">
        <v>37</v>
      </c>
      <c r="D951" s="6" t="s">
        <v>38</v>
      </c>
      <c r="E951" t="s">
        <v>2928</v>
      </c>
      <c r="F951" t="s">
        <v>40</v>
      </c>
      <c r="G951" t="s">
        <v>41</v>
      </c>
      <c r="H951" t="s">
        <v>2929</v>
      </c>
      <c r="I951" t="s">
        <v>43</v>
      </c>
      <c r="J951">
        <v>2</v>
      </c>
      <c r="K951" t="s">
        <v>44</v>
      </c>
      <c r="L951" t="s">
        <v>45</v>
      </c>
      <c r="M951" t="s">
        <v>46</v>
      </c>
      <c r="N951" s="7">
        <v>6</v>
      </c>
      <c r="O951" s="8">
        <v>45629.626388888886</v>
      </c>
      <c r="P951" s="9">
        <v>45630</v>
      </c>
      <c r="Q951" t="s">
        <v>74</v>
      </c>
      <c r="R951" t="s">
        <v>48</v>
      </c>
      <c r="S951" t="s">
        <v>49</v>
      </c>
      <c r="T951" t="s">
        <v>75</v>
      </c>
      <c r="U951" t="s">
        <v>2930</v>
      </c>
      <c r="V951">
        <v>26100</v>
      </c>
      <c r="W951" t="s">
        <v>48</v>
      </c>
      <c r="X951" t="s">
        <v>887</v>
      </c>
      <c r="Y951" t="s">
        <v>54</v>
      </c>
      <c r="Z951" s="12">
        <f>IF(N951&lt;=1,9,9+0.8*ROUNDUP(N951-1,0))</f>
        <v>13</v>
      </c>
      <c r="AA951" s="11">
        <v>-2</v>
      </c>
      <c r="AB951" s="11">
        <v>0</v>
      </c>
      <c r="AC951" s="11">
        <v>0</v>
      </c>
      <c r="AD951" s="11">
        <v>0</v>
      </c>
      <c r="AE951" s="11">
        <v>0</v>
      </c>
      <c r="AF951" s="11">
        <f t="shared" si="42"/>
        <v>0.65999999999999992</v>
      </c>
      <c r="AG951" s="11">
        <f t="shared" si="43"/>
        <v>11.66</v>
      </c>
      <c r="AH951" s="11">
        <v>0</v>
      </c>
      <c r="AI951" s="11">
        <f t="shared" si="44"/>
        <v>11.66</v>
      </c>
      <c r="AJ951" t="s">
        <v>62</v>
      </c>
    </row>
    <row r="952" spans="1:36" ht="15" customHeight="1" x14ac:dyDescent="0.35">
      <c r="A952">
        <v>10428918</v>
      </c>
      <c r="B952" t="s">
        <v>36</v>
      </c>
      <c r="C952" t="s">
        <v>37</v>
      </c>
      <c r="D952" s="6" t="s">
        <v>38</v>
      </c>
      <c r="E952" t="s">
        <v>2931</v>
      </c>
      <c r="F952" t="s">
        <v>40</v>
      </c>
      <c r="G952" t="s">
        <v>41</v>
      </c>
      <c r="H952" t="s">
        <v>2932</v>
      </c>
      <c r="I952" t="s">
        <v>43</v>
      </c>
      <c r="J952">
        <v>2</v>
      </c>
      <c r="K952" t="s">
        <v>44</v>
      </c>
      <c r="L952" t="s">
        <v>45</v>
      </c>
      <c r="M952" t="s">
        <v>46</v>
      </c>
      <c r="N952" s="7">
        <v>1</v>
      </c>
      <c r="O952" s="8">
        <v>45629.75608796296</v>
      </c>
      <c r="P952" s="9">
        <v>45630</v>
      </c>
      <c r="Q952" t="s">
        <v>74</v>
      </c>
      <c r="R952" t="s">
        <v>48</v>
      </c>
      <c r="S952" t="s">
        <v>49</v>
      </c>
      <c r="T952" t="s">
        <v>59</v>
      </c>
      <c r="U952" t="s">
        <v>2933</v>
      </c>
      <c r="V952">
        <v>18300</v>
      </c>
      <c r="W952" t="s">
        <v>48</v>
      </c>
      <c r="X952" t="s">
        <v>61</v>
      </c>
      <c r="Y952" t="s">
        <v>54</v>
      </c>
      <c r="Z952" s="12">
        <f>IF(N952&lt;=1,9,9+0.8*ROUNDUP(N952-1,0))</f>
        <v>9</v>
      </c>
      <c r="AA952" s="11">
        <v>-2</v>
      </c>
      <c r="AB952" s="11">
        <v>0</v>
      </c>
      <c r="AC952" s="11">
        <v>0</v>
      </c>
      <c r="AD952" s="11">
        <v>0</v>
      </c>
      <c r="AE952" s="11">
        <v>0</v>
      </c>
      <c r="AF952" s="11">
        <f t="shared" si="42"/>
        <v>0.42</v>
      </c>
      <c r="AG952" s="11">
        <f t="shared" si="43"/>
        <v>7.42</v>
      </c>
      <c r="AH952" s="11">
        <v>0</v>
      </c>
      <c r="AI952" s="11">
        <f t="shared" si="44"/>
        <v>7.42</v>
      </c>
      <c r="AJ952" t="s">
        <v>62</v>
      </c>
    </row>
    <row r="953" spans="1:36" ht="15" customHeight="1" x14ac:dyDescent="0.35">
      <c r="A953">
        <v>10428918</v>
      </c>
      <c r="B953" t="s">
        <v>36</v>
      </c>
      <c r="C953" t="s">
        <v>37</v>
      </c>
      <c r="D953" s="6" t="s">
        <v>38</v>
      </c>
      <c r="E953" t="s">
        <v>2934</v>
      </c>
      <c r="F953" t="s">
        <v>40</v>
      </c>
      <c r="G953" t="s">
        <v>41</v>
      </c>
      <c r="H953" t="s">
        <v>84</v>
      </c>
      <c r="I953" t="s">
        <v>43</v>
      </c>
      <c r="J953">
        <v>2</v>
      </c>
      <c r="K953" t="s">
        <v>44</v>
      </c>
      <c r="L953" t="s">
        <v>45</v>
      </c>
      <c r="M953" t="s">
        <v>46</v>
      </c>
      <c r="N953" s="7">
        <v>1</v>
      </c>
      <c r="O953" s="8">
        <v>45629.705092592594</v>
      </c>
      <c r="P953" s="9">
        <v>45630</v>
      </c>
      <c r="Q953" t="s">
        <v>74</v>
      </c>
      <c r="R953" t="s">
        <v>48</v>
      </c>
      <c r="S953" t="s">
        <v>49</v>
      </c>
      <c r="T953" t="s">
        <v>85</v>
      </c>
      <c r="U953" t="s">
        <v>86</v>
      </c>
      <c r="V953">
        <v>71010</v>
      </c>
      <c r="W953" t="s">
        <v>48</v>
      </c>
      <c r="X953" t="s">
        <v>87</v>
      </c>
      <c r="Y953" t="s">
        <v>54</v>
      </c>
      <c r="Z953" s="12">
        <f>IF(N953&lt;=1,9,9+0.8*ROUNDUP(N953-1,0))</f>
        <v>9</v>
      </c>
      <c r="AA953" s="11">
        <v>-2</v>
      </c>
      <c r="AB953" s="11">
        <v>0</v>
      </c>
      <c r="AC953" s="11">
        <v>0</v>
      </c>
      <c r="AD953" s="11">
        <v>0</v>
      </c>
      <c r="AE953" s="11">
        <v>0</v>
      </c>
      <c r="AF953" s="11">
        <f t="shared" si="42"/>
        <v>0.42</v>
      </c>
      <c r="AG953" s="11">
        <f t="shared" si="43"/>
        <v>7.42</v>
      </c>
      <c r="AH953" s="11">
        <v>0</v>
      </c>
      <c r="AI953" s="11">
        <f t="shared" si="44"/>
        <v>7.42</v>
      </c>
      <c r="AJ953" t="s">
        <v>62</v>
      </c>
    </row>
    <row r="954" spans="1:36" ht="15" customHeight="1" x14ac:dyDescent="0.35">
      <c r="A954">
        <v>10428918</v>
      </c>
      <c r="B954" t="s">
        <v>36</v>
      </c>
      <c r="C954" t="s">
        <v>37</v>
      </c>
      <c r="D954" s="6" t="s">
        <v>38</v>
      </c>
      <c r="E954" t="s">
        <v>2935</v>
      </c>
      <c r="F954" t="s">
        <v>40</v>
      </c>
      <c r="G954" t="s">
        <v>41</v>
      </c>
      <c r="H954" t="s">
        <v>2936</v>
      </c>
      <c r="I954" t="s">
        <v>43</v>
      </c>
      <c r="J954">
        <v>2</v>
      </c>
      <c r="K954" t="s">
        <v>44</v>
      </c>
      <c r="L954" t="s">
        <v>45</v>
      </c>
      <c r="M954" t="s">
        <v>46</v>
      </c>
      <c r="N954" s="7">
        <v>1</v>
      </c>
      <c r="O954" s="8">
        <v>45626.608298611114</v>
      </c>
      <c r="P954" s="9">
        <v>45630</v>
      </c>
      <c r="Q954" t="s">
        <v>74</v>
      </c>
      <c r="R954" t="s">
        <v>48</v>
      </c>
      <c r="S954" t="s">
        <v>49</v>
      </c>
      <c r="T954" t="s">
        <v>50</v>
      </c>
      <c r="U954" t="s">
        <v>2937</v>
      </c>
      <c r="V954">
        <v>88846</v>
      </c>
      <c r="W954" t="s">
        <v>52</v>
      </c>
      <c r="X954" t="s">
        <v>53</v>
      </c>
      <c r="Y954" t="s">
        <v>54</v>
      </c>
      <c r="Z954" s="10">
        <f>IF(N954&lt;=1,13,IF(N954&lt;=2,23,IF(N954&lt;=3,35,IF(N954&lt;=4,43,IF(N954&lt;=5,53,IF(N954&lt;=6,63,IF(N954&lt;=7,71,IF(N954&lt;=8,79,IF(N954&lt;=9,87,IF(N954&lt;=10,95,IF(N954&lt;=11,105,IF(N954&lt;=12,114,IF(N954&lt;=13,119,IF(N954&lt;=14,127,IF(N954&lt;=15,135,IF(N954&lt;=16,143,IF(N954&lt;=17,153,IF(N954&lt;=18,163,IF(N954&lt;=19,171,IF(N954&lt;=20,185,IF(N954&lt;=21,193,IF(N954&lt;=22,201,IF(N954&lt;=23,210,IF(N954&lt;=24,220,IF(N954&lt;=25,230,IF(N954&lt;=26,240,IF(N954&lt;=27,250,IF(N954&lt;=28,260,IF(N954&lt;=29,270,IF(N954&lt;=30,280,280+10*ROUNDUP(N954-30,0)))))))))))))))))))))))))))))))</f>
        <v>13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f t="shared" si="42"/>
        <v>0.78</v>
      </c>
      <c r="AG954" s="11">
        <f t="shared" si="43"/>
        <v>13.78</v>
      </c>
      <c r="AH954" s="11">
        <v>0</v>
      </c>
      <c r="AI954" s="11">
        <f t="shared" si="44"/>
        <v>13.78</v>
      </c>
      <c r="AJ954" t="s">
        <v>55</v>
      </c>
    </row>
    <row r="955" spans="1:36" ht="15" customHeight="1" x14ac:dyDescent="0.35">
      <c r="A955">
        <v>10428918</v>
      </c>
      <c r="B955" t="s">
        <v>36</v>
      </c>
      <c r="C955" t="s">
        <v>37</v>
      </c>
      <c r="D955" s="6" t="s">
        <v>38</v>
      </c>
      <c r="E955" t="s">
        <v>2938</v>
      </c>
      <c r="F955" t="s">
        <v>40</v>
      </c>
      <c r="G955" t="s">
        <v>41</v>
      </c>
      <c r="H955" t="s">
        <v>2939</v>
      </c>
      <c r="I955" t="s">
        <v>43</v>
      </c>
      <c r="J955">
        <v>2</v>
      </c>
      <c r="K955" t="s">
        <v>44</v>
      </c>
      <c r="L955" t="s">
        <v>45</v>
      </c>
      <c r="M955" t="s">
        <v>46</v>
      </c>
      <c r="N955" s="7">
        <v>2</v>
      </c>
      <c r="O955" s="8">
        <v>45627.426539351851</v>
      </c>
      <c r="P955" s="9">
        <v>45630</v>
      </c>
      <c r="Q955" t="s">
        <v>74</v>
      </c>
      <c r="R955" t="s">
        <v>48</v>
      </c>
      <c r="S955" t="s">
        <v>49</v>
      </c>
      <c r="T955" t="s">
        <v>75</v>
      </c>
      <c r="U955" t="s">
        <v>2940</v>
      </c>
      <c r="V955">
        <v>26800</v>
      </c>
      <c r="W955" t="s">
        <v>48</v>
      </c>
      <c r="X955" t="s">
        <v>77</v>
      </c>
      <c r="Y955" t="s">
        <v>54</v>
      </c>
      <c r="Z955" s="12">
        <f>IF(N955&lt;=1,9,9+0.8*ROUNDUP(N955-1,0))</f>
        <v>9.8000000000000007</v>
      </c>
      <c r="AA955" s="11">
        <v>-2</v>
      </c>
      <c r="AB955" s="11">
        <v>0</v>
      </c>
      <c r="AC955" s="11">
        <v>0</v>
      </c>
      <c r="AD955" s="11">
        <v>0</v>
      </c>
      <c r="AE955" s="11">
        <v>0</v>
      </c>
      <c r="AF955" s="11">
        <f t="shared" si="42"/>
        <v>0.46800000000000003</v>
      </c>
      <c r="AG955" s="11">
        <f t="shared" si="43"/>
        <v>8.2680000000000007</v>
      </c>
      <c r="AH955" s="11">
        <v>0</v>
      </c>
      <c r="AI955" s="11">
        <f t="shared" si="44"/>
        <v>8.2680000000000007</v>
      </c>
      <c r="AJ955" t="s">
        <v>62</v>
      </c>
    </row>
    <row r="956" spans="1:36" ht="15" customHeight="1" x14ac:dyDescent="0.35">
      <c r="A956">
        <v>10428918</v>
      </c>
      <c r="B956" t="s">
        <v>36</v>
      </c>
      <c r="C956" t="s">
        <v>37</v>
      </c>
      <c r="D956" s="6" t="s">
        <v>38</v>
      </c>
      <c r="E956" t="s">
        <v>2941</v>
      </c>
      <c r="F956" t="s">
        <v>40</v>
      </c>
      <c r="G956" t="s">
        <v>41</v>
      </c>
      <c r="H956" t="s">
        <v>2942</v>
      </c>
      <c r="I956" t="s">
        <v>43</v>
      </c>
      <c r="J956">
        <v>2</v>
      </c>
      <c r="K956" t="s">
        <v>44</v>
      </c>
      <c r="L956" t="s">
        <v>45</v>
      </c>
      <c r="M956" t="s">
        <v>46</v>
      </c>
      <c r="N956" s="7">
        <v>1</v>
      </c>
      <c r="O956" s="8">
        <v>45627.426539351851</v>
      </c>
      <c r="P956" s="9">
        <v>45630</v>
      </c>
      <c r="Q956" t="s">
        <v>74</v>
      </c>
      <c r="R956" t="s">
        <v>48</v>
      </c>
      <c r="S956" t="s">
        <v>49</v>
      </c>
      <c r="T956" t="s">
        <v>90</v>
      </c>
      <c r="U956" t="s">
        <v>2943</v>
      </c>
      <c r="V956">
        <v>21200</v>
      </c>
      <c r="W956" t="s">
        <v>48</v>
      </c>
      <c r="X956" t="s">
        <v>92</v>
      </c>
      <c r="Y956" t="s">
        <v>54</v>
      </c>
      <c r="Z956" s="12">
        <f>IF(N956&lt;=1,9,9+0.8*ROUNDUP(N956-1,0))</f>
        <v>9</v>
      </c>
      <c r="AA956" s="11">
        <v>-2</v>
      </c>
      <c r="AB956" s="11">
        <v>0</v>
      </c>
      <c r="AC956" s="11">
        <v>0</v>
      </c>
      <c r="AD956" s="11">
        <v>0</v>
      </c>
      <c r="AE956" s="11">
        <v>0</v>
      </c>
      <c r="AF956" s="11">
        <f t="shared" si="42"/>
        <v>0.42</v>
      </c>
      <c r="AG956" s="11">
        <f t="shared" si="43"/>
        <v>7.42</v>
      </c>
      <c r="AH956" s="11">
        <v>0</v>
      </c>
      <c r="AI956" s="11">
        <f t="shared" si="44"/>
        <v>7.42</v>
      </c>
      <c r="AJ956" t="s">
        <v>62</v>
      </c>
    </row>
    <row r="957" spans="1:36" ht="15" customHeight="1" x14ac:dyDescent="0.35">
      <c r="A957">
        <v>10428918</v>
      </c>
      <c r="B957" t="s">
        <v>36</v>
      </c>
      <c r="C957" t="s">
        <v>37</v>
      </c>
      <c r="D957" s="6" t="s">
        <v>38</v>
      </c>
      <c r="E957" t="s">
        <v>2944</v>
      </c>
      <c r="F957" t="s">
        <v>40</v>
      </c>
      <c r="G957" t="s">
        <v>41</v>
      </c>
      <c r="H957" t="s">
        <v>2945</v>
      </c>
      <c r="I957" t="s">
        <v>43</v>
      </c>
      <c r="J957">
        <v>2</v>
      </c>
      <c r="K957" t="s">
        <v>44</v>
      </c>
      <c r="L957" t="s">
        <v>45</v>
      </c>
      <c r="M957" t="s">
        <v>46</v>
      </c>
      <c r="N957" s="7">
        <v>1</v>
      </c>
      <c r="O957" s="8">
        <v>45627.426539351851</v>
      </c>
      <c r="P957" s="9">
        <v>45630</v>
      </c>
      <c r="Q957" t="s">
        <v>74</v>
      </c>
      <c r="R957" t="s">
        <v>48</v>
      </c>
      <c r="S957" t="s">
        <v>49</v>
      </c>
      <c r="T957" t="s">
        <v>170</v>
      </c>
      <c r="U957" t="s">
        <v>2946</v>
      </c>
      <c r="V957">
        <v>53100</v>
      </c>
      <c r="W957" t="s">
        <v>48</v>
      </c>
      <c r="X957" t="s">
        <v>378</v>
      </c>
      <c r="Y957" t="s">
        <v>54</v>
      </c>
      <c r="Z957" s="12">
        <f>IF(N957&lt;=1,9,9+0.8*ROUNDUP(N957-1,0))</f>
        <v>9</v>
      </c>
      <c r="AA957" s="11">
        <v>-2</v>
      </c>
      <c r="AB957" s="11">
        <v>0</v>
      </c>
      <c r="AC957" s="11">
        <v>0</v>
      </c>
      <c r="AD957" s="11">
        <v>0</v>
      </c>
      <c r="AE957" s="11">
        <v>0</v>
      </c>
      <c r="AF957" s="11">
        <f t="shared" si="42"/>
        <v>0.42</v>
      </c>
      <c r="AG957" s="11">
        <f t="shared" si="43"/>
        <v>7.42</v>
      </c>
      <c r="AH957" s="11">
        <v>0</v>
      </c>
      <c r="AI957" s="11">
        <f t="shared" si="44"/>
        <v>7.42</v>
      </c>
      <c r="AJ957" t="s">
        <v>62</v>
      </c>
    </row>
    <row r="958" spans="1:36" ht="15" customHeight="1" x14ac:dyDescent="0.35">
      <c r="A958">
        <v>10428918</v>
      </c>
      <c r="B958" t="s">
        <v>36</v>
      </c>
      <c r="C958" t="s">
        <v>37</v>
      </c>
      <c r="D958" s="6" t="s">
        <v>38</v>
      </c>
      <c r="E958" t="s">
        <v>2947</v>
      </c>
      <c r="F958" t="s">
        <v>40</v>
      </c>
      <c r="G958" t="s">
        <v>41</v>
      </c>
      <c r="H958" t="s">
        <v>2948</v>
      </c>
      <c r="I958" t="s">
        <v>43</v>
      </c>
      <c r="J958">
        <v>2</v>
      </c>
      <c r="K958" t="s">
        <v>44</v>
      </c>
      <c r="L958" t="s">
        <v>45</v>
      </c>
      <c r="M958" t="s">
        <v>46</v>
      </c>
      <c r="N958" s="7">
        <v>1</v>
      </c>
      <c r="O958" s="8">
        <v>45627.445196759261</v>
      </c>
      <c r="P958" s="9">
        <v>45630</v>
      </c>
      <c r="Q958" t="s">
        <v>74</v>
      </c>
      <c r="R958" t="s">
        <v>48</v>
      </c>
      <c r="S958" t="s">
        <v>49</v>
      </c>
      <c r="T958" t="s">
        <v>117</v>
      </c>
      <c r="U958" t="s">
        <v>2949</v>
      </c>
      <c r="V958">
        <v>45500</v>
      </c>
      <c r="W958" t="s">
        <v>48</v>
      </c>
      <c r="X958" t="s">
        <v>258</v>
      </c>
      <c r="Y958" t="s">
        <v>54</v>
      </c>
      <c r="Z958" s="12">
        <f>IF(N958&lt;=1,9,9+0.8*ROUNDUP(N958-1,0))</f>
        <v>9</v>
      </c>
      <c r="AA958" s="11">
        <v>-2</v>
      </c>
      <c r="AB958" s="11">
        <v>0</v>
      </c>
      <c r="AC958" s="11">
        <v>0</v>
      </c>
      <c r="AD958" s="11">
        <v>0</v>
      </c>
      <c r="AE958" s="11">
        <v>0</v>
      </c>
      <c r="AF958" s="11">
        <f t="shared" si="42"/>
        <v>0.42</v>
      </c>
      <c r="AG958" s="11">
        <f t="shared" si="43"/>
        <v>7.42</v>
      </c>
      <c r="AH958" s="11">
        <v>0</v>
      </c>
      <c r="AI958" s="11">
        <f t="shared" si="44"/>
        <v>7.42</v>
      </c>
      <c r="AJ958" t="s">
        <v>62</v>
      </c>
    </row>
    <row r="959" spans="1:36" ht="15" customHeight="1" x14ac:dyDescent="0.35">
      <c r="A959">
        <v>10428918</v>
      </c>
      <c r="B959" t="s">
        <v>36</v>
      </c>
      <c r="C959" t="s">
        <v>37</v>
      </c>
      <c r="D959" s="6" t="s">
        <v>38</v>
      </c>
      <c r="E959" t="s">
        <v>2950</v>
      </c>
      <c r="F959" t="s">
        <v>40</v>
      </c>
      <c r="G959" t="s">
        <v>41</v>
      </c>
      <c r="H959" t="s">
        <v>2951</v>
      </c>
      <c r="I959" t="s">
        <v>43</v>
      </c>
      <c r="J959">
        <v>2</v>
      </c>
      <c r="K959" t="s">
        <v>44</v>
      </c>
      <c r="L959" t="s">
        <v>45</v>
      </c>
      <c r="M959" t="s">
        <v>46</v>
      </c>
      <c r="N959" s="7">
        <v>1</v>
      </c>
      <c r="O959" s="8">
        <v>45627.714375000003</v>
      </c>
      <c r="P959" s="9">
        <v>45630</v>
      </c>
      <c r="Q959" t="s">
        <v>74</v>
      </c>
      <c r="R959" t="s">
        <v>48</v>
      </c>
      <c r="S959" t="s">
        <v>49</v>
      </c>
      <c r="T959" t="s">
        <v>85</v>
      </c>
      <c r="U959" t="s">
        <v>2952</v>
      </c>
      <c r="V959">
        <v>71700</v>
      </c>
      <c r="W959" t="s">
        <v>48</v>
      </c>
      <c r="X959" t="s">
        <v>266</v>
      </c>
      <c r="Y959" t="s">
        <v>54</v>
      </c>
      <c r="Z959" s="12">
        <f>IF(N959&lt;=1,9,9+0.8*ROUNDUP(N959-1,0))</f>
        <v>9</v>
      </c>
      <c r="AA959" s="11">
        <v>-2</v>
      </c>
      <c r="AB959" s="11">
        <v>0</v>
      </c>
      <c r="AC959" s="11">
        <v>0</v>
      </c>
      <c r="AD959" s="11">
        <v>0</v>
      </c>
      <c r="AE959" s="11">
        <v>0</v>
      </c>
      <c r="AF959" s="11">
        <f t="shared" si="42"/>
        <v>0.42</v>
      </c>
      <c r="AG959" s="11">
        <f t="shared" si="43"/>
        <v>7.42</v>
      </c>
      <c r="AH959" s="11">
        <v>0</v>
      </c>
      <c r="AI959" s="11">
        <f t="shared" si="44"/>
        <v>7.42</v>
      </c>
      <c r="AJ959" t="s">
        <v>62</v>
      </c>
    </row>
    <row r="960" spans="1:36" ht="15" customHeight="1" x14ac:dyDescent="0.35">
      <c r="A960">
        <v>10428918</v>
      </c>
      <c r="B960" t="s">
        <v>36</v>
      </c>
      <c r="C960" t="s">
        <v>37</v>
      </c>
      <c r="D960" s="6" t="s">
        <v>38</v>
      </c>
      <c r="E960" t="s">
        <v>2953</v>
      </c>
      <c r="F960" t="s">
        <v>40</v>
      </c>
      <c r="G960" t="s">
        <v>41</v>
      </c>
      <c r="H960" t="s">
        <v>2954</v>
      </c>
      <c r="I960" t="s">
        <v>43</v>
      </c>
      <c r="J960">
        <v>2</v>
      </c>
      <c r="K960" t="s">
        <v>44</v>
      </c>
      <c r="L960" t="s">
        <v>45</v>
      </c>
      <c r="M960" t="s">
        <v>46</v>
      </c>
      <c r="N960" s="7">
        <v>1</v>
      </c>
      <c r="O960" s="8">
        <v>45623.768773148149</v>
      </c>
      <c r="P960" s="9">
        <v>45630</v>
      </c>
      <c r="Q960" t="s">
        <v>74</v>
      </c>
      <c r="R960" t="s">
        <v>48</v>
      </c>
      <c r="S960" t="s">
        <v>49</v>
      </c>
      <c r="T960" t="s">
        <v>117</v>
      </c>
      <c r="U960" t="s">
        <v>2955</v>
      </c>
      <c r="V960">
        <v>42500</v>
      </c>
      <c r="W960" t="s">
        <v>48</v>
      </c>
      <c r="X960" t="s">
        <v>53</v>
      </c>
      <c r="Y960" t="s">
        <v>54</v>
      </c>
      <c r="Z960" s="12">
        <f>IF(N960&lt;=1,9,9+0.8*ROUNDUP(N960-1,0))</f>
        <v>9</v>
      </c>
      <c r="AA960" s="11">
        <v>-2</v>
      </c>
      <c r="AB960" s="11">
        <v>0</v>
      </c>
      <c r="AC960" s="11">
        <v>0</v>
      </c>
      <c r="AD960" s="11">
        <v>0</v>
      </c>
      <c r="AE960" s="11">
        <v>0</v>
      </c>
      <c r="AF960" s="11">
        <f t="shared" si="42"/>
        <v>0.42</v>
      </c>
      <c r="AG960" s="11">
        <f t="shared" si="43"/>
        <v>7.42</v>
      </c>
      <c r="AH960" s="11">
        <v>0</v>
      </c>
      <c r="AI960" s="11">
        <f t="shared" si="44"/>
        <v>7.42</v>
      </c>
      <c r="AJ960" t="s">
        <v>62</v>
      </c>
    </row>
    <row r="961" spans="1:36" ht="15" customHeight="1" x14ac:dyDescent="0.35">
      <c r="A961">
        <v>10428918</v>
      </c>
      <c r="B961" t="s">
        <v>36</v>
      </c>
      <c r="C961" t="s">
        <v>37</v>
      </c>
      <c r="D961" s="6" t="s">
        <v>38</v>
      </c>
      <c r="E961" t="s">
        <v>2956</v>
      </c>
      <c r="F961" t="s">
        <v>40</v>
      </c>
      <c r="G961" t="s">
        <v>41</v>
      </c>
      <c r="H961" t="s">
        <v>2957</v>
      </c>
      <c r="I961" t="s">
        <v>43</v>
      </c>
      <c r="J961">
        <v>2</v>
      </c>
      <c r="K961" t="s">
        <v>44</v>
      </c>
      <c r="L961" t="s">
        <v>45</v>
      </c>
      <c r="M961" t="s">
        <v>46</v>
      </c>
      <c r="N961" s="7">
        <v>1</v>
      </c>
      <c r="O961" s="8">
        <v>45629.710370370369</v>
      </c>
      <c r="P961" s="9">
        <v>45630</v>
      </c>
      <c r="Q961" t="s">
        <v>74</v>
      </c>
      <c r="R961" t="s">
        <v>48</v>
      </c>
      <c r="S961" t="s">
        <v>49</v>
      </c>
      <c r="T961" t="s">
        <v>59</v>
      </c>
      <c r="U961" t="s">
        <v>2958</v>
      </c>
      <c r="V961">
        <v>18300</v>
      </c>
      <c r="W961" t="s">
        <v>48</v>
      </c>
      <c r="X961" t="s">
        <v>61</v>
      </c>
      <c r="Y961" t="s">
        <v>54</v>
      </c>
      <c r="Z961" s="12">
        <f>IF(N961&lt;=1,9,9+0.8*ROUNDUP(N961-1,0))</f>
        <v>9</v>
      </c>
      <c r="AA961" s="11">
        <v>-2</v>
      </c>
      <c r="AB961" s="11">
        <v>0</v>
      </c>
      <c r="AC961" s="11">
        <v>0</v>
      </c>
      <c r="AD961" s="11">
        <v>0</v>
      </c>
      <c r="AE961" s="11">
        <v>0</v>
      </c>
      <c r="AF961" s="11">
        <f t="shared" si="42"/>
        <v>0.42</v>
      </c>
      <c r="AG961" s="11">
        <f t="shared" si="43"/>
        <v>7.42</v>
      </c>
      <c r="AH961" s="11">
        <v>0</v>
      </c>
      <c r="AI961" s="11">
        <f t="shared" si="44"/>
        <v>7.42</v>
      </c>
      <c r="AJ961" t="s">
        <v>62</v>
      </c>
    </row>
    <row r="962" spans="1:36" ht="15" customHeight="1" x14ac:dyDescent="0.35">
      <c r="A962">
        <v>10428918</v>
      </c>
      <c r="B962" t="s">
        <v>36</v>
      </c>
      <c r="C962" t="s">
        <v>37</v>
      </c>
      <c r="D962" s="6" t="s">
        <v>38</v>
      </c>
      <c r="E962" t="s">
        <v>2959</v>
      </c>
      <c r="F962" t="s">
        <v>40</v>
      </c>
      <c r="G962" t="s">
        <v>41</v>
      </c>
      <c r="H962" t="s">
        <v>2960</v>
      </c>
      <c r="I962" t="s">
        <v>43</v>
      </c>
      <c r="J962">
        <v>2</v>
      </c>
      <c r="K962" t="s">
        <v>44</v>
      </c>
      <c r="L962" t="s">
        <v>45</v>
      </c>
      <c r="M962" t="s">
        <v>46</v>
      </c>
      <c r="N962" s="7">
        <v>1</v>
      </c>
      <c r="O962" s="8">
        <v>45629.710381944446</v>
      </c>
      <c r="P962" s="9">
        <v>45630</v>
      </c>
      <c r="Q962" t="s">
        <v>74</v>
      </c>
      <c r="R962" t="s">
        <v>48</v>
      </c>
      <c r="S962" t="s">
        <v>49</v>
      </c>
      <c r="T962" t="s">
        <v>59</v>
      </c>
      <c r="U962" t="s">
        <v>2961</v>
      </c>
      <c r="V962">
        <v>15000</v>
      </c>
      <c r="W962" t="s">
        <v>48</v>
      </c>
      <c r="X962" t="s">
        <v>61</v>
      </c>
      <c r="Y962" t="s">
        <v>54</v>
      </c>
      <c r="Z962" s="12">
        <f>IF(N962&lt;=1,9,9+0.8*ROUNDUP(N962-1,0))</f>
        <v>9</v>
      </c>
      <c r="AA962" s="11">
        <v>-2</v>
      </c>
      <c r="AB962" s="11">
        <v>0</v>
      </c>
      <c r="AC962" s="11">
        <v>0</v>
      </c>
      <c r="AD962" s="11">
        <v>0</v>
      </c>
      <c r="AE962" s="11">
        <v>0</v>
      </c>
      <c r="AF962" s="11">
        <f t="shared" ref="AF962:AF1025" si="45">(Z962+AA962+AC962+AE962)*6%</f>
        <v>0.42</v>
      </c>
      <c r="AG962" s="11">
        <f t="shared" ref="AG962:AG1025" si="46">Z962+AA962+AC962+AE962+AF962</f>
        <v>7.42</v>
      </c>
      <c r="AH962" s="11">
        <v>0</v>
      </c>
      <c r="AI962" s="11">
        <f t="shared" ref="AI962:AI1025" si="47">AG962+AH962</f>
        <v>7.42</v>
      </c>
      <c r="AJ962" t="s">
        <v>62</v>
      </c>
    </row>
    <row r="963" spans="1:36" ht="15" customHeight="1" x14ac:dyDescent="0.35">
      <c r="A963">
        <v>10428918</v>
      </c>
      <c r="B963" t="s">
        <v>36</v>
      </c>
      <c r="C963" t="s">
        <v>37</v>
      </c>
      <c r="D963" s="6" t="s">
        <v>38</v>
      </c>
      <c r="E963" t="s">
        <v>2962</v>
      </c>
      <c r="F963" t="s">
        <v>40</v>
      </c>
      <c r="G963" t="s">
        <v>41</v>
      </c>
      <c r="H963" t="s">
        <v>2963</v>
      </c>
      <c r="I963" t="s">
        <v>43</v>
      </c>
      <c r="J963">
        <v>2</v>
      </c>
      <c r="K963" t="s">
        <v>44</v>
      </c>
      <c r="L963" t="s">
        <v>45</v>
      </c>
      <c r="M963" t="s">
        <v>46</v>
      </c>
      <c r="N963" s="7">
        <v>2</v>
      </c>
      <c r="O963" s="8">
        <v>45629.705092592594</v>
      </c>
      <c r="P963" s="9">
        <v>45630</v>
      </c>
      <c r="Q963" t="s">
        <v>74</v>
      </c>
      <c r="R963" t="s">
        <v>48</v>
      </c>
      <c r="S963" t="s">
        <v>49</v>
      </c>
      <c r="T963" t="s">
        <v>90</v>
      </c>
      <c r="U963" t="s">
        <v>2964</v>
      </c>
      <c r="V963">
        <v>24300</v>
      </c>
      <c r="W963" t="s">
        <v>48</v>
      </c>
      <c r="X963" t="s">
        <v>92</v>
      </c>
      <c r="Y963" t="s">
        <v>54</v>
      </c>
      <c r="Z963" s="12">
        <f>IF(N963&lt;=1,9,9+0.8*ROUNDUP(N963-1,0))</f>
        <v>9.8000000000000007</v>
      </c>
      <c r="AA963" s="11">
        <v>-2</v>
      </c>
      <c r="AB963" s="11">
        <v>0</v>
      </c>
      <c r="AC963" s="11">
        <v>0</v>
      </c>
      <c r="AD963" s="11">
        <v>0</v>
      </c>
      <c r="AE963" s="11">
        <v>0</v>
      </c>
      <c r="AF963" s="11">
        <f t="shared" si="45"/>
        <v>0.46800000000000003</v>
      </c>
      <c r="AG963" s="11">
        <f t="shared" si="46"/>
        <v>8.2680000000000007</v>
      </c>
      <c r="AH963" s="11">
        <v>0</v>
      </c>
      <c r="AI963" s="11">
        <f t="shared" si="47"/>
        <v>8.2680000000000007</v>
      </c>
      <c r="AJ963" t="s">
        <v>62</v>
      </c>
    </row>
    <row r="964" spans="1:36" ht="15" customHeight="1" x14ac:dyDescent="0.35">
      <c r="A964">
        <v>10428918</v>
      </c>
      <c r="B964" t="s">
        <v>36</v>
      </c>
      <c r="C964" t="s">
        <v>37</v>
      </c>
      <c r="D964" s="6" t="s">
        <v>38</v>
      </c>
      <c r="E964" t="s">
        <v>2965</v>
      </c>
      <c r="F964" t="s">
        <v>40</v>
      </c>
      <c r="G964" t="s">
        <v>41</v>
      </c>
      <c r="H964" t="s">
        <v>2966</v>
      </c>
      <c r="I964" t="s">
        <v>43</v>
      </c>
      <c r="J964">
        <v>2</v>
      </c>
      <c r="K964" t="s">
        <v>44</v>
      </c>
      <c r="L964" t="s">
        <v>45</v>
      </c>
      <c r="M964" t="s">
        <v>46</v>
      </c>
      <c r="N964" s="7">
        <v>3</v>
      </c>
      <c r="O964" s="8">
        <v>45622.836770833332</v>
      </c>
      <c r="P964" s="9">
        <v>45630</v>
      </c>
      <c r="Q964" t="s">
        <v>74</v>
      </c>
      <c r="R964" t="s">
        <v>48</v>
      </c>
      <c r="S964" t="s">
        <v>49</v>
      </c>
      <c r="T964" t="s">
        <v>50</v>
      </c>
      <c r="U964" t="s">
        <v>2967</v>
      </c>
      <c r="V964">
        <v>88000</v>
      </c>
      <c r="W964" t="s">
        <v>52</v>
      </c>
      <c r="X964" t="s">
        <v>53</v>
      </c>
      <c r="Y964" t="s">
        <v>54</v>
      </c>
      <c r="Z964" s="10">
        <f>IF(N964&lt;=1,13,IF(N964&lt;=2,23,IF(N964&lt;=3,35,IF(N964&lt;=4,43,IF(N964&lt;=5,53,IF(N964&lt;=6,63,IF(N964&lt;=7,71,IF(N964&lt;=8,79,IF(N964&lt;=9,87,IF(N964&lt;=10,95,IF(N964&lt;=11,105,IF(N964&lt;=12,114,IF(N964&lt;=13,119,IF(N964&lt;=14,127,IF(N964&lt;=15,135,IF(N964&lt;=16,143,IF(N964&lt;=17,153,IF(N964&lt;=18,163,IF(N964&lt;=19,171,IF(N964&lt;=20,185,IF(N964&lt;=21,193,IF(N964&lt;=22,201,IF(N964&lt;=23,210,IF(N964&lt;=24,220,IF(N964&lt;=25,230,IF(N964&lt;=26,240,IF(N964&lt;=27,250,IF(N964&lt;=28,260,IF(N964&lt;=29,270,IF(N964&lt;=30,280,280+10*ROUNDUP(N964-30,0)))))))))))))))))))))))))))))))</f>
        <v>35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f t="shared" si="45"/>
        <v>2.1</v>
      </c>
      <c r="AG964" s="11">
        <f t="shared" si="46"/>
        <v>37.1</v>
      </c>
      <c r="AH964" s="11">
        <v>0</v>
      </c>
      <c r="AI964" s="11">
        <f t="shared" si="47"/>
        <v>37.1</v>
      </c>
      <c r="AJ964" t="s">
        <v>55</v>
      </c>
    </row>
    <row r="965" spans="1:36" ht="15" customHeight="1" x14ac:dyDescent="0.35">
      <c r="A965">
        <v>10428918</v>
      </c>
      <c r="B965" t="s">
        <v>36</v>
      </c>
      <c r="C965" t="s">
        <v>37</v>
      </c>
      <c r="D965" s="6" t="s">
        <v>38</v>
      </c>
      <c r="E965" t="s">
        <v>2968</v>
      </c>
      <c r="F965" t="s">
        <v>40</v>
      </c>
      <c r="G965" t="s">
        <v>41</v>
      </c>
      <c r="H965" t="s">
        <v>2969</v>
      </c>
      <c r="I965" t="s">
        <v>43</v>
      </c>
      <c r="J965">
        <v>2</v>
      </c>
      <c r="K965" t="s">
        <v>44</v>
      </c>
      <c r="L965" t="s">
        <v>45</v>
      </c>
      <c r="M965" t="s">
        <v>46</v>
      </c>
      <c r="N965" s="7">
        <v>2</v>
      </c>
      <c r="O965" s="8">
        <v>45626.57545138889</v>
      </c>
      <c r="P965" s="9">
        <v>45630</v>
      </c>
      <c r="Q965" t="s">
        <v>74</v>
      </c>
      <c r="R965" t="s">
        <v>48</v>
      </c>
      <c r="S965" t="s">
        <v>49</v>
      </c>
      <c r="T965" t="s">
        <v>80</v>
      </c>
      <c r="U965" t="s">
        <v>2970</v>
      </c>
      <c r="V965">
        <v>7000</v>
      </c>
      <c r="W965" t="s">
        <v>48</v>
      </c>
      <c r="X965" t="s">
        <v>53</v>
      </c>
      <c r="Y965" t="s">
        <v>54</v>
      </c>
      <c r="Z965" s="12">
        <f>IF(N965&lt;=1,9,9+0.8*ROUNDUP(N965-1,0))</f>
        <v>9.8000000000000007</v>
      </c>
      <c r="AA965" s="11">
        <v>-2</v>
      </c>
      <c r="AB965" s="11">
        <v>0</v>
      </c>
      <c r="AC965" s="11">
        <v>0</v>
      </c>
      <c r="AD965" s="11">
        <v>0</v>
      </c>
      <c r="AE965" s="11">
        <v>0</v>
      </c>
      <c r="AF965" s="11">
        <f t="shared" si="45"/>
        <v>0.46800000000000003</v>
      </c>
      <c r="AG965" s="11">
        <f t="shared" si="46"/>
        <v>8.2680000000000007</v>
      </c>
      <c r="AH965" s="11">
        <v>0</v>
      </c>
      <c r="AI965" s="11">
        <f t="shared" si="47"/>
        <v>8.2680000000000007</v>
      </c>
      <c r="AJ965" t="s">
        <v>62</v>
      </c>
    </row>
    <row r="966" spans="1:36" ht="15" customHeight="1" x14ac:dyDescent="0.35">
      <c r="A966">
        <v>10428918</v>
      </c>
      <c r="B966" t="s">
        <v>36</v>
      </c>
      <c r="C966" t="s">
        <v>37</v>
      </c>
      <c r="D966" s="6" t="s">
        <v>38</v>
      </c>
      <c r="E966" t="s">
        <v>2971</v>
      </c>
      <c r="F966" t="s">
        <v>40</v>
      </c>
      <c r="G966" t="s">
        <v>41</v>
      </c>
      <c r="H966" t="s">
        <v>2085</v>
      </c>
      <c r="I966" t="s">
        <v>43</v>
      </c>
      <c r="J966">
        <v>2</v>
      </c>
      <c r="K966" t="s">
        <v>44</v>
      </c>
      <c r="L966" t="s">
        <v>45</v>
      </c>
      <c r="M966" t="s">
        <v>46</v>
      </c>
      <c r="N966" s="7">
        <v>1</v>
      </c>
      <c r="O966" s="8">
        <v>45628.796712962961</v>
      </c>
      <c r="P966" s="9">
        <v>45630</v>
      </c>
      <c r="Q966" t="s">
        <v>74</v>
      </c>
      <c r="R966" t="s">
        <v>48</v>
      </c>
      <c r="S966" t="s">
        <v>49</v>
      </c>
      <c r="T966" t="s">
        <v>170</v>
      </c>
      <c r="U966" t="s">
        <v>2972</v>
      </c>
      <c r="V966">
        <v>53300</v>
      </c>
      <c r="W966" t="s">
        <v>48</v>
      </c>
      <c r="X966" t="s">
        <v>564</v>
      </c>
      <c r="Y966" t="s">
        <v>54</v>
      </c>
      <c r="Z966" s="12">
        <f>IF(N966&lt;=1,9,9+0.8*ROUNDUP(N966-1,0))</f>
        <v>9</v>
      </c>
      <c r="AA966" s="11">
        <v>-2</v>
      </c>
      <c r="AB966" s="11">
        <v>0</v>
      </c>
      <c r="AC966" s="11">
        <v>0</v>
      </c>
      <c r="AD966" s="11">
        <v>0</v>
      </c>
      <c r="AE966" s="11">
        <v>0</v>
      </c>
      <c r="AF966" s="11">
        <f t="shared" si="45"/>
        <v>0.42</v>
      </c>
      <c r="AG966" s="11">
        <f t="shared" si="46"/>
        <v>7.42</v>
      </c>
      <c r="AH966" s="11">
        <v>0</v>
      </c>
      <c r="AI966" s="11">
        <f t="shared" si="47"/>
        <v>7.42</v>
      </c>
      <c r="AJ966" t="s">
        <v>62</v>
      </c>
    </row>
    <row r="967" spans="1:36" ht="15" customHeight="1" x14ac:dyDescent="0.35">
      <c r="A967">
        <v>10428918</v>
      </c>
      <c r="B967" t="s">
        <v>36</v>
      </c>
      <c r="C967" t="s">
        <v>37</v>
      </c>
      <c r="D967" s="6" t="s">
        <v>38</v>
      </c>
      <c r="E967" t="s">
        <v>2973</v>
      </c>
      <c r="F967" t="s">
        <v>40</v>
      </c>
      <c r="G967" t="s">
        <v>41</v>
      </c>
      <c r="H967" t="s">
        <v>2974</v>
      </c>
      <c r="I967" t="s">
        <v>43</v>
      </c>
      <c r="J967">
        <v>2</v>
      </c>
      <c r="K967" t="s">
        <v>44</v>
      </c>
      <c r="L967" t="s">
        <v>45</v>
      </c>
      <c r="M967" t="s">
        <v>46</v>
      </c>
      <c r="N967" s="7">
        <v>1</v>
      </c>
      <c r="O967" s="8">
        <v>45624.800752314812</v>
      </c>
      <c r="P967" s="9">
        <v>45630</v>
      </c>
      <c r="Q967" t="s">
        <v>74</v>
      </c>
      <c r="R967" t="s">
        <v>48</v>
      </c>
      <c r="S967" t="s">
        <v>49</v>
      </c>
      <c r="T967" t="s">
        <v>278</v>
      </c>
      <c r="U967" t="s">
        <v>2975</v>
      </c>
      <c r="V967">
        <v>98000</v>
      </c>
      <c r="W967" t="s">
        <v>52</v>
      </c>
      <c r="X967" t="s">
        <v>53</v>
      </c>
      <c r="Y967" t="s">
        <v>54</v>
      </c>
      <c r="Z967" s="10">
        <f>IF(N967&lt;=1,13,IF(N967&lt;=2,23,IF(N967&lt;=3,35,IF(N967&lt;=4,43,IF(N967&lt;=5,53,IF(N967&lt;=6,63,IF(N967&lt;=7,71,IF(N967&lt;=8,79,IF(N967&lt;=9,87,IF(N967&lt;=10,95,IF(N967&lt;=11,105,IF(N967&lt;=12,114,IF(N967&lt;=13,119,IF(N967&lt;=14,127,IF(N967&lt;=15,135,IF(N967&lt;=16,143,IF(N967&lt;=17,153,IF(N967&lt;=18,163,IF(N967&lt;=19,171,IF(N967&lt;=20,185,IF(N967&lt;=21,193,IF(N967&lt;=22,201,IF(N967&lt;=23,210,IF(N967&lt;=24,220,IF(N967&lt;=25,230,IF(N967&lt;=26,240,IF(N967&lt;=27,250,IF(N967&lt;=28,260,IF(N967&lt;=29,270,IF(N967&lt;=30,280,280+10*ROUNDUP(N967-30,0)))))))))))))))))))))))))))))))</f>
        <v>13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f t="shared" si="45"/>
        <v>0.78</v>
      </c>
      <c r="AG967" s="11">
        <f t="shared" si="46"/>
        <v>13.78</v>
      </c>
      <c r="AH967" s="11">
        <v>0</v>
      </c>
      <c r="AI967" s="11">
        <f t="shared" si="47"/>
        <v>13.78</v>
      </c>
      <c r="AJ967" t="s">
        <v>55</v>
      </c>
    </row>
    <row r="968" spans="1:36" ht="15" customHeight="1" x14ac:dyDescent="0.35">
      <c r="A968">
        <v>10428918</v>
      </c>
      <c r="B968" t="s">
        <v>36</v>
      </c>
      <c r="C968" t="s">
        <v>37</v>
      </c>
      <c r="D968" s="6" t="s">
        <v>38</v>
      </c>
      <c r="E968" t="s">
        <v>2976</v>
      </c>
      <c r="F968" t="s">
        <v>40</v>
      </c>
      <c r="G968" t="s">
        <v>41</v>
      </c>
      <c r="H968" t="s">
        <v>2977</v>
      </c>
      <c r="I968" t="s">
        <v>43</v>
      </c>
      <c r="J968">
        <v>2</v>
      </c>
      <c r="K968" t="s">
        <v>44</v>
      </c>
      <c r="L968" t="s">
        <v>45</v>
      </c>
      <c r="M968" t="s">
        <v>46</v>
      </c>
      <c r="N968" s="7">
        <v>1</v>
      </c>
      <c r="O968" s="8">
        <v>45629.733611111114</v>
      </c>
      <c r="P968" s="9">
        <v>45630</v>
      </c>
      <c r="Q968" t="s">
        <v>74</v>
      </c>
      <c r="R968" t="s">
        <v>48</v>
      </c>
      <c r="S968" t="s">
        <v>49</v>
      </c>
      <c r="T968" t="s">
        <v>59</v>
      </c>
      <c r="U968" t="s">
        <v>2978</v>
      </c>
      <c r="V968">
        <v>18500</v>
      </c>
      <c r="W968" t="s">
        <v>48</v>
      </c>
      <c r="X968" t="s">
        <v>61</v>
      </c>
      <c r="Y968" t="s">
        <v>54</v>
      </c>
      <c r="Z968" s="12">
        <f>IF(N968&lt;=1,9,9+0.8*ROUNDUP(N968-1,0))</f>
        <v>9</v>
      </c>
      <c r="AA968" s="11">
        <v>-2</v>
      </c>
      <c r="AB968" s="11">
        <v>0</v>
      </c>
      <c r="AC968" s="11">
        <v>0</v>
      </c>
      <c r="AD968" s="11">
        <v>0</v>
      </c>
      <c r="AE968" s="11">
        <v>0</v>
      </c>
      <c r="AF968" s="11">
        <f t="shared" si="45"/>
        <v>0.42</v>
      </c>
      <c r="AG968" s="11">
        <f t="shared" si="46"/>
        <v>7.42</v>
      </c>
      <c r="AH968" s="11">
        <v>0</v>
      </c>
      <c r="AI968" s="11">
        <f t="shared" si="47"/>
        <v>7.42</v>
      </c>
      <c r="AJ968" t="s">
        <v>62</v>
      </c>
    </row>
    <row r="969" spans="1:36" ht="15" customHeight="1" x14ac:dyDescent="0.35">
      <c r="A969">
        <v>10428918</v>
      </c>
      <c r="B969" t="s">
        <v>36</v>
      </c>
      <c r="C969" t="s">
        <v>37</v>
      </c>
      <c r="D969" s="6" t="s">
        <v>38</v>
      </c>
      <c r="E969" t="s">
        <v>2979</v>
      </c>
      <c r="F969" t="s">
        <v>40</v>
      </c>
      <c r="G969" t="s">
        <v>41</v>
      </c>
      <c r="H969" t="s">
        <v>2980</v>
      </c>
      <c r="I969" t="s">
        <v>43</v>
      </c>
      <c r="J969">
        <v>2</v>
      </c>
      <c r="K969" t="s">
        <v>44</v>
      </c>
      <c r="L969" t="s">
        <v>45</v>
      </c>
      <c r="M969" t="s">
        <v>46</v>
      </c>
      <c r="N969" s="7">
        <v>1</v>
      </c>
      <c r="O969" s="8">
        <v>45628.528252314813</v>
      </c>
      <c r="P969" s="9">
        <v>45630</v>
      </c>
      <c r="Q969" t="s">
        <v>74</v>
      </c>
      <c r="R969" t="s">
        <v>48</v>
      </c>
      <c r="S969" t="s">
        <v>49</v>
      </c>
      <c r="T969" t="s">
        <v>80</v>
      </c>
      <c r="U969" t="s">
        <v>2981</v>
      </c>
      <c r="V969">
        <v>9400</v>
      </c>
      <c r="W969" t="s">
        <v>48</v>
      </c>
      <c r="X969" t="s">
        <v>690</v>
      </c>
      <c r="Y969" t="s">
        <v>54</v>
      </c>
      <c r="Z969" s="12">
        <f>IF(N969&lt;=1,9,9+0.8*ROUNDUP(N969-1,0))</f>
        <v>9</v>
      </c>
      <c r="AA969" s="11">
        <v>-2</v>
      </c>
      <c r="AB969" s="11">
        <v>0</v>
      </c>
      <c r="AC969" s="11">
        <v>0</v>
      </c>
      <c r="AD969" s="11">
        <v>0</v>
      </c>
      <c r="AE969" s="11">
        <v>0</v>
      </c>
      <c r="AF969" s="11">
        <f t="shared" si="45"/>
        <v>0.42</v>
      </c>
      <c r="AG969" s="11">
        <f t="shared" si="46"/>
        <v>7.42</v>
      </c>
      <c r="AH969" s="11">
        <v>0</v>
      </c>
      <c r="AI969" s="11">
        <f t="shared" si="47"/>
        <v>7.42</v>
      </c>
      <c r="AJ969" t="s">
        <v>62</v>
      </c>
    </row>
    <row r="970" spans="1:36" ht="15" customHeight="1" x14ac:dyDescent="0.35">
      <c r="A970">
        <v>10428918</v>
      </c>
      <c r="B970" t="s">
        <v>36</v>
      </c>
      <c r="C970" t="s">
        <v>37</v>
      </c>
      <c r="D970" s="6" t="s">
        <v>38</v>
      </c>
      <c r="E970" t="s">
        <v>2982</v>
      </c>
      <c r="F970" t="s">
        <v>40</v>
      </c>
      <c r="G970" t="s">
        <v>41</v>
      </c>
      <c r="H970" t="s">
        <v>2983</v>
      </c>
      <c r="I970" t="s">
        <v>43</v>
      </c>
      <c r="J970">
        <v>2</v>
      </c>
      <c r="K970" t="s">
        <v>44</v>
      </c>
      <c r="L970" t="s">
        <v>45</v>
      </c>
      <c r="M970" t="s">
        <v>46</v>
      </c>
      <c r="N970" s="7">
        <v>1</v>
      </c>
      <c r="O970" s="8">
        <v>45628.526435185187</v>
      </c>
      <c r="P970" s="9">
        <v>45630</v>
      </c>
      <c r="Q970" t="s">
        <v>74</v>
      </c>
      <c r="R970" t="s">
        <v>48</v>
      </c>
      <c r="S970" t="s">
        <v>49</v>
      </c>
      <c r="T970" t="s">
        <v>80</v>
      </c>
      <c r="U970" t="s">
        <v>2984</v>
      </c>
      <c r="V970">
        <v>8300</v>
      </c>
      <c r="W970" t="s">
        <v>48</v>
      </c>
      <c r="X970" t="s">
        <v>141</v>
      </c>
      <c r="Y970" t="s">
        <v>54</v>
      </c>
      <c r="Z970" s="12">
        <f>IF(N970&lt;=1,9,9+0.8*ROUNDUP(N970-1,0))</f>
        <v>9</v>
      </c>
      <c r="AA970" s="11">
        <v>-2</v>
      </c>
      <c r="AB970" s="11">
        <v>0</v>
      </c>
      <c r="AC970" s="11">
        <v>0</v>
      </c>
      <c r="AD970" s="11">
        <v>0</v>
      </c>
      <c r="AE970" s="11">
        <v>0</v>
      </c>
      <c r="AF970" s="11">
        <f t="shared" si="45"/>
        <v>0.42</v>
      </c>
      <c r="AG970" s="11">
        <f t="shared" si="46"/>
        <v>7.42</v>
      </c>
      <c r="AH970" s="11">
        <v>0</v>
      </c>
      <c r="AI970" s="11">
        <f t="shared" si="47"/>
        <v>7.42</v>
      </c>
      <c r="AJ970" t="s">
        <v>62</v>
      </c>
    </row>
    <row r="971" spans="1:36" ht="15" customHeight="1" x14ac:dyDescent="0.35">
      <c r="A971">
        <v>10428918</v>
      </c>
      <c r="B971" t="s">
        <v>36</v>
      </c>
      <c r="C971" t="s">
        <v>37</v>
      </c>
      <c r="D971" s="6" t="s">
        <v>38</v>
      </c>
      <c r="E971" t="s">
        <v>2985</v>
      </c>
      <c r="F971" t="s">
        <v>40</v>
      </c>
      <c r="G971" t="s">
        <v>41</v>
      </c>
      <c r="H971" t="s">
        <v>2986</v>
      </c>
      <c r="I971" t="s">
        <v>43</v>
      </c>
      <c r="J971">
        <v>2</v>
      </c>
      <c r="K971" t="s">
        <v>44</v>
      </c>
      <c r="L971" t="s">
        <v>45</v>
      </c>
      <c r="M971" t="s">
        <v>46</v>
      </c>
      <c r="N971" s="7">
        <v>1</v>
      </c>
      <c r="O971" s="8">
        <v>45628.739085648151</v>
      </c>
      <c r="P971" s="9">
        <v>45630</v>
      </c>
      <c r="Q971" t="s">
        <v>74</v>
      </c>
      <c r="R971" t="s">
        <v>48</v>
      </c>
      <c r="S971" t="s">
        <v>49</v>
      </c>
      <c r="T971" t="s">
        <v>85</v>
      </c>
      <c r="U971" t="s">
        <v>2987</v>
      </c>
      <c r="V971">
        <v>71800</v>
      </c>
      <c r="W971" t="s">
        <v>48</v>
      </c>
      <c r="X971" t="s">
        <v>266</v>
      </c>
      <c r="Y971" t="s">
        <v>54</v>
      </c>
      <c r="Z971" s="12">
        <f>IF(N971&lt;=1,9,9+0.8*ROUNDUP(N971-1,0))</f>
        <v>9</v>
      </c>
      <c r="AA971" s="11">
        <v>-2</v>
      </c>
      <c r="AB971" s="11">
        <v>0</v>
      </c>
      <c r="AC971" s="11">
        <v>0</v>
      </c>
      <c r="AD971" s="11">
        <v>0</v>
      </c>
      <c r="AE971" s="11">
        <v>0</v>
      </c>
      <c r="AF971" s="11">
        <f t="shared" si="45"/>
        <v>0.42</v>
      </c>
      <c r="AG971" s="11">
        <f t="shared" si="46"/>
        <v>7.42</v>
      </c>
      <c r="AH971" s="11">
        <v>0</v>
      </c>
      <c r="AI971" s="11">
        <f t="shared" si="47"/>
        <v>7.42</v>
      </c>
      <c r="AJ971" t="s">
        <v>62</v>
      </c>
    </row>
    <row r="972" spans="1:36" ht="15" customHeight="1" x14ac:dyDescent="0.35">
      <c r="A972">
        <v>10428918</v>
      </c>
      <c r="B972" t="s">
        <v>36</v>
      </c>
      <c r="C972" t="s">
        <v>37</v>
      </c>
      <c r="D972" s="6" t="s">
        <v>38</v>
      </c>
      <c r="E972" t="s">
        <v>2988</v>
      </c>
      <c r="F972" t="s">
        <v>40</v>
      </c>
      <c r="G972" t="s">
        <v>41</v>
      </c>
      <c r="H972" t="s">
        <v>2989</v>
      </c>
      <c r="I972" t="s">
        <v>43</v>
      </c>
      <c r="J972">
        <v>2</v>
      </c>
      <c r="K972" t="s">
        <v>44</v>
      </c>
      <c r="L972" t="s">
        <v>45</v>
      </c>
      <c r="M972" t="s">
        <v>46</v>
      </c>
      <c r="N972" s="7">
        <v>1</v>
      </c>
      <c r="O972" s="8">
        <v>45629.710358796299</v>
      </c>
      <c r="P972" s="9">
        <v>45630</v>
      </c>
      <c r="Q972" t="s">
        <v>74</v>
      </c>
      <c r="R972" t="s">
        <v>48</v>
      </c>
      <c r="S972" t="s">
        <v>49</v>
      </c>
      <c r="T972" t="s">
        <v>90</v>
      </c>
      <c r="U972" t="s">
        <v>2990</v>
      </c>
      <c r="V972">
        <v>24000</v>
      </c>
      <c r="W972" t="s">
        <v>48</v>
      </c>
      <c r="X972" t="s">
        <v>77</v>
      </c>
      <c r="Y972" t="s">
        <v>54</v>
      </c>
      <c r="Z972" s="12">
        <f>IF(N972&lt;=1,9,9+0.8*ROUNDUP(N972-1,0))</f>
        <v>9</v>
      </c>
      <c r="AA972" s="11">
        <v>-2</v>
      </c>
      <c r="AB972" s="11">
        <v>0</v>
      </c>
      <c r="AC972" s="11">
        <v>0</v>
      </c>
      <c r="AD972" s="11">
        <v>0</v>
      </c>
      <c r="AE972" s="11">
        <v>0</v>
      </c>
      <c r="AF972" s="11">
        <f t="shared" si="45"/>
        <v>0.42</v>
      </c>
      <c r="AG972" s="11">
        <f t="shared" si="46"/>
        <v>7.42</v>
      </c>
      <c r="AH972" s="11">
        <v>0</v>
      </c>
      <c r="AI972" s="11">
        <f t="shared" si="47"/>
        <v>7.42</v>
      </c>
      <c r="AJ972" t="s">
        <v>62</v>
      </c>
    </row>
    <row r="973" spans="1:36" ht="15" customHeight="1" x14ac:dyDescent="0.35">
      <c r="A973">
        <v>10428918</v>
      </c>
      <c r="B973" t="s">
        <v>36</v>
      </c>
      <c r="C973" t="s">
        <v>37</v>
      </c>
      <c r="D973" s="6" t="s">
        <v>38</v>
      </c>
      <c r="E973" t="s">
        <v>2991</v>
      </c>
      <c r="F973" t="s">
        <v>40</v>
      </c>
      <c r="G973" t="s">
        <v>41</v>
      </c>
      <c r="H973" t="s">
        <v>2992</v>
      </c>
      <c r="I973" t="s">
        <v>43</v>
      </c>
      <c r="J973">
        <v>2</v>
      </c>
      <c r="K973" t="s">
        <v>44</v>
      </c>
      <c r="L973" t="s">
        <v>45</v>
      </c>
      <c r="M973" t="s">
        <v>46</v>
      </c>
      <c r="N973" s="7">
        <v>1</v>
      </c>
      <c r="O973" s="8">
        <v>45628.528252314813</v>
      </c>
      <c r="P973" s="9">
        <v>45630</v>
      </c>
      <c r="Q973" t="s">
        <v>74</v>
      </c>
      <c r="R973" t="s">
        <v>48</v>
      </c>
      <c r="S973" t="s">
        <v>49</v>
      </c>
      <c r="T973" t="s">
        <v>170</v>
      </c>
      <c r="U973" t="s">
        <v>2993</v>
      </c>
      <c r="V973">
        <v>43300</v>
      </c>
      <c r="W973" t="s">
        <v>48</v>
      </c>
      <c r="X973" t="s">
        <v>917</v>
      </c>
      <c r="Y973" t="s">
        <v>54</v>
      </c>
      <c r="Z973" s="12">
        <f>IF(N973&lt;=1,9,9+0.8*ROUNDUP(N973-1,0))</f>
        <v>9</v>
      </c>
      <c r="AA973" s="11">
        <v>-2</v>
      </c>
      <c r="AB973" s="11">
        <v>0</v>
      </c>
      <c r="AC973" s="11">
        <v>0</v>
      </c>
      <c r="AD973" s="11">
        <v>0</v>
      </c>
      <c r="AE973" s="11">
        <v>0</v>
      </c>
      <c r="AF973" s="11">
        <f t="shared" si="45"/>
        <v>0.42</v>
      </c>
      <c r="AG973" s="11">
        <f t="shared" si="46"/>
        <v>7.42</v>
      </c>
      <c r="AH973" s="11">
        <v>0</v>
      </c>
      <c r="AI973" s="11">
        <f t="shared" si="47"/>
        <v>7.42</v>
      </c>
      <c r="AJ973" t="s">
        <v>62</v>
      </c>
    </row>
    <row r="974" spans="1:36" ht="15" customHeight="1" x14ac:dyDescent="0.35">
      <c r="A974">
        <v>10428918</v>
      </c>
      <c r="B974" t="s">
        <v>36</v>
      </c>
      <c r="C974" t="s">
        <v>37</v>
      </c>
      <c r="D974" s="6" t="s">
        <v>38</v>
      </c>
      <c r="E974" t="s">
        <v>2994</v>
      </c>
      <c r="F974" t="s">
        <v>40</v>
      </c>
      <c r="G974" t="s">
        <v>41</v>
      </c>
      <c r="H974" t="s">
        <v>2995</v>
      </c>
      <c r="I974" t="s">
        <v>43</v>
      </c>
      <c r="J974">
        <v>2</v>
      </c>
      <c r="K974" t="s">
        <v>44</v>
      </c>
      <c r="L974" t="s">
        <v>45</v>
      </c>
      <c r="M974" t="s">
        <v>46</v>
      </c>
      <c r="N974" s="7">
        <v>2</v>
      </c>
      <c r="O974" s="8">
        <v>45628.820972222224</v>
      </c>
      <c r="P974" s="9">
        <v>45630</v>
      </c>
      <c r="Q974" t="s">
        <v>74</v>
      </c>
      <c r="R974" t="s">
        <v>48</v>
      </c>
      <c r="S974" t="s">
        <v>49</v>
      </c>
      <c r="T974" t="s">
        <v>59</v>
      </c>
      <c r="U974" t="s">
        <v>2996</v>
      </c>
      <c r="V974">
        <v>16600</v>
      </c>
      <c r="W974" t="s">
        <v>48</v>
      </c>
      <c r="X974" t="s">
        <v>61</v>
      </c>
      <c r="Y974" t="s">
        <v>54</v>
      </c>
      <c r="Z974" s="12">
        <f>IF(N974&lt;=1,9,9+0.8*ROUNDUP(N974-1,0))</f>
        <v>9.8000000000000007</v>
      </c>
      <c r="AA974" s="11">
        <v>-2</v>
      </c>
      <c r="AB974" s="11">
        <v>0</v>
      </c>
      <c r="AC974" s="11">
        <v>0</v>
      </c>
      <c r="AD974" s="11">
        <v>0</v>
      </c>
      <c r="AE974" s="11">
        <v>0</v>
      </c>
      <c r="AF974" s="11">
        <f t="shared" si="45"/>
        <v>0.46800000000000003</v>
      </c>
      <c r="AG974" s="11">
        <f t="shared" si="46"/>
        <v>8.2680000000000007</v>
      </c>
      <c r="AH974" s="11">
        <v>0</v>
      </c>
      <c r="AI974" s="11">
        <f t="shared" si="47"/>
        <v>8.2680000000000007</v>
      </c>
      <c r="AJ974" t="s">
        <v>62</v>
      </c>
    </row>
    <row r="975" spans="1:36" ht="15" customHeight="1" x14ac:dyDescent="0.35">
      <c r="A975">
        <v>10428918</v>
      </c>
      <c r="B975" t="s">
        <v>36</v>
      </c>
      <c r="C975" t="s">
        <v>37</v>
      </c>
      <c r="D975" s="6" t="s">
        <v>38</v>
      </c>
      <c r="E975" t="s">
        <v>2997</v>
      </c>
      <c r="F975" t="s">
        <v>40</v>
      </c>
      <c r="G975" t="s">
        <v>41</v>
      </c>
      <c r="H975" t="s">
        <v>2998</v>
      </c>
      <c r="I975" t="s">
        <v>43</v>
      </c>
      <c r="J975">
        <v>2</v>
      </c>
      <c r="K975" t="s">
        <v>44</v>
      </c>
      <c r="L975" t="s">
        <v>45</v>
      </c>
      <c r="M975" t="s">
        <v>46</v>
      </c>
      <c r="N975" s="7">
        <v>1</v>
      </c>
      <c r="O975" s="8">
        <v>45627.445196759261</v>
      </c>
      <c r="P975" s="9">
        <v>45630</v>
      </c>
      <c r="Q975" t="s">
        <v>74</v>
      </c>
      <c r="R975" t="s">
        <v>48</v>
      </c>
      <c r="S975" t="s">
        <v>49</v>
      </c>
      <c r="T975" t="s">
        <v>59</v>
      </c>
      <c r="U975" t="s">
        <v>2999</v>
      </c>
      <c r="V975">
        <v>16100</v>
      </c>
      <c r="W975" t="s">
        <v>48</v>
      </c>
      <c r="X975" t="s">
        <v>61</v>
      </c>
      <c r="Y975" t="s">
        <v>54</v>
      </c>
      <c r="Z975" s="12">
        <f>IF(N975&lt;=1,9,9+0.8*ROUNDUP(N975-1,0))</f>
        <v>9</v>
      </c>
      <c r="AA975" s="11">
        <v>-2</v>
      </c>
      <c r="AB975" s="11">
        <v>0</v>
      </c>
      <c r="AC975" s="11">
        <v>0</v>
      </c>
      <c r="AD975" s="11">
        <v>0</v>
      </c>
      <c r="AE975" s="11">
        <v>0</v>
      </c>
      <c r="AF975" s="11">
        <f t="shared" si="45"/>
        <v>0.42</v>
      </c>
      <c r="AG975" s="11">
        <f t="shared" si="46"/>
        <v>7.42</v>
      </c>
      <c r="AH975" s="11">
        <v>0</v>
      </c>
      <c r="AI975" s="11">
        <f t="shared" si="47"/>
        <v>7.42</v>
      </c>
      <c r="AJ975" t="s">
        <v>62</v>
      </c>
    </row>
    <row r="976" spans="1:36" ht="15" customHeight="1" x14ac:dyDescent="0.35">
      <c r="A976">
        <v>10428918</v>
      </c>
      <c r="B976" t="s">
        <v>36</v>
      </c>
      <c r="C976" t="s">
        <v>37</v>
      </c>
      <c r="D976" s="6" t="s">
        <v>38</v>
      </c>
      <c r="E976" t="s">
        <v>3000</v>
      </c>
      <c r="F976" t="s">
        <v>40</v>
      </c>
      <c r="G976" t="s">
        <v>41</v>
      </c>
      <c r="H976" t="s">
        <v>3001</v>
      </c>
      <c r="I976" t="s">
        <v>43</v>
      </c>
      <c r="J976">
        <v>2</v>
      </c>
      <c r="K976" t="s">
        <v>44</v>
      </c>
      <c r="L976" t="s">
        <v>45</v>
      </c>
      <c r="M976" t="s">
        <v>46</v>
      </c>
      <c r="N976" s="7">
        <v>1</v>
      </c>
      <c r="O976" s="8">
        <v>45628.815162037034</v>
      </c>
      <c r="P976" s="9">
        <v>45630</v>
      </c>
      <c r="Q976" t="s">
        <v>74</v>
      </c>
      <c r="R976" t="s">
        <v>48</v>
      </c>
      <c r="S976" t="s">
        <v>49</v>
      </c>
      <c r="T976" t="s">
        <v>59</v>
      </c>
      <c r="U976" t="s">
        <v>3002</v>
      </c>
      <c r="V976">
        <v>18300</v>
      </c>
      <c r="W976" t="s">
        <v>48</v>
      </c>
      <c r="X976" t="s">
        <v>61</v>
      </c>
      <c r="Y976" t="s">
        <v>54</v>
      </c>
      <c r="Z976" s="12">
        <f>IF(N976&lt;=1,9,9+0.8*ROUNDUP(N976-1,0))</f>
        <v>9</v>
      </c>
      <c r="AA976" s="11">
        <v>-2</v>
      </c>
      <c r="AB976" s="11">
        <v>0</v>
      </c>
      <c r="AC976" s="11">
        <v>0</v>
      </c>
      <c r="AD976" s="11">
        <v>0</v>
      </c>
      <c r="AE976" s="11">
        <v>0</v>
      </c>
      <c r="AF976" s="11">
        <f t="shared" si="45"/>
        <v>0.42</v>
      </c>
      <c r="AG976" s="11">
        <f t="shared" si="46"/>
        <v>7.42</v>
      </c>
      <c r="AH976" s="11">
        <v>0</v>
      </c>
      <c r="AI976" s="11">
        <f t="shared" si="47"/>
        <v>7.42</v>
      </c>
      <c r="AJ976" t="s">
        <v>62</v>
      </c>
    </row>
    <row r="977" spans="1:36" ht="15" customHeight="1" x14ac:dyDescent="0.35">
      <c r="A977">
        <v>10428918</v>
      </c>
      <c r="B977" t="s">
        <v>36</v>
      </c>
      <c r="C977" t="s">
        <v>37</v>
      </c>
      <c r="D977" s="6" t="s">
        <v>38</v>
      </c>
      <c r="E977" t="s">
        <v>3003</v>
      </c>
      <c r="F977" t="s">
        <v>40</v>
      </c>
      <c r="G977" t="s">
        <v>41</v>
      </c>
      <c r="H977" t="s">
        <v>3004</v>
      </c>
      <c r="I977" t="s">
        <v>43</v>
      </c>
      <c r="J977">
        <v>2</v>
      </c>
      <c r="K977" t="s">
        <v>44</v>
      </c>
      <c r="L977" t="s">
        <v>45</v>
      </c>
      <c r="M977" t="s">
        <v>46</v>
      </c>
      <c r="N977" s="7">
        <v>1</v>
      </c>
      <c r="O977" s="8">
        <v>45627.445196759261</v>
      </c>
      <c r="P977" s="9">
        <v>45630</v>
      </c>
      <c r="Q977" t="s">
        <v>74</v>
      </c>
      <c r="R977" t="s">
        <v>48</v>
      </c>
      <c r="S977" t="s">
        <v>49</v>
      </c>
      <c r="T977" t="s">
        <v>75</v>
      </c>
      <c r="U977" t="s">
        <v>3005</v>
      </c>
      <c r="V977">
        <v>27600</v>
      </c>
      <c r="W977" t="s">
        <v>48</v>
      </c>
      <c r="X977" t="s">
        <v>77</v>
      </c>
      <c r="Y977" t="s">
        <v>54</v>
      </c>
      <c r="Z977" s="12">
        <f>IF(N977&lt;=1,9,9+0.8*ROUNDUP(N977-1,0))</f>
        <v>9</v>
      </c>
      <c r="AA977" s="11">
        <v>-2</v>
      </c>
      <c r="AB977" s="11">
        <v>0</v>
      </c>
      <c r="AC977" s="11">
        <v>0</v>
      </c>
      <c r="AD977" s="11">
        <v>0</v>
      </c>
      <c r="AE977" s="11">
        <v>0</v>
      </c>
      <c r="AF977" s="11">
        <f t="shared" si="45"/>
        <v>0.42</v>
      </c>
      <c r="AG977" s="11">
        <f t="shared" si="46"/>
        <v>7.42</v>
      </c>
      <c r="AH977" s="11">
        <v>0</v>
      </c>
      <c r="AI977" s="11">
        <f t="shared" si="47"/>
        <v>7.42</v>
      </c>
      <c r="AJ977" t="s">
        <v>62</v>
      </c>
    </row>
    <row r="978" spans="1:36" ht="15" customHeight="1" x14ac:dyDescent="0.35">
      <c r="A978">
        <v>10428918</v>
      </c>
      <c r="B978" t="s">
        <v>36</v>
      </c>
      <c r="C978" t="s">
        <v>37</v>
      </c>
      <c r="D978" s="6" t="s">
        <v>38</v>
      </c>
      <c r="E978" t="s">
        <v>3006</v>
      </c>
      <c r="F978" t="s">
        <v>40</v>
      </c>
      <c r="G978" t="s">
        <v>41</v>
      </c>
      <c r="H978" t="s">
        <v>3007</v>
      </c>
      <c r="I978" t="s">
        <v>43</v>
      </c>
      <c r="J978">
        <v>2</v>
      </c>
      <c r="K978" t="s">
        <v>44</v>
      </c>
      <c r="L978" t="s">
        <v>45</v>
      </c>
      <c r="M978" t="s">
        <v>46</v>
      </c>
      <c r="N978" s="7">
        <v>1</v>
      </c>
      <c r="O978" s="8">
        <v>45628.811423611114</v>
      </c>
      <c r="P978" s="9">
        <v>45630</v>
      </c>
      <c r="Q978" t="s">
        <v>74</v>
      </c>
      <c r="R978" t="s">
        <v>48</v>
      </c>
      <c r="S978" t="s">
        <v>49</v>
      </c>
      <c r="T978" t="s">
        <v>59</v>
      </c>
      <c r="U978" t="s">
        <v>3008</v>
      </c>
      <c r="V978">
        <v>18500</v>
      </c>
      <c r="W978" t="s">
        <v>48</v>
      </c>
      <c r="X978" t="s">
        <v>61</v>
      </c>
      <c r="Y978" t="s">
        <v>54</v>
      </c>
      <c r="Z978" s="12">
        <f>IF(N978&lt;=1,9,9+0.8*ROUNDUP(N978-1,0))</f>
        <v>9</v>
      </c>
      <c r="AA978" s="11">
        <v>-2</v>
      </c>
      <c r="AB978" s="11">
        <v>0</v>
      </c>
      <c r="AC978" s="11">
        <v>0</v>
      </c>
      <c r="AD978" s="11">
        <v>0</v>
      </c>
      <c r="AE978" s="11">
        <v>0</v>
      </c>
      <c r="AF978" s="11">
        <f t="shared" si="45"/>
        <v>0.42</v>
      </c>
      <c r="AG978" s="11">
        <f t="shared" si="46"/>
        <v>7.42</v>
      </c>
      <c r="AH978" s="11">
        <v>0</v>
      </c>
      <c r="AI978" s="11">
        <f t="shared" si="47"/>
        <v>7.42</v>
      </c>
      <c r="AJ978" t="s">
        <v>62</v>
      </c>
    </row>
    <row r="979" spans="1:36" ht="15" customHeight="1" x14ac:dyDescent="0.35">
      <c r="A979">
        <v>10428918</v>
      </c>
      <c r="B979" t="s">
        <v>36</v>
      </c>
      <c r="C979" t="s">
        <v>37</v>
      </c>
      <c r="D979" s="6" t="s">
        <v>38</v>
      </c>
      <c r="E979" t="s">
        <v>3009</v>
      </c>
      <c r="F979" t="s">
        <v>40</v>
      </c>
      <c r="G979" t="s">
        <v>41</v>
      </c>
      <c r="H979" t="s">
        <v>3010</v>
      </c>
      <c r="I979" t="s">
        <v>43</v>
      </c>
      <c r="J979">
        <v>2</v>
      </c>
      <c r="K979" t="s">
        <v>44</v>
      </c>
      <c r="L979" t="s">
        <v>45</v>
      </c>
      <c r="M979" t="s">
        <v>46</v>
      </c>
      <c r="N979" s="7">
        <v>1</v>
      </c>
      <c r="O979" s="8">
        <v>45628.66269675926</v>
      </c>
      <c r="P979" s="9">
        <v>45630</v>
      </c>
      <c r="Q979" t="s">
        <v>74</v>
      </c>
      <c r="R979" t="s">
        <v>48</v>
      </c>
      <c r="S979" t="s">
        <v>49</v>
      </c>
      <c r="T979" t="s">
        <v>170</v>
      </c>
      <c r="U979" t="s">
        <v>3011</v>
      </c>
      <c r="V979">
        <v>50480</v>
      </c>
      <c r="W979" t="s">
        <v>48</v>
      </c>
      <c r="X979" t="s">
        <v>1395</v>
      </c>
      <c r="Y979" t="s">
        <v>54</v>
      </c>
      <c r="Z979" s="12">
        <f>IF(N979&lt;=1,9,9+0.8*ROUNDUP(N979-1,0))</f>
        <v>9</v>
      </c>
      <c r="AA979" s="11">
        <v>-2</v>
      </c>
      <c r="AB979" s="11">
        <v>0</v>
      </c>
      <c r="AC979" s="11">
        <v>0</v>
      </c>
      <c r="AD979" s="11">
        <v>0</v>
      </c>
      <c r="AE979" s="11">
        <v>0</v>
      </c>
      <c r="AF979" s="11">
        <f t="shared" si="45"/>
        <v>0.42</v>
      </c>
      <c r="AG979" s="11">
        <f t="shared" si="46"/>
        <v>7.42</v>
      </c>
      <c r="AH979" s="11">
        <v>0</v>
      </c>
      <c r="AI979" s="11">
        <f t="shared" si="47"/>
        <v>7.42</v>
      </c>
      <c r="AJ979" t="s">
        <v>62</v>
      </c>
    </row>
    <row r="980" spans="1:36" ht="15" customHeight="1" x14ac:dyDescent="0.35">
      <c r="A980">
        <v>10428918</v>
      </c>
      <c r="B980" t="s">
        <v>36</v>
      </c>
      <c r="C980" t="s">
        <v>37</v>
      </c>
      <c r="D980" s="6" t="s">
        <v>38</v>
      </c>
      <c r="E980" t="s">
        <v>3012</v>
      </c>
      <c r="F980" t="s">
        <v>40</v>
      </c>
      <c r="G980" t="s">
        <v>41</v>
      </c>
      <c r="H980" t="s">
        <v>3013</v>
      </c>
      <c r="I980" t="s">
        <v>43</v>
      </c>
      <c r="J980">
        <v>2</v>
      </c>
      <c r="K980" t="s">
        <v>44</v>
      </c>
      <c r="L980" t="s">
        <v>45</v>
      </c>
      <c r="M980" t="s">
        <v>46</v>
      </c>
      <c r="N980" s="7">
        <v>1</v>
      </c>
      <c r="O980" s="8">
        <v>45623.650231481479</v>
      </c>
      <c r="P980" s="9">
        <v>45630</v>
      </c>
      <c r="Q980" t="s">
        <v>74</v>
      </c>
      <c r="R980" t="s">
        <v>48</v>
      </c>
      <c r="S980" t="s">
        <v>49</v>
      </c>
      <c r="T980" t="s">
        <v>69</v>
      </c>
      <c r="U980" t="s">
        <v>3014</v>
      </c>
      <c r="V980">
        <v>86800</v>
      </c>
      <c r="W980" t="s">
        <v>48</v>
      </c>
      <c r="X980" t="s">
        <v>53</v>
      </c>
      <c r="Y980" t="s">
        <v>54</v>
      </c>
      <c r="Z980" s="12">
        <f>IF(N980&lt;=1,9,9+0.8*ROUNDUP(N980-1,0))</f>
        <v>9</v>
      </c>
      <c r="AA980" s="11">
        <v>-2</v>
      </c>
      <c r="AB980" s="11">
        <v>0</v>
      </c>
      <c r="AC980" s="11">
        <v>0</v>
      </c>
      <c r="AD980" s="11">
        <v>0</v>
      </c>
      <c r="AE980" s="11">
        <v>0</v>
      </c>
      <c r="AF980" s="11">
        <f t="shared" si="45"/>
        <v>0.42</v>
      </c>
      <c r="AG980" s="11">
        <f t="shared" si="46"/>
        <v>7.42</v>
      </c>
      <c r="AH980" s="11">
        <v>0</v>
      </c>
      <c r="AI980" s="11">
        <f t="shared" si="47"/>
        <v>7.42</v>
      </c>
      <c r="AJ980" t="s">
        <v>62</v>
      </c>
    </row>
    <row r="981" spans="1:36" ht="15" customHeight="1" x14ac:dyDescent="0.35">
      <c r="A981">
        <v>10428918</v>
      </c>
      <c r="B981" t="s">
        <v>36</v>
      </c>
      <c r="C981" t="s">
        <v>37</v>
      </c>
      <c r="D981" s="6" t="s">
        <v>38</v>
      </c>
      <c r="E981" t="s">
        <v>3015</v>
      </c>
      <c r="F981" t="s">
        <v>40</v>
      </c>
      <c r="G981" t="s">
        <v>41</v>
      </c>
      <c r="H981" t="s">
        <v>3016</v>
      </c>
      <c r="I981" t="s">
        <v>43</v>
      </c>
      <c r="J981">
        <v>2</v>
      </c>
      <c r="K981" t="s">
        <v>44</v>
      </c>
      <c r="L981" t="s">
        <v>45</v>
      </c>
      <c r="M981" t="s">
        <v>46</v>
      </c>
      <c r="N981" s="7">
        <v>1</v>
      </c>
      <c r="O981" s="8">
        <v>45628.796712962961</v>
      </c>
      <c r="P981" s="9">
        <v>45630</v>
      </c>
      <c r="Q981" t="s">
        <v>74</v>
      </c>
      <c r="R981" t="s">
        <v>48</v>
      </c>
      <c r="S981" t="s">
        <v>49</v>
      </c>
      <c r="T981" t="s">
        <v>85</v>
      </c>
      <c r="U981" t="s">
        <v>3017</v>
      </c>
      <c r="V981">
        <v>70400</v>
      </c>
      <c r="W981" t="s">
        <v>48</v>
      </c>
      <c r="X981" t="s">
        <v>503</v>
      </c>
      <c r="Y981" t="s">
        <v>54</v>
      </c>
      <c r="Z981" s="12">
        <f>IF(N981&lt;=1,9,9+0.8*ROUNDUP(N981-1,0))</f>
        <v>9</v>
      </c>
      <c r="AA981" s="11">
        <v>-2</v>
      </c>
      <c r="AB981" s="11">
        <v>0</v>
      </c>
      <c r="AC981" s="11">
        <v>0</v>
      </c>
      <c r="AD981" s="11">
        <v>0</v>
      </c>
      <c r="AE981" s="11">
        <v>0</v>
      </c>
      <c r="AF981" s="11">
        <f t="shared" si="45"/>
        <v>0.42</v>
      </c>
      <c r="AG981" s="11">
        <f t="shared" si="46"/>
        <v>7.42</v>
      </c>
      <c r="AH981" s="11">
        <v>0</v>
      </c>
      <c r="AI981" s="11">
        <f t="shared" si="47"/>
        <v>7.42</v>
      </c>
      <c r="AJ981" t="s">
        <v>62</v>
      </c>
    </row>
    <row r="982" spans="1:36" ht="15" customHeight="1" x14ac:dyDescent="0.35">
      <c r="A982">
        <v>10428918</v>
      </c>
      <c r="B982" t="s">
        <v>36</v>
      </c>
      <c r="C982" t="s">
        <v>37</v>
      </c>
      <c r="D982" s="6" t="s">
        <v>38</v>
      </c>
      <c r="E982" t="s">
        <v>3018</v>
      </c>
      <c r="F982" t="s">
        <v>40</v>
      </c>
      <c r="G982" t="s">
        <v>41</v>
      </c>
      <c r="H982" t="s">
        <v>3019</v>
      </c>
      <c r="I982" t="s">
        <v>43</v>
      </c>
      <c r="J982">
        <v>2</v>
      </c>
      <c r="K982" t="s">
        <v>44</v>
      </c>
      <c r="L982" t="s">
        <v>45</v>
      </c>
      <c r="M982" t="s">
        <v>46</v>
      </c>
      <c r="N982" s="7">
        <v>1</v>
      </c>
      <c r="O982" s="8">
        <v>45627.629282407404</v>
      </c>
      <c r="P982" s="9">
        <v>45630</v>
      </c>
      <c r="Q982" t="s">
        <v>74</v>
      </c>
      <c r="R982" t="s">
        <v>48</v>
      </c>
      <c r="S982" t="s">
        <v>49</v>
      </c>
      <c r="T982" t="s">
        <v>101</v>
      </c>
      <c r="U982" t="s">
        <v>3020</v>
      </c>
      <c r="V982">
        <v>34000</v>
      </c>
      <c r="W982" t="s">
        <v>48</v>
      </c>
      <c r="X982" t="s">
        <v>827</v>
      </c>
      <c r="Y982" t="s">
        <v>54</v>
      </c>
      <c r="Z982" s="12">
        <f>IF(N982&lt;=1,9,9+0.8*ROUNDUP(N982-1,0))</f>
        <v>9</v>
      </c>
      <c r="AA982" s="11">
        <v>-2</v>
      </c>
      <c r="AB982" s="11">
        <v>0</v>
      </c>
      <c r="AC982" s="11">
        <v>0</v>
      </c>
      <c r="AD982" s="11">
        <v>0</v>
      </c>
      <c r="AE982" s="11">
        <v>0</v>
      </c>
      <c r="AF982" s="11">
        <f t="shared" si="45"/>
        <v>0.42</v>
      </c>
      <c r="AG982" s="11">
        <f t="shared" si="46"/>
        <v>7.42</v>
      </c>
      <c r="AH982" s="11">
        <v>0</v>
      </c>
      <c r="AI982" s="11">
        <f t="shared" si="47"/>
        <v>7.42</v>
      </c>
      <c r="AJ982" t="s">
        <v>62</v>
      </c>
    </row>
    <row r="983" spans="1:36" ht="15" customHeight="1" x14ac:dyDescent="0.35">
      <c r="A983">
        <v>10428918</v>
      </c>
      <c r="B983" t="s">
        <v>36</v>
      </c>
      <c r="C983" t="s">
        <v>37</v>
      </c>
      <c r="D983" s="6" t="s">
        <v>38</v>
      </c>
      <c r="E983" t="s">
        <v>3021</v>
      </c>
      <c r="F983" t="s">
        <v>40</v>
      </c>
      <c r="G983" t="s">
        <v>41</v>
      </c>
      <c r="H983" t="s">
        <v>3022</v>
      </c>
      <c r="I983" t="s">
        <v>43</v>
      </c>
      <c r="J983">
        <v>2</v>
      </c>
      <c r="K983" t="s">
        <v>44</v>
      </c>
      <c r="L983" t="s">
        <v>45</v>
      </c>
      <c r="M983" t="s">
        <v>46</v>
      </c>
      <c r="N983" s="7">
        <v>1</v>
      </c>
      <c r="O983" s="8">
        <v>45623.650231481479</v>
      </c>
      <c r="P983" s="9">
        <v>45630</v>
      </c>
      <c r="Q983" t="s">
        <v>74</v>
      </c>
      <c r="R983" t="s">
        <v>48</v>
      </c>
      <c r="S983" t="s">
        <v>49</v>
      </c>
      <c r="T983" t="s">
        <v>50</v>
      </c>
      <c r="U983" t="s">
        <v>3023</v>
      </c>
      <c r="V983">
        <v>88200</v>
      </c>
      <c r="W983" t="s">
        <v>52</v>
      </c>
      <c r="X983" t="s">
        <v>53</v>
      </c>
      <c r="Y983" t="s">
        <v>54</v>
      </c>
      <c r="Z983" s="10">
        <f>IF(N983&lt;=1,13,IF(N983&lt;=2,23,IF(N983&lt;=3,35,IF(N983&lt;=4,43,IF(N983&lt;=5,53,IF(N983&lt;=6,63,IF(N983&lt;=7,71,IF(N983&lt;=8,79,IF(N983&lt;=9,87,IF(N983&lt;=10,95,IF(N983&lt;=11,105,IF(N983&lt;=12,114,IF(N983&lt;=13,119,IF(N983&lt;=14,127,IF(N983&lt;=15,135,IF(N983&lt;=16,143,IF(N983&lt;=17,153,IF(N983&lt;=18,163,IF(N983&lt;=19,171,IF(N983&lt;=20,185,IF(N983&lt;=21,193,IF(N983&lt;=22,201,IF(N983&lt;=23,210,IF(N983&lt;=24,220,IF(N983&lt;=25,230,IF(N983&lt;=26,240,IF(N983&lt;=27,250,IF(N983&lt;=28,260,IF(N983&lt;=29,270,IF(N983&lt;=30,280,280+10*ROUNDUP(N983-30,0)))))))))))))))))))))))))))))))</f>
        <v>13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f t="shared" si="45"/>
        <v>0.78</v>
      </c>
      <c r="AG983" s="11">
        <f t="shared" si="46"/>
        <v>13.78</v>
      </c>
      <c r="AH983" s="11">
        <v>0</v>
      </c>
      <c r="AI983" s="11">
        <f t="shared" si="47"/>
        <v>13.78</v>
      </c>
      <c r="AJ983" t="s">
        <v>55</v>
      </c>
    </row>
    <row r="984" spans="1:36" ht="15" customHeight="1" x14ac:dyDescent="0.35">
      <c r="A984">
        <v>10428918</v>
      </c>
      <c r="B984" t="s">
        <v>36</v>
      </c>
      <c r="C984" t="s">
        <v>37</v>
      </c>
      <c r="D984" s="6" t="s">
        <v>38</v>
      </c>
      <c r="E984" t="s">
        <v>3024</v>
      </c>
      <c r="F984" t="s">
        <v>40</v>
      </c>
      <c r="G984" t="s">
        <v>41</v>
      </c>
      <c r="H984" t="s">
        <v>3025</v>
      </c>
      <c r="I984" t="s">
        <v>43</v>
      </c>
      <c r="J984">
        <v>2</v>
      </c>
      <c r="K984" t="s">
        <v>44</v>
      </c>
      <c r="L984" t="s">
        <v>45</v>
      </c>
      <c r="M984" t="s">
        <v>46</v>
      </c>
      <c r="N984" s="7">
        <v>1</v>
      </c>
      <c r="O984" s="8">
        <v>45628.585277777776</v>
      </c>
      <c r="P984" s="9">
        <v>45630</v>
      </c>
      <c r="Q984" t="s">
        <v>74</v>
      </c>
      <c r="R984" t="s">
        <v>48</v>
      </c>
      <c r="S984" t="s">
        <v>49</v>
      </c>
      <c r="T984" t="s">
        <v>170</v>
      </c>
      <c r="U984" t="s">
        <v>3026</v>
      </c>
      <c r="V984">
        <v>54200</v>
      </c>
      <c r="W984" t="s">
        <v>48</v>
      </c>
      <c r="X984" t="s">
        <v>1329</v>
      </c>
      <c r="Y984" t="s">
        <v>54</v>
      </c>
      <c r="Z984" s="12">
        <f>IF(N984&lt;=1,9,9+0.8*ROUNDUP(N984-1,0))</f>
        <v>9</v>
      </c>
      <c r="AA984" s="11">
        <v>-2</v>
      </c>
      <c r="AB984" s="11">
        <v>0</v>
      </c>
      <c r="AC984" s="11">
        <v>0</v>
      </c>
      <c r="AD984" s="11">
        <v>0</v>
      </c>
      <c r="AE984" s="11">
        <v>0</v>
      </c>
      <c r="AF984" s="11">
        <f t="shared" si="45"/>
        <v>0.42</v>
      </c>
      <c r="AG984" s="11">
        <f t="shared" si="46"/>
        <v>7.42</v>
      </c>
      <c r="AH984" s="11">
        <v>0</v>
      </c>
      <c r="AI984" s="11">
        <f t="shared" si="47"/>
        <v>7.42</v>
      </c>
      <c r="AJ984" t="s">
        <v>62</v>
      </c>
    </row>
    <row r="985" spans="1:36" ht="15" customHeight="1" x14ac:dyDescent="0.35">
      <c r="A985">
        <v>10428918</v>
      </c>
      <c r="B985" t="s">
        <v>36</v>
      </c>
      <c r="C985" t="s">
        <v>37</v>
      </c>
      <c r="D985" s="6" t="s">
        <v>38</v>
      </c>
      <c r="E985" t="s">
        <v>3027</v>
      </c>
      <c r="F985" t="s">
        <v>40</v>
      </c>
      <c r="G985" t="s">
        <v>41</v>
      </c>
      <c r="H985" t="s">
        <v>3028</v>
      </c>
      <c r="I985" t="s">
        <v>43</v>
      </c>
      <c r="J985">
        <v>2</v>
      </c>
      <c r="K985" t="s">
        <v>44</v>
      </c>
      <c r="L985" t="s">
        <v>45</v>
      </c>
      <c r="M985" t="s">
        <v>46</v>
      </c>
      <c r="N985" s="7">
        <v>5</v>
      </c>
      <c r="O985" s="8">
        <v>45628.79011574074</v>
      </c>
      <c r="P985" s="9">
        <v>45630</v>
      </c>
      <c r="Q985" t="s">
        <v>74</v>
      </c>
      <c r="R985" t="s">
        <v>48</v>
      </c>
      <c r="S985" t="s">
        <v>49</v>
      </c>
      <c r="T985" t="s">
        <v>117</v>
      </c>
      <c r="U985" t="s">
        <v>3029</v>
      </c>
      <c r="V985">
        <v>43650</v>
      </c>
      <c r="W985" t="s">
        <v>48</v>
      </c>
      <c r="X985" t="s">
        <v>191</v>
      </c>
      <c r="Y985" t="s">
        <v>54</v>
      </c>
      <c r="Z985" s="12">
        <f>IF(N985&lt;=1,9,9+0.8*ROUNDUP(N985-1,0))</f>
        <v>12.2</v>
      </c>
      <c r="AA985" s="11">
        <v>-2</v>
      </c>
      <c r="AB985" s="11">
        <v>0</v>
      </c>
      <c r="AC985" s="11">
        <v>0</v>
      </c>
      <c r="AD985" s="11">
        <v>0</v>
      </c>
      <c r="AE985" s="11">
        <v>0</v>
      </c>
      <c r="AF985" s="11">
        <f t="shared" si="45"/>
        <v>0.61199999999999999</v>
      </c>
      <c r="AG985" s="11">
        <f t="shared" si="46"/>
        <v>10.811999999999999</v>
      </c>
      <c r="AH985" s="11">
        <v>0</v>
      </c>
      <c r="AI985" s="11">
        <f t="shared" si="47"/>
        <v>10.811999999999999</v>
      </c>
      <c r="AJ985" t="s">
        <v>62</v>
      </c>
    </row>
    <row r="986" spans="1:36" ht="15" customHeight="1" x14ac:dyDescent="0.35">
      <c r="A986">
        <v>10428918</v>
      </c>
      <c r="B986" t="s">
        <v>36</v>
      </c>
      <c r="C986" t="s">
        <v>37</v>
      </c>
      <c r="D986" s="6" t="s">
        <v>38</v>
      </c>
      <c r="E986" t="s">
        <v>3030</v>
      </c>
      <c r="F986" t="s">
        <v>40</v>
      </c>
      <c r="G986" t="s">
        <v>41</v>
      </c>
      <c r="H986" t="s">
        <v>1433</v>
      </c>
      <c r="I986" t="s">
        <v>43</v>
      </c>
      <c r="J986">
        <v>2</v>
      </c>
      <c r="K986" t="s">
        <v>44</v>
      </c>
      <c r="L986" t="s">
        <v>45</v>
      </c>
      <c r="M986" t="s">
        <v>46</v>
      </c>
      <c r="N986" s="7">
        <v>1</v>
      </c>
      <c r="O986" s="8">
        <v>45628.811423611114</v>
      </c>
      <c r="P986" s="9">
        <v>45630</v>
      </c>
      <c r="Q986" t="s">
        <v>74</v>
      </c>
      <c r="R986" t="s">
        <v>48</v>
      </c>
      <c r="S986" t="s">
        <v>49</v>
      </c>
      <c r="T986" t="s">
        <v>65</v>
      </c>
      <c r="U986" t="s">
        <v>3031</v>
      </c>
      <c r="V986">
        <v>76100</v>
      </c>
      <c r="W986" t="s">
        <v>48</v>
      </c>
      <c r="X986" t="s">
        <v>448</v>
      </c>
      <c r="Y986" t="s">
        <v>54</v>
      </c>
      <c r="Z986" s="12">
        <f>IF(N986&lt;=1,9,9+0.8*ROUNDUP(N986-1,0))</f>
        <v>9</v>
      </c>
      <c r="AA986" s="11">
        <v>-2</v>
      </c>
      <c r="AB986" s="11">
        <v>0</v>
      </c>
      <c r="AC986" s="11">
        <v>0</v>
      </c>
      <c r="AD986" s="11">
        <v>0</v>
      </c>
      <c r="AE986" s="11">
        <v>0</v>
      </c>
      <c r="AF986" s="11">
        <f t="shared" si="45"/>
        <v>0.42</v>
      </c>
      <c r="AG986" s="11">
        <f t="shared" si="46"/>
        <v>7.42</v>
      </c>
      <c r="AH986" s="11">
        <v>0</v>
      </c>
      <c r="AI986" s="11">
        <f t="shared" si="47"/>
        <v>7.42</v>
      </c>
      <c r="AJ986" t="s">
        <v>62</v>
      </c>
    </row>
    <row r="987" spans="1:36" ht="15" customHeight="1" x14ac:dyDescent="0.35">
      <c r="A987">
        <v>10428918</v>
      </c>
      <c r="B987" t="s">
        <v>36</v>
      </c>
      <c r="C987" t="s">
        <v>37</v>
      </c>
      <c r="D987" s="6" t="s">
        <v>38</v>
      </c>
      <c r="E987" t="s">
        <v>3032</v>
      </c>
      <c r="F987" t="s">
        <v>40</v>
      </c>
      <c r="G987" t="s">
        <v>41</v>
      </c>
      <c r="H987" t="s">
        <v>3033</v>
      </c>
      <c r="I987" t="s">
        <v>43</v>
      </c>
      <c r="J987">
        <v>2</v>
      </c>
      <c r="K987" t="s">
        <v>44</v>
      </c>
      <c r="L987" t="s">
        <v>45</v>
      </c>
      <c r="M987" t="s">
        <v>46</v>
      </c>
      <c r="N987" s="7">
        <v>1</v>
      </c>
      <c r="O987" s="8">
        <v>45629.75608796296</v>
      </c>
      <c r="P987" s="9">
        <v>45630</v>
      </c>
      <c r="Q987" t="s">
        <v>74</v>
      </c>
      <c r="R987" t="s">
        <v>48</v>
      </c>
      <c r="S987" t="s">
        <v>49</v>
      </c>
      <c r="T987" t="s">
        <v>65</v>
      </c>
      <c r="U987" t="s">
        <v>3034</v>
      </c>
      <c r="V987">
        <v>75150</v>
      </c>
      <c r="W987" t="s">
        <v>48</v>
      </c>
      <c r="X987" t="s">
        <v>167</v>
      </c>
      <c r="Y987" t="s">
        <v>54</v>
      </c>
      <c r="Z987" s="12">
        <f>IF(N987&lt;=1,9,9+0.8*ROUNDUP(N987-1,0))</f>
        <v>9</v>
      </c>
      <c r="AA987" s="11">
        <v>-2</v>
      </c>
      <c r="AB987" s="11">
        <v>0</v>
      </c>
      <c r="AC987" s="11">
        <v>0</v>
      </c>
      <c r="AD987" s="11">
        <v>0</v>
      </c>
      <c r="AE987" s="11">
        <v>0</v>
      </c>
      <c r="AF987" s="11">
        <f t="shared" si="45"/>
        <v>0.42</v>
      </c>
      <c r="AG987" s="11">
        <f t="shared" si="46"/>
        <v>7.42</v>
      </c>
      <c r="AH987" s="11">
        <v>0</v>
      </c>
      <c r="AI987" s="11">
        <f t="shared" si="47"/>
        <v>7.42</v>
      </c>
      <c r="AJ987" t="s">
        <v>62</v>
      </c>
    </row>
    <row r="988" spans="1:36" ht="15" customHeight="1" x14ac:dyDescent="0.35">
      <c r="A988">
        <v>10428918</v>
      </c>
      <c r="B988" t="s">
        <v>36</v>
      </c>
      <c r="C988" t="s">
        <v>37</v>
      </c>
      <c r="D988" s="6" t="s">
        <v>38</v>
      </c>
      <c r="E988" t="s">
        <v>3035</v>
      </c>
      <c r="F988" t="s">
        <v>40</v>
      </c>
      <c r="G988" t="s">
        <v>41</v>
      </c>
      <c r="H988" t="s">
        <v>3036</v>
      </c>
      <c r="I988" t="s">
        <v>43</v>
      </c>
      <c r="J988">
        <v>2</v>
      </c>
      <c r="K988" t="s">
        <v>44</v>
      </c>
      <c r="L988" t="s">
        <v>45</v>
      </c>
      <c r="M988" t="s">
        <v>46</v>
      </c>
      <c r="N988" s="7">
        <v>1</v>
      </c>
      <c r="O988" s="8">
        <v>45622.836770833332</v>
      </c>
      <c r="P988" s="9">
        <v>45630</v>
      </c>
      <c r="Q988" t="s">
        <v>74</v>
      </c>
      <c r="R988" t="s">
        <v>48</v>
      </c>
      <c r="S988" t="s">
        <v>49</v>
      </c>
      <c r="T988" t="s">
        <v>85</v>
      </c>
      <c r="U988" t="s">
        <v>3037</v>
      </c>
      <c r="V988">
        <v>71050</v>
      </c>
      <c r="W988" t="s">
        <v>48</v>
      </c>
      <c r="X988" t="s">
        <v>53</v>
      </c>
      <c r="Y988" t="s">
        <v>54</v>
      </c>
      <c r="Z988" s="12">
        <f>IF(N988&lt;=1,9,9+0.8*ROUNDUP(N988-1,0))</f>
        <v>9</v>
      </c>
      <c r="AA988" s="11">
        <v>-2</v>
      </c>
      <c r="AB988" s="11">
        <v>0</v>
      </c>
      <c r="AC988" s="11">
        <v>0</v>
      </c>
      <c r="AD988" s="11">
        <v>0</v>
      </c>
      <c r="AE988" s="11">
        <v>0</v>
      </c>
      <c r="AF988" s="11">
        <f t="shared" si="45"/>
        <v>0.42</v>
      </c>
      <c r="AG988" s="11">
        <f t="shared" si="46"/>
        <v>7.42</v>
      </c>
      <c r="AH988" s="11">
        <v>0</v>
      </c>
      <c r="AI988" s="11">
        <f t="shared" si="47"/>
        <v>7.42</v>
      </c>
      <c r="AJ988" t="s">
        <v>62</v>
      </c>
    </row>
    <row r="989" spans="1:36" ht="15" customHeight="1" x14ac:dyDescent="0.35">
      <c r="A989">
        <v>10428918</v>
      </c>
      <c r="B989" t="s">
        <v>36</v>
      </c>
      <c r="C989" t="s">
        <v>37</v>
      </c>
      <c r="D989" s="6" t="s">
        <v>38</v>
      </c>
      <c r="E989" t="s">
        <v>3038</v>
      </c>
      <c r="F989" t="s">
        <v>40</v>
      </c>
      <c r="G989" t="s">
        <v>41</v>
      </c>
      <c r="H989" t="s">
        <v>3039</v>
      </c>
      <c r="I989" t="s">
        <v>43</v>
      </c>
      <c r="J989">
        <v>2</v>
      </c>
      <c r="K989" t="s">
        <v>44</v>
      </c>
      <c r="L989" t="s">
        <v>45</v>
      </c>
      <c r="M989" t="s">
        <v>46</v>
      </c>
      <c r="N989" s="7">
        <v>1</v>
      </c>
      <c r="O989" s="8">
        <v>45629.710370370369</v>
      </c>
      <c r="P989" s="9">
        <v>45630</v>
      </c>
      <c r="Q989" t="s">
        <v>74</v>
      </c>
      <c r="R989" t="s">
        <v>48</v>
      </c>
      <c r="S989" t="s">
        <v>49</v>
      </c>
      <c r="T989" t="s">
        <v>75</v>
      </c>
      <c r="U989" t="s">
        <v>3040</v>
      </c>
      <c r="V989">
        <v>26100</v>
      </c>
      <c r="W989" t="s">
        <v>48</v>
      </c>
      <c r="X989" t="s">
        <v>77</v>
      </c>
      <c r="Y989" t="s">
        <v>54</v>
      </c>
      <c r="Z989" s="12">
        <f>IF(N989&lt;=1,9,9+0.8*ROUNDUP(N989-1,0))</f>
        <v>9</v>
      </c>
      <c r="AA989" s="11">
        <v>-2</v>
      </c>
      <c r="AB989" s="11">
        <v>0</v>
      </c>
      <c r="AC989" s="11">
        <v>0</v>
      </c>
      <c r="AD989" s="11">
        <v>0</v>
      </c>
      <c r="AE989" s="11">
        <v>0</v>
      </c>
      <c r="AF989" s="11">
        <f t="shared" si="45"/>
        <v>0.42</v>
      </c>
      <c r="AG989" s="11">
        <f t="shared" si="46"/>
        <v>7.42</v>
      </c>
      <c r="AH989" s="11">
        <v>0</v>
      </c>
      <c r="AI989" s="11">
        <f t="shared" si="47"/>
        <v>7.42</v>
      </c>
      <c r="AJ989" t="s">
        <v>62</v>
      </c>
    </row>
    <row r="990" spans="1:36" ht="15" customHeight="1" x14ac:dyDescent="0.35">
      <c r="A990">
        <v>10428918</v>
      </c>
      <c r="B990" t="s">
        <v>36</v>
      </c>
      <c r="C990" t="s">
        <v>37</v>
      </c>
      <c r="D990" s="6" t="s">
        <v>38</v>
      </c>
      <c r="E990" t="s">
        <v>3041</v>
      </c>
      <c r="F990" t="s">
        <v>40</v>
      </c>
      <c r="G990" t="s">
        <v>41</v>
      </c>
      <c r="H990" t="s">
        <v>2245</v>
      </c>
      <c r="I990" t="s">
        <v>43</v>
      </c>
      <c r="J990">
        <v>2</v>
      </c>
      <c r="K990" t="s">
        <v>44</v>
      </c>
      <c r="L990" t="s">
        <v>45</v>
      </c>
      <c r="M990" t="s">
        <v>46</v>
      </c>
      <c r="N990" s="7">
        <v>1</v>
      </c>
      <c r="O990" s="8">
        <v>45629.617384259262</v>
      </c>
      <c r="P990" s="9">
        <v>45630</v>
      </c>
      <c r="Q990" t="s">
        <v>74</v>
      </c>
      <c r="R990" t="s">
        <v>48</v>
      </c>
      <c r="S990" t="s">
        <v>49</v>
      </c>
      <c r="T990" t="s">
        <v>117</v>
      </c>
      <c r="U990" t="s">
        <v>2246</v>
      </c>
      <c r="V990">
        <v>43650</v>
      </c>
      <c r="W990" t="s">
        <v>48</v>
      </c>
      <c r="X990" t="s">
        <v>191</v>
      </c>
      <c r="Y990" t="s">
        <v>54</v>
      </c>
      <c r="Z990" s="12">
        <f>IF(N990&lt;=1,9,9+0.8*ROUNDUP(N990-1,0))</f>
        <v>9</v>
      </c>
      <c r="AA990" s="11">
        <v>-2</v>
      </c>
      <c r="AB990" s="11">
        <v>0</v>
      </c>
      <c r="AC990" s="11">
        <v>0</v>
      </c>
      <c r="AD990" s="11">
        <v>0</v>
      </c>
      <c r="AE990" s="11">
        <v>0</v>
      </c>
      <c r="AF990" s="11">
        <f t="shared" si="45"/>
        <v>0.42</v>
      </c>
      <c r="AG990" s="11">
        <f t="shared" si="46"/>
        <v>7.42</v>
      </c>
      <c r="AH990" s="11">
        <v>0</v>
      </c>
      <c r="AI990" s="11">
        <f t="shared" si="47"/>
        <v>7.42</v>
      </c>
      <c r="AJ990" t="s">
        <v>62</v>
      </c>
    </row>
    <row r="991" spans="1:36" ht="15" customHeight="1" x14ac:dyDescent="0.35">
      <c r="A991">
        <v>10428918</v>
      </c>
      <c r="B991" t="s">
        <v>36</v>
      </c>
      <c r="C991" t="s">
        <v>37</v>
      </c>
      <c r="D991" s="6" t="s">
        <v>38</v>
      </c>
      <c r="E991" t="s">
        <v>3042</v>
      </c>
      <c r="F991" t="s">
        <v>40</v>
      </c>
      <c r="G991" t="s">
        <v>41</v>
      </c>
      <c r="H991" t="s">
        <v>3043</v>
      </c>
      <c r="I991" t="s">
        <v>43</v>
      </c>
      <c r="J991">
        <v>2</v>
      </c>
      <c r="K991" t="s">
        <v>44</v>
      </c>
      <c r="L991" t="s">
        <v>45</v>
      </c>
      <c r="M991" t="s">
        <v>46</v>
      </c>
      <c r="N991" s="7">
        <v>1</v>
      </c>
      <c r="O991" s="8">
        <v>45628.731921296298</v>
      </c>
      <c r="P991" s="9">
        <v>45630</v>
      </c>
      <c r="Q991" t="s">
        <v>74</v>
      </c>
      <c r="R991" t="s">
        <v>48</v>
      </c>
      <c r="S991" t="s">
        <v>49</v>
      </c>
      <c r="T991" t="s">
        <v>170</v>
      </c>
      <c r="U991" t="s">
        <v>3044</v>
      </c>
      <c r="V991">
        <v>50050</v>
      </c>
      <c r="W991" t="s">
        <v>48</v>
      </c>
      <c r="X991" t="s">
        <v>53</v>
      </c>
      <c r="Y991" t="s">
        <v>54</v>
      </c>
      <c r="Z991" s="12">
        <f>IF(N991&lt;=1,9,9+0.8*ROUNDUP(N991-1,0))</f>
        <v>9</v>
      </c>
      <c r="AA991" s="11">
        <v>-2</v>
      </c>
      <c r="AB991" s="11">
        <v>0</v>
      </c>
      <c r="AC991" s="11">
        <v>0</v>
      </c>
      <c r="AD991" s="11">
        <v>0</v>
      </c>
      <c r="AE991" s="11">
        <v>0</v>
      </c>
      <c r="AF991" s="11">
        <f t="shared" si="45"/>
        <v>0.42</v>
      </c>
      <c r="AG991" s="11">
        <f t="shared" si="46"/>
        <v>7.42</v>
      </c>
      <c r="AH991" s="11">
        <v>0</v>
      </c>
      <c r="AI991" s="11">
        <f t="shared" si="47"/>
        <v>7.42</v>
      </c>
      <c r="AJ991" t="s">
        <v>62</v>
      </c>
    </row>
    <row r="992" spans="1:36" ht="15" customHeight="1" x14ac:dyDescent="0.35">
      <c r="A992">
        <v>10428918</v>
      </c>
      <c r="B992" t="s">
        <v>36</v>
      </c>
      <c r="C992" t="s">
        <v>37</v>
      </c>
      <c r="D992" s="6" t="s">
        <v>38</v>
      </c>
      <c r="E992" t="s">
        <v>3045</v>
      </c>
      <c r="F992" t="s">
        <v>40</v>
      </c>
      <c r="G992" t="s">
        <v>41</v>
      </c>
      <c r="H992" t="s">
        <v>3046</v>
      </c>
      <c r="I992" t="s">
        <v>43</v>
      </c>
      <c r="J992">
        <v>2</v>
      </c>
      <c r="K992" t="s">
        <v>44</v>
      </c>
      <c r="L992" t="s">
        <v>45</v>
      </c>
      <c r="M992" t="s">
        <v>46</v>
      </c>
      <c r="N992" s="7">
        <v>1</v>
      </c>
      <c r="O992" s="8">
        <v>45623.768773148149</v>
      </c>
      <c r="P992" s="9">
        <v>45630</v>
      </c>
      <c r="Q992" t="s">
        <v>74</v>
      </c>
      <c r="R992" t="s">
        <v>48</v>
      </c>
      <c r="S992" t="s">
        <v>49</v>
      </c>
      <c r="T992" t="s">
        <v>50</v>
      </c>
      <c r="U992" t="s">
        <v>3047</v>
      </c>
      <c r="V992">
        <v>89900</v>
      </c>
      <c r="W992" t="s">
        <v>52</v>
      </c>
      <c r="X992" t="s">
        <v>53</v>
      </c>
      <c r="Y992" t="s">
        <v>54</v>
      </c>
      <c r="Z992" s="10">
        <f>IF(N992&lt;=1,13,IF(N992&lt;=2,23,IF(N992&lt;=3,35,IF(N992&lt;=4,43,IF(N992&lt;=5,53,IF(N992&lt;=6,63,IF(N992&lt;=7,71,IF(N992&lt;=8,79,IF(N992&lt;=9,87,IF(N992&lt;=10,95,IF(N992&lt;=11,105,IF(N992&lt;=12,114,IF(N992&lt;=13,119,IF(N992&lt;=14,127,IF(N992&lt;=15,135,IF(N992&lt;=16,143,IF(N992&lt;=17,153,IF(N992&lt;=18,163,IF(N992&lt;=19,171,IF(N992&lt;=20,185,IF(N992&lt;=21,193,IF(N992&lt;=22,201,IF(N992&lt;=23,210,IF(N992&lt;=24,220,IF(N992&lt;=25,230,IF(N992&lt;=26,240,IF(N992&lt;=27,250,IF(N992&lt;=28,260,IF(N992&lt;=29,270,IF(N992&lt;=30,280,280+10*ROUNDUP(N992-30,0)))))))))))))))))))))))))))))))</f>
        <v>13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f t="shared" si="45"/>
        <v>0.78</v>
      </c>
      <c r="AG992" s="11">
        <f t="shared" si="46"/>
        <v>13.78</v>
      </c>
      <c r="AH992" s="11">
        <v>0</v>
      </c>
      <c r="AI992" s="11">
        <f t="shared" si="47"/>
        <v>13.78</v>
      </c>
      <c r="AJ992" t="s">
        <v>55</v>
      </c>
    </row>
    <row r="993" spans="1:36" ht="15" customHeight="1" x14ac:dyDescent="0.35">
      <c r="A993">
        <v>10428918</v>
      </c>
      <c r="B993" t="s">
        <v>36</v>
      </c>
      <c r="C993" t="s">
        <v>37</v>
      </c>
      <c r="D993" s="6" t="s">
        <v>38</v>
      </c>
      <c r="E993" t="s">
        <v>3048</v>
      </c>
      <c r="F993" t="s">
        <v>40</v>
      </c>
      <c r="G993" t="s">
        <v>41</v>
      </c>
      <c r="H993" t="s">
        <v>3049</v>
      </c>
      <c r="I993" t="s">
        <v>43</v>
      </c>
      <c r="J993">
        <v>2</v>
      </c>
      <c r="K993" t="s">
        <v>44</v>
      </c>
      <c r="L993" t="s">
        <v>45</v>
      </c>
      <c r="M993" t="s">
        <v>46</v>
      </c>
      <c r="N993" s="7">
        <v>1</v>
      </c>
      <c r="O993" s="8">
        <v>45628.815162037034</v>
      </c>
      <c r="P993" s="9">
        <v>45630</v>
      </c>
      <c r="Q993" t="s">
        <v>74</v>
      </c>
      <c r="R993" t="s">
        <v>48</v>
      </c>
      <c r="S993" t="s">
        <v>49</v>
      </c>
      <c r="T993" t="s">
        <v>117</v>
      </c>
      <c r="U993" t="s">
        <v>3050</v>
      </c>
      <c r="V993">
        <v>43400</v>
      </c>
      <c r="W993" t="s">
        <v>48</v>
      </c>
      <c r="X993" t="s">
        <v>917</v>
      </c>
      <c r="Y993" t="s">
        <v>54</v>
      </c>
      <c r="Z993" s="12">
        <f>IF(N993&lt;=1,9,9+0.8*ROUNDUP(N993-1,0))</f>
        <v>9</v>
      </c>
      <c r="AA993" s="11">
        <v>-2</v>
      </c>
      <c r="AB993" s="11">
        <v>0</v>
      </c>
      <c r="AC993" s="11">
        <v>0</v>
      </c>
      <c r="AD993" s="11">
        <v>0</v>
      </c>
      <c r="AE993" s="11">
        <v>0</v>
      </c>
      <c r="AF993" s="11">
        <f t="shared" si="45"/>
        <v>0.42</v>
      </c>
      <c r="AG993" s="11">
        <f t="shared" si="46"/>
        <v>7.42</v>
      </c>
      <c r="AH993" s="11">
        <v>0</v>
      </c>
      <c r="AI993" s="11">
        <f t="shared" si="47"/>
        <v>7.42</v>
      </c>
      <c r="AJ993" t="s">
        <v>62</v>
      </c>
    </row>
    <row r="994" spans="1:36" ht="15" customHeight="1" x14ac:dyDescent="0.35">
      <c r="A994">
        <v>10428918</v>
      </c>
      <c r="B994" t="s">
        <v>36</v>
      </c>
      <c r="C994" t="s">
        <v>37</v>
      </c>
      <c r="D994" s="6" t="s">
        <v>38</v>
      </c>
      <c r="E994" t="s">
        <v>3051</v>
      </c>
      <c r="F994" t="s">
        <v>40</v>
      </c>
      <c r="G994" t="s">
        <v>41</v>
      </c>
      <c r="H994" t="s">
        <v>3052</v>
      </c>
      <c r="I994" t="s">
        <v>43</v>
      </c>
      <c r="J994">
        <v>2</v>
      </c>
      <c r="K994" t="s">
        <v>44</v>
      </c>
      <c r="L994" t="s">
        <v>45</v>
      </c>
      <c r="M994" t="s">
        <v>46</v>
      </c>
      <c r="N994" s="7">
        <v>1</v>
      </c>
      <c r="O994" s="8">
        <v>45627.445196759261</v>
      </c>
      <c r="P994" s="9">
        <v>45630</v>
      </c>
      <c r="Q994" t="s">
        <v>74</v>
      </c>
      <c r="R994" t="s">
        <v>48</v>
      </c>
      <c r="S994" t="s">
        <v>49</v>
      </c>
      <c r="T994" t="s">
        <v>75</v>
      </c>
      <c r="U994" t="s">
        <v>3053</v>
      </c>
      <c r="V994">
        <v>28000</v>
      </c>
      <c r="W994" t="s">
        <v>48</v>
      </c>
      <c r="X994" t="s">
        <v>77</v>
      </c>
      <c r="Y994" t="s">
        <v>54</v>
      </c>
      <c r="Z994" s="12">
        <f>IF(N994&lt;=1,9,9+0.8*ROUNDUP(N994-1,0))</f>
        <v>9</v>
      </c>
      <c r="AA994" s="11">
        <v>-2</v>
      </c>
      <c r="AB994" s="11">
        <v>0</v>
      </c>
      <c r="AC994" s="11">
        <v>0</v>
      </c>
      <c r="AD994" s="11">
        <v>0</v>
      </c>
      <c r="AE994" s="11">
        <v>0</v>
      </c>
      <c r="AF994" s="11">
        <f t="shared" si="45"/>
        <v>0.42</v>
      </c>
      <c r="AG994" s="11">
        <f t="shared" si="46"/>
        <v>7.42</v>
      </c>
      <c r="AH994" s="11">
        <v>0</v>
      </c>
      <c r="AI994" s="11">
        <f t="shared" si="47"/>
        <v>7.42</v>
      </c>
      <c r="AJ994" t="s">
        <v>62</v>
      </c>
    </row>
    <row r="995" spans="1:36" ht="15" customHeight="1" x14ac:dyDescent="0.35">
      <c r="A995">
        <v>10428918</v>
      </c>
      <c r="B995" t="s">
        <v>36</v>
      </c>
      <c r="C995" t="s">
        <v>37</v>
      </c>
      <c r="D995" s="6" t="s">
        <v>38</v>
      </c>
      <c r="E995" t="s">
        <v>3054</v>
      </c>
      <c r="F995" t="s">
        <v>40</v>
      </c>
      <c r="G995" t="s">
        <v>41</v>
      </c>
      <c r="H995" t="s">
        <v>3055</v>
      </c>
      <c r="I995" t="s">
        <v>43</v>
      </c>
      <c r="J995">
        <v>2</v>
      </c>
      <c r="K995" t="s">
        <v>44</v>
      </c>
      <c r="L995" t="s">
        <v>45</v>
      </c>
      <c r="M995" t="s">
        <v>46</v>
      </c>
      <c r="N995" s="7">
        <v>2</v>
      </c>
      <c r="O995" s="8">
        <v>45629.617384259262</v>
      </c>
      <c r="P995" s="9">
        <v>45630</v>
      </c>
      <c r="Q995" t="s">
        <v>74</v>
      </c>
      <c r="R995" t="s">
        <v>48</v>
      </c>
      <c r="S995" t="s">
        <v>49</v>
      </c>
      <c r="T995" t="s">
        <v>117</v>
      </c>
      <c r="U995" t="s">
        <v>3056</v>
      </c>
      <c r="V995">
        <v>68000</v>
      </c>
      <c r="W995" t="s">
        <v>48</v>
      </c>
      <c r="X995" t="s">
        <v>1329</v>
      </c>
      <c r="Y995" t="s">
        <v>54</v>
      </c>
      <c r="Z995" s="12">
        <f>IF(N995&lt;=1,9,9+0.8*ROUNDUP(N995-1,0))</f>
        <v>9.8000000000000007</v>
      </c>
      <c r="AA995" s="11">
        <v>-2</v>
      </c>
      <c r="AB995" s="11">
        <v>0</v>
      </c>
      <c r="AC995" s="11">
        <v>0</v>
      </c>
      <c r="AD995" s="11">
        <v>0</v>
      </c>
      <c r="AE995" s="11">
        <v>0</v>
      </c>
      <c r="AF995" s="11">
        <f t="shared" si="45"/>
        <v>0.46800000000000003</v>
      </c>
      <c r="AG995" s="11">
        <f t="shared" si="46"/>
        <v>8.2680000000000007</v>
      </c>
      <c r="AH995" s="11">
        <v>0</v>
      </c>
      <c r="AI995" s="11">
        <f t="shared" si="47"/>
        <v>8.2680000000000007</v>
      </c>
      <c r="AJ995" t="s">
        <v>62</v>
      </c>
    </row>
    <row r="996" spans="1:36" ht="15" customHeight="1" x14ac:dyDescent="0.35">
      <c r="A996">
        <v>10428918</v>
      </c>
      <c r="B996" t="s">
        <v>36</v>
      </c>
      <c r="C996" t="s">
        <v>37</v>
      </c>
      <c r="D996" s="6" t="s">
        <v>38</v>
      </c>
      <c r="E996" t="s">
        <v>3057</v>
      </c>
      <c r="F996" t="s">
        <v>40</v>
      </c>
      <c r="G996" t="s">
        <v>41</v>
      </c>
      <c r="H996" t="s">
        <v>3058</v>
      </c>
      <c r="I996" t="s">
        <v>43</v>
      </c>
      <c r="J996">
        <v>2</v>
      </c>
      <c r="K996" t="s">
        <v>44</v>
      </c>
      <c r="L996" t="s">
        <v>45</v>
      </c>
      <c r="M996" t="s">
        <v>46</v>
      </c>
      <c r="N996" s="7">
        <v>1</v>
      </c>
      <c r="O996" s="8">
        <v>45629.705092592594</v>
      </c>
      <c r="P996" s="9">
        <v>45630</v>
      </c>
      <c r="Q996" t="s">
        <v>74</v>
      </c>
      <c r="R996" t="s">
        <v>48</v>
      </c>
      <c r="S996" t="s">
        <v>49</v>
      </c>
      <c r="T996" t="s">
        <v>59</v>
      </c>
      <c r="U996" t="s">
        <v>3059</v>
      </c>
      <c r="V996">
        <v>17600</v>
      </c>
      <c r="W996" t="s">
        <v>48</v>
      </c>
      <c r="X996" t="s">
        <v>61</v>
      </c>
      <c r="Y996" t="s">
        <v>54</v>
      </c>
      <c r="Z996" s="12">
        <f>IF(N996&lt;=1,9,9+0.8*ROUNDUP(N996-1,0))</f>
        <v>9</v>
      </c>
      <c r="AA996" s="11">
        <v>-2</v>
      </c>
      <c r="AB996" s="11">
        <v>0</v>
      </c>
      <c r="AC996" s="11">
        <v>0</v>
      </c>
      <c r="AD996" s="11">
        <v>0</v>
      </c>
      <c r="AE996" s="11">
        <v>0</v>
      </c>
      <c r="AF996" s="11">
        <f t="shared" si="45"/>
        <v>0.42</v>
      </c>
      <c r="AG996" s="11">
        <f t="shared" si="46"/>
        <v>7.42</v>
      </c>
      <c r="AH996" s="11">
        <v>0</v>
      </c>
      <c r="AI996" s="11">
        <f t="shared" si="47"/>
        <v>7.42</v>
      </c>
      <c r="AJ996" t="s">
        <v>62</v>
      </c>
    </row>
    <row r="997" spans="1:36" ht="15" customHeight="1" x14ac:dyDescent="0.35">
      <c r="A997">
        <v>10428918</v>
      </c>
      <c r="B997" t="s">
        <v>36</v>
      </c>
      <c r="C997" t="s">
        <v>37</v>
      </c>
      <c r="D997" s="6" t="s">
        <v>38</v>
      </c>
      <c r="E997" t="s">
        <v>3060</v>
      </c>
      <c r="F997" t="s">
        <v>40</v>
      </c>
      <c r="G997" t="s">
        <v>41</v>
      </c>
      <c r="H997" t="s">
        <v>3061</v>
      </c>
      <c r="I997" t="s">
        <v>43</v>
      </c>
      <c r="J997">
        <v>2</v>
      </c>
      <c r="K997" t="s">
        <v>44</v>
      </c>
      <c r="L997" t="s">
        <v>45</v>
      </c>
      <c r="M997" t="s">
        <v>46</v>
      </c>
      <c r="N997" s="7">
        <v>3</v>
      </c>
      <c r="O997" s="8">
        <v>45628.517523148148</v>
      </c>
      <c r="P997" s="9">
        <v>45630</v>
      </c>
      <c r="Q997" t="s">
        <v>74</v>
      </c>
      <c r="R997" t="s">
        <v>48</v>
      </c>
      <c r="S997" t="s">
        <v>49</v>
      </c>
      <c r="T997" t="s">
        <v>170</v>
      </c>
      <c r="U997" t="s">
        <v>3062</v>
      </c>
      <c r="V997">
        <v>51100</v>
      </c>
      <c r="W997" t="s">
        <v>48</v>
      </c>
      <c r="X997" t="s">
        <v>350</v>
      </c>
      <c r="Y997" t="s">
        <v>54</v>
      </c>
      <c r="Z997" s="12">
        <f>IF(N997&lt;=1,9,9+0.8*ROUNDUP(N997-1,0))</f>
        <v>10.6</v>
      </c>
      <c r="AA997" s="11">
        <v>-2</v>
      </c>
      <c r="AB997" s="11">
        <v>0</v>
      </c>
      <c r="AC997" s="11">
        <v>0</v>
      </c>
      <c r="AD997" s="11">
        <v>0</v>
      </c>
      <c r="AE997" s="11">
        <v>0</v>
      </c>
      <c r="AF997" s="11">
        <f t="shared" si="45"/>
        <v>0.51600000000000001</v>
      </c>
      <c r="AG997" s="11">
        <f t="shared" si="46"/>
        <v>9.1159999999999997</v>
      </c>
      <c r="AH997" s="11">
        <v>0</v>
      </c>
      <c r="AI997" s="11">
        <f t="shared" si="47"/>
        <v>9.1159999999999997</v>
      </c>
      <c r="AJ997" t="s">
        <v>62</v>
      </c>
    </row>
    <row r="998" spans="1:36" ht="15" customHeight="1" x14ac:dyDescent="0.35">
      <c r="A998">
        <v>10428918</v>
      </c>
      <c r="B998" t="s">
        <v>36</v>
      </c>
      <c r="C998" t="s">
        <v>37</v>
      </c>
      <c r="D998" s="6" t="s">
        <v>38</v>
      </c>
      <c r="E998" t="s">
        <v>3063</v>
      </c>
      <c r="F998" t="s">
        <v>40</v>
      </c>
      <c r="G998" t="s">
        <v>41</v>
      </c>
      <c r="H998" t="s">
        <v>3064</v>
      </c>
      <c r="I998" t="s">
        <v>43</v>
      </c>
      <c r="J998">
        <v>2</v>
      </c>
      <c r="K998" t="s">
        <v>44</v>
      </c>
      <c r="L998" t="s">
        <v>45</v>
      </c>
      <c r="M998" t="s">
        <v>46</v>
      </c>
      <c r="N998" s="7">
        <v>1</v>
      </c>
      <c r="O998" s="8">
        <v>45627.432662037034</v>
      </c>
      <c r="P998" s="9">
        <v>45630</v>
      </c>
      <c r="Q998" t="s">
        <v>74</v>
      </c>
      <c r="R998" t="s">
        <v>48</v>
      </c>
      <c r="S998" t="s">
        <v>49</v>
      </c>
      <c r="T998" t="s">
        <v>59</v>
      </c>
      <c r="U998" t="s">
        <v>3065</v>
      </c>
      <c r="V998">
        <v>16020</v>
      </c>
      <c r="W998" t="s">
        <v>48</v>
      </c>
      <c r="X998" t="s">
        <v>61</v>
      </c>
      <c r="Y998" t="s">
        <v>54</v>
      </c>
      <c r="Z998" s="12">
        <f>IF(N998&lt;=1,9,9+0.8*ROUNDUP(N998-1,0))</f>
        <v>9</v>
      </c>
      <c r="AA998" s="11">
        <v>-2</v>
      </c>
      <c r="AB998" s="11">
        <v>0</v>
      </c>
      <c r="AC998" s="11">
        <v>0</v>
      </c>
      <c r="AD998" s="11">
        <v>0</v>
      </c>
      <c r="AE998" s="11">
        <v>0</v>
      </c>
      <c r="AF998" s="11">
        <f t="shared" si="45"/>
        <v>0.42</v>
      </c>
      <c r="AG998" s="11">
        <f t="shared" si="46"/>
        <v>7.42</v>
      </c>
      <c r="AH998" s="11">
        <v>0</v>
      </c>
      <c r="AI998" s="11">
        <f t="shared" si="47"/>
        <v>7.42</v>
      </c>
      <c r="AJ998" t="s">
        <v>62</v>
      </c>
    </row>
    <row r="999" spans="1:36" ht="15" customHeight="1" x14ac:dyDescent="0.35">
      <c r="A999">
        <v>10428918</v>
      </c>
      <c r="B999" t="s">
        <v>36</v>
      </c>
      <c r="C999" t="s">
        <v>37</v>
      </c>
      <c r="D999" s="6" t="s">
        <v>38</v>
      </c>
      <c r="E999" t="s">
        <v>3066</v>
      </c>
      <c r="F999" t="s">
        <v>40</v>
      </c>
      <c r="G999" t="s">
        <v>41</v>
      </c>
      <c r="H999" t="s">
        <v>3067</v>
      </c>
      <c r="I999" t="s">
        <v>43</v>
      </c>
      <c r="J999">
        <v>2</v>
      </c>
      <c r="K999" t="s">
        <v>44</v>
      </c>
      <c r="L999" t="s">
        <v>45</v>
      </c>
      <c r="M999" t="s">
        <v>46</v>
      </c>
      <c r="N999" s="7">
        <v>2</v>
      </c>
      <c r="O999" s="8">
        <v>45626.62909722222</v>
      </c>
      <c r="P999" s="9">
        <v>45630</v>
      </c>
      <c r="Q999" t="s">
        <v>74</v>
      </c>
      <c r="R999" t="s">
        <v>48</v>
      </c>
      <c r="S999" t="s">
        <v>49</v>
      </c>
      <c r="T999" t="s">
        <v>278</v>
      </c>
      <c r="U999" t="s">
        <v>3068</v>
      </c>
      <c r="V999">
        <v>94000</v>
      </c>
      <c r="W999" t="s">
        <v>52</v>
      </c>
      <c r="X999" t="s">
        <v>53</v>
      </c>
      <c r="Y999" t="s">
        <v>54</v>
      </c>
      <c r="Z999" s="10">
        <f>IF(N999&lt;=1,13,IF(N999&lt;=2,23,IF(N999&lt;=3,35,IF(N999&lt;=4,43,IF(N999&lt;=5,53,IF(N999&lt;=6,63,IF(N999&lt;=7,71,IF(N999&lt;=8,79,IF(N999&lt;=9,87,IF(N999&lt;=10,95,IF(N999&lt;=11,105,IF(N999&lt;=12,114,IF(N999&lt;=13,119,IF(N999&lt;=14,127,IF(N999&lt;=15,135,IF(N999&lt;=16,143,IF(N999&lt;=17,153,IF(N999&lt;=18,163,IF(N999&lt;=19,171,IF(N999&lt;=20,185,IF(N999&lt;=21,193,IF(N999&lt;=22,201,IF(N999&lt;=23,210,IF(N999&lt;=24,220,IF(N999&lt;=25,230,IF(N999&lt;=26,240,IF(N999&lt;=27,250,IF(N999&lt;=28,260,IF(N999&lt;=29,270,IF(N999&lt;=30,280,280+10*ROUNDUP(N999-30,0)))))))))))))))))))))))))))))))</f>
        <v>23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f t="shared" si="45"/>
        <v>1.38</v>
      </c>
      <c r="AG999" s="11">
        <f t="shared" si="46"/>
        <v>24.38</v>
      </c>
      <c r="AH999" s="11">
        <v>0</v>
      </c>
      <c r="AI999" s="11">
        <f t="shared" si="47"/>
        <v>24.38</v>
      </c>
      <c r="AJ999" t="s">
        <v>55</v>
      </c>
    </row>
    <row r="1000" spans="1:36" ht="15" customHeight="1" x14ac:dyDescent="0.35">
      <c r="A1000">
        <v>10428918</v>
      </c>
      <c r="B1000" t="s">
        <v>36</v>
      </c>
      <c r="C1000" t="s">
        <v>37</v>
      </c>
      <c r="D1000" s="6" t="s">
        <v>38</v>
      </c>
      <c r="E1000" t="s">
        <v>3069</v>
      </c>
      <c r="F1000" t="s">
        <v>40</v>
      </c>
      <c r="G1000" t="s">
        <v>41</v>
      </c>
      <c r="H1000" t="s">
        <v>3070</v>
      </c>
      <c r="I1000" t="s">
        <v>43</v>
      </c>
      <c r="J1000">
        <v>2</v>
      </c>
      <c r="K1000" t="s">
        <v>44</v>
      </c>
      <c r="L1000" t="s">
        <v>45</v>
      </c>
      <c r="M1000" t="s">
        <v>46</v>
      </c>
      <c r="N1000" s="7">
        <v>1</v>
      </c>
      <c r="O1000" s="8">
        <v>45629.715439814812</v>
      </c>
      <c r="P1000" s="9">
        <v>45630</v>
      </c>
      <c r="Q1000" t="s">
        <v>74</v>
      </c>
      <c r="R1000" t="s">
        <v>48</v>
      </c>
      <c r="S1000" t="s">
        <v>49</v>
      </c>
      <c r="T1000" t="s">
        <v>117</v>
      </c>
      <c r="U1000" t="s">
        <v>3071</v>
      </c>
      <c r="V1000">
        <v>40150</v>
      </c>
      <c r="W1000" t="s">
        <v>48</v>
      </c>
      <c r="X1000" t="s">
        <v>305</v>
      </c>
      <c r="Y1000" t="s">
        <v>54</v>
      </c>
      <c r="Z1000" s="12">
        <f>IF(N1000&lt;=1,9,9+0.8*ROUNDUP(N1000-1,0))</f>
        <v>9</v>
      </c>
      <c r="AA1000" s="11">
        <v>-2</v>
      </c>
      <c r="AB1000" s="11">
        <v>0</v>
      </c>
      <c r="AC1000" s="11">
        <v>0</v>
      </c>
      <c r="AD1000" s="11">
        <v>0</v>
      </c>
      <c r="AE1000" s="11">
        <v>0</v>
      </c>
      <c r="AF1000" s="11">
        <f t="shared" si="45"/>
        <v>0.42</v>
      </c>
      <c r="AG1000" s="11">
        <f t="shared" si="46"/>
        <v>7.42</v>
      </c>
      <c r="AH1000" s="11">
        <v>0</v>
      </c>
      <c r="AI1000" s="11">
        <f t="shared" si="47"/>
        <v>7.42</v>
      </c>
      <c r="AJ1000" t="s">
        <v>62</v>
      </c>
    </row>
    <row r="1001" spans="1:36" ht="15" customHeight="1" x14ac:dyDescent="0.35">
      <c r="A1001">
        <v>10428918</v>
      </c>
      <c r="B1001" t="s">
        <v>36</v>
      </c>
      <c r="C1001" t="s">
        <v>37</v>
      </c>
      <c r="D1001" s="6" t="s">
        <v>38</v>
      </c>
      <c r="E1001" t="s">
        <v>3072</v>
      </c>
      <c r="F1001" t="s">
        <v>40</v>
      </c>
      <c r="G1001" t="s">
        <v>41</v>
      </c>
      <c r="H1001" t="s">
        <v>849</v>
      </c>
      <c r="I1001" t="s">
        <v>43</v>
      </c>
      <c r="J1001">
        <v>2</v>
      </c>
      <c r="K1001" t="s">
        <v>44</v>
      </c>
      <c r="L1001" t="s">
        <v>45</v>
      </c>
      <c r="M1001" t="s">
        <v>46</v>
      </c>
      <c r="N1001" s="7">
        <v>9</v>
      </c>
      <c r="O1001" s="8">
        <v>45626.777048611111</v>
      </c>
      <c r="P1001" s="9">
        <v>45630</v>
      </c>
      <c r="Q1001" t="s">
        <v>74</v>
      </c>
      <c r="R1001" t="s">
        <v>48</v>
      </c>
      <c r="S1001" t="s">
        <v>49</v>
      </c>
      <c r="T1001" t="s">
        <v>75</v>
      </c>
      <c r="U1001" t="s">
        <v>2118</v>
      </c>
      <c r="V1001">
        <v>39100</v>
      </c>
      <c r="W1001" t="s">
        <v>48</v>
      </c>
      <c r="X1001" t="s">
        <v>851</v>
      </c>
      <c r="Y1001" t="s">
        <v>54</v>
      </c>
      <c r="Z1001" s="12">
        <f>IF(N1001&lt;=1,9,9+0.8*ROUNDUP(N1001-1,0))</f>
        <v>15.4</v>
      </c>
      <c r="AA1001" s="11">
        <v>-2</v>
      </c>
      <c r="AB1001" s="11">
        <v>0</v>
      </c>
      <c r="AC1001" s="11">
        <v>0</v>
      </c>
      <c r="AD1001" s="11">
        <v>0</v>
      </c>
      <c r="AE1001" s="11">
        <v>0</v>
      </c>
      <c r="AF1001" s="11">
        <f t="shared" si="45"/>
        <v>0.80399999999999994</v>
      </c>
      <c r="AG1001" s="11">
        <f t="shared" si="46"/>
        <v>14.204000000000001</v>
      </c>
      <c r="AH1001" s="11">
        <v>0</v>
      </c>
      <c r="AI1001" s="11">
        <f t="shared" si="47"/>
        <v>14.204000000000001</v>
      </c>
      <c r="AJ1001" t="s">
        <v>62</v>
      </c>
    </row>
    <row r="1002" spans="1:36" ht="15" customHeight="1" x14ac:dyDescent="0.35">
      <c r="A1002">
        <v>10428918</v>
      </c>
      <c r="B1002" t="s">
        <v>36</v>
      </c>
      <c r="C1002" t="s">
        <v>37</v>
      </c>
      <c r="D1002" s="6" t="s">
        <v>38</v>
      </c>
      <c r="E1002" t="s">
        <v>3073</v>
      </c>
      <c r="F1002" t="s">
        <v>40</v>
      </c>
      <c r="G1002" t="s">
        <v>41</v>
      </c>
      <c r="H1002" t="s">
        <v>849</v>
      </c>
      <c r="I1002" t="s">
        <v>43</v>
      </c>
      <c r="J1002">
        <v>2</v>
      </c>
      <c r="K1002" t="s">
        <v>44</v>
      </c>
      <c r="L1002" t="s">
        <v>45</v>
      </c>
      <c r="M1002" t="s">
        <v>46</v>
      </c>
      <c r="N1002" s="7">
        <v>4</v>
      </c>
      <c r="O1002" s="8">
        <v>45626.777048611111</v>
      </c>
      <c r="P1002" s="9">
        <v>45630</v>
      </c>
      <c r="Q1002" t="s">
        <v>74</v>
      </c>
      <c r="R1002" t="s">
        <v>48</v>
      </c>
      <c r="S1002" t="s">
        <v>49</v>
      </c>
      <c r="T1002" t="s">
        <v>75</v>
      </c>
      <c r="U1002" t="s">
        <v>2118</v>
      </c>
      <c r="V1002">
        <v>39100</v>
      </c>
      <c r="W1002" t="s">
        <v>48</v>
      </c>
      <c r="X1002" t="s">
        <v>53</v>
      </c>
      <c r="Y1002" t="s">
        <v>54</v>
      </c>
      <c r="Z1002" s="12">
        <f>IF(N1002&lt;=1,9,9+0.8*ROUNDUP(N1002-1,0))</f>
        <v>11.4</v>
      </c>
      <c r="AA1002" s="11">
        <v>-2</v>
      </c>
      <c r="AB1002" s="11">
        <v>0</v>
      </c>
      <c r="AC1002" s="11">
        <v>0</v>
      </c>
      <c r="AD1002" s="11">
        <v>0</v>
      </c>
      <c r="AE1002" s="11">
        <v>0</v>
      </c>
      <c r="AF1002" s="11">
        <f t="shared" si="45"/>
        <v>0.56399999999999995</v>
      </c>
      <c r="AG1002" s="11">
        <f t="shared" si="46"/>
        <v>9.9640000000000004</v>
      </c>
      <c r="AH1002" s="11">
        <v>0</v>
      </c>
      <c r="AI1002" s="11">
        <f t="shared" si="47"/>
        <v>9.9640000000000004</v>
      </c>
      <c r="AJ1002" t="s">
        <v>62</v>
      </c>
    </row>
    <row r="1003" spans="1:36" ht="15" customHeight="1" x14ac:dyDescent="0.35">
      <c r="A1003">
        <v>10428918</v>
      </c>
      <c r="B1003" t="s">
        <v>36</v>
      </c>
      <c r="C1003" t="s">
        <v>37</v>
      </c>
      <c r="D1003" s="6" t="s">
        <v>38</v>
      </c>
      <c r="E1003" t="s">
        <v>3074</v>
      </c>
      <c r="F1003" t="s">
        <v>40</v>
      </c>
      <c r="G1003" t="s">
        <v>41</v>
      </c>
      <c r="H1003" t="s">
        <v>3075</v>
      </c>
      <c r="I1003" t="s">
        <v>43</v>
      </c>
      <c r="J1003">
        <v>2</v>
      </c>
      <c r="K1003" t="s">
        <v>44</v>
      </c>
      <c r="L1003" t="s">
        <v>45</v>
      </c>
      <c r="M1003" t="s">
        <v>46</v>
      </c>
      <c r="N1003" s="7">
        <v>2</v>
      </c>
      <c r="O1003" s="8">
        <v>45623.768784722219</v>
      </c>
      <c r="P1003" s="9">
        <v>45630</v>
      </c>
      <c r="Q1003" t="s">
        <v>74</v>
      </c>
      <c r="R1003" t="s">
        <v>48</v>
      </c>
      <c r="S1003" t="s">
        <v>49</v>
      </c>
      <c r="T1003" t="s">
        <v>101</v>
      </c>
      <c r="U1003" t="s">
        <v>3076</v>
      </c>
      <c r="V1003">
        <v>34140</v>
      </c>
      <c r="W1003" t="s">
        <v>48</v>
      </c>
      <c r="X1003" t="s">
        <v>2406</v>
      </c>
      <c r="Y1003" t="s">
        <v>54</v>
      </c>
      <c r="Z1003" s="12">
        <f>IF(N1003&lt;=1,9,9+0.8*ROUNDUP(N1003-1,0))</f>
        <v>9.8000000000000007</v>
      </c>
      <c r="AA1003" s="11">
        <v>-2</v>
      </c>
      <c r="AB1003" s="11">
        <v>0</v>
      </c>
      <c r="AC1003" s="11">
        <v>0</v>
      </c>
      <c r="AD1003" s="11">
        <v>0</v>
      </c>
      <c r="AE1003" s="11">
        <v>0</v>
      </c>
      <c r="AF1003" s="11">
        <f t="shared" si="45"/>
        <v>0.46800000000000003</v>
      </c>
      <c r="AG1003" s="11">
        <f t="shared" si="46"/>
        <v>8.2680000000000007</v>
      </c>
      <c r="AH1003" s="11">
        <v>0</v>
      </c>
      <c r="AI1003" s="11">
        <f t="shared" si="47"/>
        <v>8.2680000000000007</v>
      </c>
      <c r="AJ1003" t="s">
        <v>62</v>
      </c>
    </row>
    <row r="1004" spans="1:36" ht="15" customHeight="1" x14ac:dyDescent="0.35">
      <c r="A1004">
        <v>10428918</v>
      </c>
      <c r="B1004" t="s">
        <v>36</v>
      </c>
      <c r="C1004" t="s">
        <v>37</v>
      </c>
      <c r="D1004" s="6" t="s">
        <v>38</v>
      </c>
      <c r="E1004" t="s">
        <v>3077</v>
      </c>
      <c r="F1004" t="s">
        <v>40</v>
      </c>
      <c r="G1004" t="s">
        <v>41</v>
      </c>
      <c r="H1004" t="s">
        <v>3078</v>
      </c>
      <c r="I1004" t="s">
        <v>43</v>
      </c>
      <c r="J1004">
        <v>2</v>
      </c>
      <c r="K1004" t="s">
        <v>44</v>
      </c>
      <c r="L1004" t="s">
        <v>45</v>
      </c>
      <c r="M1004" t="s">
        <v>46</v>
      </c>
      <c r="N1004" s="7">
        <v>1</v>
      </c>
      <c r="O1004" s="8">
        <v>45629.746006944442</v>
      </c>
      <c r="P1004" s="9">
        <v>45630</v>
      </c>
      <c r="Q1004" t="s">
        <v>74</v>
      </c>
      <c r="R1004" t="s">
        <v>48</v>
      </c>
      <c r="S1004" t="s">
        <v>49</v>
      </c>
      <c r="T1004" t="s">
        <v>117</v>
      </c>
      <c r="U1004" t="s">
        <v>3079</v>
      </c>
      <c r="V1004">
        <v>43700</v>
      </c>
      <c r="W1004" t="s">
        <v>48</v>
      </c>
      <c r="X1004" t="s">
        <v>398</v>
      </c>
      <c r="Y1004" t="s">
        <v>54</v>
      </c>
      <c r="Z1004" s="12">
        <f>IF(N1004&lt;=1,9,9+0.8*ROUNDUP(N1004-1,0))</f>
        <v>9</v>
      </c>
      <c r="AA1004" s="11">
        <v>-2</v>
      </c>
      <c r="AB1004" s="11">
        <v>0</v>
      </c>
      <c r="AC1004" s="11">
        <v>0</v>
      </c>
      <c r="AD1004" s="11">
        <v>0</v>
      </c>
      <c r="AE1004" s="11">
        <v>0</v>
      </c>
      <c r="AF1004" s="11">
        <f t="shared" si="45"/>
        <v>0.42</v>
      </c>
      <c r="AG1004" s="11">
        <f t="shared" si="46"/>
        <v>7.42</v>
      </c>
      <c r="AH1004" s="11">
        <v>0</v>
      </c>
      <c r="AI1004" s="11">
        <f t="shared" si="47"/>
        <v>7.42</v>
      </c>
      <c r="AJ1004" t="s">
        <v>62</v>
      </c>
    </row>
    <row r="1005" spans="1:36" ht="15" customHeight="1" x14ac:dyDescent="0.35">
      <c r="A1005">
        <v>10428918</v>
      </c>
      <c r="B1005" t="s">
        <v>36</v>
      </c>
      <c r="C1005" t="s">
        <v>37</v>
      </c>
      <c r="D1005" s="6" t="s">
        <v>38</v>
      </c>
      <c r="E1005" t="s">
        <v>3080</v>
      </c>
      <c r="F1005" t="s">
        <v>40</v>
      </c>
      <c r="G1005" t="s">
        <v>41</v>
      </c>
      <c r="H1005" t="s">
        <v>3081</v>
      </c>
      <c r="I1005" t="s">
        <v>43</v>
      </c>
      <c r="J1005">
        <v>2</v>
      </c>
      <c r="K1005" t="s">
        <v>44</v>
      </c>
      <c r="L1005" t="s">
        <v>45</v>
      </c>
      <c r="M1005" t="s">
        <v>46</v>
      </c>
      <c r="N1005" s="7">
        <v>1</v>
      </c>
      <c r="O1005" s="8">
        <v>45628.796712962961</v>
      </c>
      <c r="P1005" s="9">
        <v>45630</v>
      </c>
      <c r="Q1005" t="s">
        <v>74</v>
      </c>
      <c r="R1005" t="s">
        <v>48</v>
      </c>
      <c r="S1005" t="s">
        <v>49</v>
      </c>
      <c r="T1005" t="s">
        <v>90</v>
      </c>
      <c r="U1005" t="s">
        <v>3082</v>
      </c>
      <c r="V1005">
        <v>21600</v>
      </c>
      <c r="W1005" t="s">
        <v>48</v>
      </c>
      <c r="X1005" t="s">
        <v>92</v>
      </c>
      <c r="Y1005" t="s">
        <v>54</v>
      </c>
      <c r="Z1005" s="12">
        <f>IF(N1005&lt;=1,9,9+0.8*ROUNDUP(N1005-1,0))</f>
        <v>9</v>
      </c>
      <c r="AA1005" s="11">
        <v>-2</v>
      </c>
      <c r="AB1005" s="11">
        <v>0</v>
      </c>
      <c r="AC1005" s="11">
        <v>0</v>
      </c>
      <c r="AD1005" s="11">
        <v>0</v>
      </c>
      <c r="AE1005" s="11">
        <v>0</v>
      </c>
      <c r="AF1005" s="11">
        <f t="shared" si="45"/>
        <v>0.42</v>
      </c>
      <c r="AG1005" s="11">
        <f t="shared" si="46"/>
        <v>7.42</v>
      </c>
      <c r="AH1005" s="11">
        <v>0</v>
      </c>
      <c r="AI1005" s="11">
        <f t="shared" si="47"/>
        <v>7.42</v>
      </c>
      <c r="AJ1005" t="s">
        <v>62</v>
      </c>
    </row>
    <row r="1006" spans="1:36" ht="15" customHeight="1" x14ac:dyDescent="0.35">
      <c r="A1006">
        <v>10428918</v>
      </c>
      <c r="B1006" t="s">
        <v>36</v>
      </c>
      <c r="C1006" t="s">
        <v>37</v>
      </c>
      <c r="D1006" s="6" t="s">
        <v>38</v>
      </c>
      <c r="E1006" t="s">
        <v>3083</v>
      </c>
      <c r="F1006" t="s">
        <v>40</v>
      </c>
      <c r="G1006" t="s">
        <v>41</v>
      </c>
      <c r="H1006" t="s">
        <v>3084</v>
      </c>
      <c r="I1006" t="s">
        <v>43</v>
      </c>
      <c r="J1006">
        <v>2</v>
      </c>
      <c r="K1006" t="s">
        <v>44</v>
      </c>
      <c r="L1006" t="s">
        <v>45</v>
      </c>
      <c r="M1006" t="s">
        <v>46</v>
      </c>
      <c r="N1006" s="7">
        <v>1</v>
      </c>
      <c r="O1006" s="8">
        <v>45628.820972222224</v>
      </c>
      <c r="P1006" s="9">
        <v>45630</v>
      </c>
      <c r="Q1006" t="s">
        <v>74</v>
      </c>
      <c r="R1006" t="s">
        <v>48</v>
      </c>
      <c r="S1006" t="s">
        <v>49</v>
      </c>
      <c r="T1006" t="s">
        <v>75</v>
      </c>
      <c r="U1006" t="s">
        <v>3085</v>
      </c>
      <c r="V1006">
        <v>25150</v>
      </c>
      <c r="W1006" t="s">
        <v>48</v>
      </c>
      <c r="X1006" t="s">
        <v>77</v>
      </c>
      <c r="Y1006" t="s">
        <v>54</v>
      </c>
      <c r="Z1006" s="12">
        <f>IF(N1006&lt;=1,9,9+0.8*ROUNDUP(N1006-1,0))</f>
        <v>9</v>
      </c>
      <c r="AA1006" s="11">
        <v>-2</v>
      </c>
      <c r="AB1006" s="11">
        <v>0</v>
      </c>
      <c r="AC1006" s="11">
        <v>0</v>
      </c>
      <c r="AD1006" s="11">
        <v>0</v>
      </c>
      <c r="AE1006" s="11">
        <v>0</v>
      </c>
      <c r="AF1006" s="11">
        <f t="shared" si="45"/>
        <v>0.42</v>
      </c>
      <c r="AG1006" s="11">
        <f t="shared" si="46"/>
        <v>7.42</v>
      </c>
      <c r="AH1006" s="11">
        <v>0</v>
      </c>
      <c r="AI1006" s="11">
        <f t="shared" si="47"/>
        <v>7.42</v>
      </c>
      <c r="AJ1006" t="s">
        <v>62</v>
      </c>
    </row>
    <row r="1007" spans="1:36" ht="15" customHeight="1" x14ac:dyDescent="0.35">
      <c r="A1007">
        <v>10428918</v>
      </c>
      <c r="B1007" t="s">
        <v>36</v>
      </c>
      <c r="C1007" t="s">
        <v>37</v>
      </c>
      <c r="D1007" s="6" t="s">
        <v>38</v>
      </c>
      <c r="E1007" t="s">
        <v>3086</v>
      </c>
      <c r="F1007" t="s">
        <v>40</v>
      </c>
      <c r="G1007" t="s">
        <v>41</v>
      </c>
      <c r="H1007" t="s">
        <v>3087</v>
      </c>
      <c r="I1007" t="s">
        <v>43</v>
      </c>
      <c r="J1007">
        <v>2</v>
      </c>
      <c r="K1007" t="s">
        <v>44</v>
      </c>
      <c r="L1007" t="s">
        <v>45</v>
      </c>
      <c r="M1007" t="s">
        <v>46</v>
      </c>
      <c r="N1007" s="7">
        <v>2</v>
      </c>
      <c r="O1007" s="8">
        <v>45628.820972222224</v>
      </c>
      <c r="P1007" s="9">
        <v>45630</v>
      </c>
      <c r="Q1007" t="s">
        <v>74</v>
      </c>
      <c r="R1007" t="s">
        <v>48</v>
      </c>
      <c r="S1007" t="s">
        <v>49</v>
      </c>
      <c r="T1007" t="s">
        <v>90</v>
      </c>
      <c r="U1007" t="s">
        <v>3088</v>
      </c>
      <c r="V1007">
        <v>24100</v>
      </c>
      <c r="W1007" t="s">
        <v>48</v>
      </c>
      <c r="X1007" t="s">
        <v>77</v>
      </c>
      <c r="Y1007" t="s">
        <v>54</v>
      </c>
      <c r="Z1007" s="12">
        <f>IF(N1007&lt;=1,9,9+0.8*ROUNDUP(N1007-1,0))</f>
        <v>9.8000000000000007</v>
      </c>
      <c r="AA1007" s="11">
        <v>-2</v>
      </c>
      <c r="AB1007" s="11">
        <v>0</v>
      </c>
      <c r="AC1007" s="11">
        <v>0</v>
      </c>
      <c r="AD1007" s="11">
        <v>0</v>
      </c>
      <c r="AE1007" s="11">
        <v>0</v>
      </c>
      <c r="AF1007" s="11">
        <f t="shared" si="45"/>
        <v>0.46800000000000003</v>
      </c>
      <c r="AG1007" s="11">
        <f t="shared" si="46"/>
        <v>8.2680000000000007</v>
      </c>
      <c r="AH1007" s="11">
        <v>0</v>
      </c>
      <c r="AI1007" s="11">
        <f t="shared" si="47"/>
        <v>8.2680000000000007</v>
      </c>
      <c r="AJ1007" t="s">
        <v>62</v>
      </c>
    </row>
    <row r="1008" spans="1:36" ht="15" customHeight="1" x14ac:dyDescent="0.35">
      <c r="A1008">
        <v>10428918</v>
      </c>
      <c r="B1008" t="s">
        <v>36</v>
      </c>
      <c r="C1008" t="s">
        <v>37</v>
      </c>
      <c r="D1008" s="6" t="s">
        <v>38</v>
      </c>
      <c r="E1008" t="s">
        <v>3089</v>
      </c>
      <c r="F1008" t="s">
        <v>40</v>
      </c>
      <c r="G1008" t="s">
        <v>41</v>
      </c>
      <c r="H1008" t="s">
        <v>3090</v>
      </c>
      <c r="I1008" t="s">
        <v>43</v>
      </c>
      <c r="J1008">
        <v>2</v>
      </c>
      <c r="K1008" t="s">
        <v>44</v>
      </c>
      <c r="L1008" t="s">
        <v>45</v>
      </c>
      <c r="M1008" t="s">
        <v>46</v>
      </c>
      <c r="N1008" s="7">
        <v>17</v>
      </c>
      <c r="O1008" s="8">
        <v>45628.619317129633</v>
      </c>
      <c r="P1008" s="9">
        <v>45630</v>
      </c>
      <c r="Q1008" t="s">
        <v>74</v>
      </c>
      <c r="R1008" t="s">
        <v>48</v>
      </c>
      <c r="S1008" t="s">
        <v>49</v>
      </c>
      <c r="T1008" t="s">
        <v>101</v>
      </c>
      <c r="U1008" t="s">
        <v>3091</v>
      </c>
      <c r="V1008">
        <v>32040</v>
      </c>
      <c r="W1008" t="s">
        <v>48</v>
      </c>
      <c r="X1008" t="s">
        <v>1120</v>
      </c>
      <c r="Y1008" t="s">
        <v>54</v>
      </c>
      <c r="Z1008" s="12">
        <f>IF(N1008&lt;=1,9,9+0.8*ROUNDUP(N1008-1,0))</f>
        <v>21.8</v>
      </c>
      <c r="AA1008" s="11">
        <v>-2</v>
      </c>
      <c r="AB1008" s="11">
        <v>0</v>
      </c>
      <c r="AC1008" s="11">
        <v>0</v>
      </c>
      <c r="AD1008" s="11">
        <v>0</v>
      </c>
      <c r="AE1008" s="11">
        <v>0</v>
      </c>
      <c r="AF1008" s="11">
        <f t="shared" si="45"/>
        <v>1.1879999999999999</v>
      </c>
      <c r="AG1008" s="11">
        <f t="shared" si="46"/>
        <v>20.988</v>
      </c>
      <c r="AH1008" s="11">
        <v>0</v>
      </c>
      <c r="AI1008" s="11">
        <f t="shared" si="47"/>
        <v>20.988</v>
      </c>
      <c r="AJ1008" t="s">
        <v>62</v>
      </c>
    </row>
    <row r="1009" spans="1:36" ht="15" customHeight="1" x14ac:dyDescent="0.35">
      <c r="A1009">
        <v>10428918</v>
      </c>
      <c r="B1009" t="s">
        <v>36</v>
      </c>
      <c r="C1009" t="s">
        <v>37</v>
      </c>
      <c r="D1009" s="6" t="s">
        <v>38</v>
      </c>
      <c r="E1009" t="s">
        <v>3092</v>
      </c>
      <c r="F1009" t="s">
        <v>40</v>
      </c>
      <c r="G1009" t="s">
        <v>41</v>
      </c>
      <c r="H1009" t="s">
        <v>3093</v>
      </c>
      <c r="I1009" t="s">
        <v>43</v>
      </c>
      <c r="J1009">
        <v>2</v>
      </c>
      <c r="K1009" t="s">
        <v>44</v>
      </c>
      <c r="L1009" t="s">
        <v>45</v>
      </c>
      <c r="M1009" t="s">
        <v>46</v>
      </c>
      <c r="N1009" s="7">
        <v>1</v>
      </c>
      <c r="O1009" s="8">
        <v>45629.441863425927</v>
      </c>
      <c r="P1009" s="9">
        <v>45631</v>
      </c>
      <c r="Q1009" t="s">
        <v>74</v>
      </c>
      <c r="R1009" t="s">
        <v>48</v>
      </c>
      <c r="S1009" t="s">
        <v>49</v>
      </c>
      <c r="T1009" t="s">
        <v>80</v>
      </c>
      <c r="U1009" t="s">
        <v>3094</v>
      </c>
      <c r="V1009">
        <v>8600</v>
      </c>
      <c r="W1009" t="s">
        <v>48</v>
      </c>
      <c r="X1009" t="s">
        <v>145</v>
      </c>
      <c r="Y1009" t="s">
        <v>54</v>
      </c>
      <c r="Z1009" s="12">
        <f>IF(N1009&lt;=1,9,9+0.8*ROUNDUP(N1009-1,0))</f>
        <v>9</v>
      </c>
      <c r="AA1009" s="11">
        <v>-2</v>
      </c>
      <c r="AB1009" s="11">
        <v>0</v>
      </c>
      <c r="AC1009" s="11">
        <v>0</v>
      </c>
      <c r="AD1009" s="11">
        <v>0</v>
      </c>
      <c r="AE1009" s="11">
        <v>0</v>
      </c>
      <c r="AF1009" s="11">
        <f t="shared" si="45"/>
        <v>0.42</v>
      </c>
      <c r="AG1009" s="11">
        <f t="shared" si="46"/>
        <v>7.42</v>
      </c>
      <c r="AH1009" s="11">
        <v>0</v>
      </c>
      <c r="AI1009" s="11">
        <f t="shared" si="47"/>
        <v>7.42</v>
      </c>
      <c r="AJ1009" t="s">
        <v>62</v>
      </c>
    </row>
    <row r="1010" spans="1:36" ht="15" customHeight="1" x14ac:dyDescent="0.35">
      <c r="A1010">
        <v>10428918</v>
      </c>
      <c r="B1010" t="s">
        <v>36</v>
      </c>
      <c r="C1010" t="s">
        <v>37</v>
      </c>
      <c r="D1010" s="6" t="s">
        <v>38</v>
      </c>
      <c r="E1010" t="s">
        <v>3095</v>
      </c>
      <c r="F1010" t="s">
        <v>40</v>
      </c>
      <c r="G1010" t="s">
        <v>41</v>
      </c>
      <c r="H1010" t="s">
        <v>3096</v>
      </c>
      <c r="I1010" t="s">
        <v>43</v>
      </c>
      <c r="J1010">
        <v>2</v>
      </c>
      <c r="K1010" t="s">
        <v>44</v>
      </c>
      <c r="L1010" t="s">
        <v>45</v>
      </c>
      <c r="M1010" t="s">
        <v>46</v>
      </c>
      <c r="N1010" s="7">
        <v>1</v>
      </c>
      <c r="O1010" s="8">
        <v>45629.775983796295</v>
      </c>
      <c r="P1010" s="9">
        <v>45631</v>
      </c>
      <c r="Q1010" t="s">
        <v>74</v>
      </c>
      <c r="R1010" t="s">
        <v>48</v>
      </c>
      <c r="S1010" t="s">
        <v>49</v>
      </c>
      <c r="T1010" t="s">
        <v>65</v>
      </c>
      <c r="U1010" t="s">
        <v>3097</v>
      </c>
      <c r="V1010">
        <v>76400</v>
      </c>
      <c r="W1010" t="s">
        <v>48</v>
      </c>
      <c r="X1010" t="s">
        <v>406</v>
      </c>
      <c r="Y1010" t="s">
        <v>54</v>
      </c>
      <c r="Z1010" s="12">
        <f>IF(N1010&lt;=1,9,9+0.8*ROUNDUP(N1010-1,0))</f>
        <v>9</v>
      </c>
      <c r="AA1010" s="11">
        <v>-2</v>
      </c>
      <c r="AB1010" s="11">
        <v>0</v>
      </c>
      <c r="AC1010" s="11">
        <v>0</v>
      </c>
      <c r="AD1010" s="11">
        <v>0</v>
      </c>
      <c r="AE1010" s="11">
        <v>0</v>
      </c>
      <c r="AF1010" s="11">
        <f t="shared" si="45"/>
        <v>0.42</v>
      </c>
      <c r="AG1010" s="11">
        <f t="shared" si="46"/>
        <v>7.42</v>
      </c>
      <c r="AH1010" s="11">
        <v>0</v>
      </c>
      <c r="AI1010" s="11">
        <f t="shared" si="47"/>
        <v>7.42</v>
      </c>
      <c r="AJ1010" t="s">
        <v>62</v>
      </c>
    </row>
    <row r="1011" spans="1:36" ht="15" customHeight="1" x14ac:dyDescent="0.35">
      <c r="A1011">
        <v>10428918</v>
      </c>
      <c r="B1011" t="s">
        <v>36</v>
      </c>
      <c r="C1011" t="s">
        <v>37</v>
      </c>
      <c r="D1011" s="6" t="s">
        <v>38</v>
      </c>
      <c r="E1011" t="s">
        <v>3098</v>
      </c>
      <c r="F1011" t="s">
        <v>40</v>
      </c>
      <c r="G1011" t="s">
        <v>41</v>
      </c>
      <c r="H1011" t="s">
        <v>3099</v>
      </c>
      <c r="I1011" t="s">
        <v>43</v>
      </c>
      <c r="J1011">
        <v>2</v>
      </c>
      <c r="K1011" t="s">
        <v>44</v>
      </c>
      <c r="L1011" t="s">
        <v>45</v>
      </c>
      <c r="M1011" t="s">
        <v>46</v>
      </c>
      <c r="N1011" s="7">
        <v>1</v>
      </c>
      <c r="O1011" s="8">
        <v>45630.419490740744</v>
      </c>
      <c r="P1011" s="9">
        <v>45631</v>
      </c>
      <c r="Q1011" t="s">
        <v>74</v>
      </c>
      <c r="R1011" t="s">
        <v>48</v>
      </c>
      <c r="S1011" t="s">
        <v>49</v>
      </c>
      <c r="T1011" t="s">
        <v>90</v>
      </c>
      <c r="U1011" t="s">
        <v>3100</v>
      </c>
      <c r="V1011">
        <v>21700</v>
      </c>
      <c r="W1011" t="s">
        <v>48</v>
      </c>
      <c r="X1011" t="s">
        <v>92</v>
      </c>
      <c r="Y1011" t="s">
        <v>54</v>
      </c>
      <c r="Z1011" s="12">
        <f>IF(N1011&lt;=1,9,9+0.8*ROUNDUP(N1011-1,0))</f>
        <v>9</v>
      </c>
      <c r="AA1011" s="11">
        <v>-2</v>
      </c>
      <c r="AB1011" s="11">
        <v>0</v>
      </c>
      <c r="AC1011" s="11">
        <v>0</v>
      </c>
      <c r="AD1011" s="11">
        <v>0</v>
      </c>
      <c r="AE1011" s="11">
        <v>0</v>
      </c>
      <c r="AF1011" s="11">
        <f t="shared" si="45"/>
        <v>0.42</v>
      </c>
      <c r="AG1011" s="11">
        <f t="shared" si="46"/>
        <v>7.42</v>
      </c>
      <c r="AH1011" s="11">
        <v>0</v>
      </c>
      <c r="AI1011" s="11">
        <f t="shared" si="47"/>
        <v>7.42</v>
      </c>
      <c r="AJ1011" t="s">
        <v>62</v>
      </c>
    </row>
    <row r="1012" spans="1:36" ht="15" customHeight="1" x14ac:dyDescent="0.35">
      <c r="A1012">
        <v>10428918</v>
      </c>
      <c r="B1012" t="s">
        <v>36</v>
      </c>
      <c r="C1012" t="s">
        <v>37</v>
      </c>
      <c r="D1012" s="6" t="s">
        <v>38</v>
      </c>
      <c r="E1012" t="s">
        <v>3101</v>
      </c>
      <c r="F1012" t="s">
        <v>40</v>
      </c>
      <c r="G1012" t="s">
        <v>41</v>
      </c>
      <c r="H1012" t="s">
        <v>3102</v>
      </c>
      <c r="I1012" t="s">
        <v>43</v>
      </c>
      <c r="J1012">
        <v>2</v>
      </c>
      <c r="K1012" t="s">
        <v>44</v>
      </c>
      <c r="L1012" t="s">
        <v>45</v>
      </c>
      <c r="M1012" t="s">
        <v>46</v>
      </c>
      <c r="N1012" s="7">
        <v>2</v>
      </c>
      <c r="O1012" s="8">
        <v>45627.432662037034</v>
      </c>
      <c r="P1012" s="9">
        <v>45631</v>
      </c>
      <c r="Q1012" t="s">
        <v>74</v>
      </c>
      <c r="R1012" t="s">
        <v>48</v>
      </c>
      <c r="S1012" t="s">
        <v>49</v>
      </c>
      <c r="T1012" t="s">
        <v>80</v>
      </c>
      <c r="U1012" t="s">
        <v>3103</v>
      </c>
      <c r="V1012">
        <v>6700</v>
      </c>
      <c r="W1012" t="s">
        <v>48</v>
      </c>
      <c r="X1012" t="s">
        <v>670</v>
      </c>
      <c r="Y1012" t="s">
        <v>54</v>
      </c>
      <c r="Z1012" s="12">
        <f>IF(N1012&lt;=1,9,9+0.8*ROUNDUP(N1012-1,0))</f>
        <v>9.8000000000000007</v>
      </c>
      <c r="AA1012" s="11">
        <v>-2</v>
      </c>
      <c r="AB1012" s="11">
        <v>0</v>
      </c>
      <c r="AC1012" s="11">
        <v>0</v>
      </c>
      <c r="AD1012" s="11">
        <v>0</v>
      </c>
      <c r="AE1012" s="11">
        <v>0</v>
      </c>
      <c r="AF1012" s="11">
        <f t="shared" si="45"/>
        <v>0.46800000000000003</v>
      </c>
      <c r="AG1012" s="11">
        <f t="shared" si="46"/>
        <v>8.2680000000000007</v>
      </c>
      <c r="AH1012" s="11">
        <v>0</v>
      </c>
      <c r="AI1012" s="11">
        <f t="shared" si="47"/>
        <v>8.2680000000000007</v>
      </c>
      <c r="AJ1012" t="s">
        <v>62</v>
      </c>
    </row>
    <row r="1013" spans="1:36" ht="15" customHeight="1" x14ac:dyDescent="0.35">
      <c r="A1013">
        <v>10428918</v>
      </c>
      <c r="B1013" t="s">
        <v>36</v>
      </c>
      <c r="C1013" t="s">
        <v>37</v>
      </c>
      <c r="D1013" s="6" t="s">
        <v>38</v>
      </c>
      <c r="E1013" t="s">
        <v>3104</v>
      </c>
      <c r="F1013" t="s">
        <v>40</v>
      </c>
      <c r="G1013" t="s">
        <v>41</v>
      </c>
      <c r="H1013" t="s">
        <v>3105</v>
      </c>
      <c r="I1013" t="s">
        <v>43</v>
      </c>
      <c r="J1013">
        <v>2</v>
      </c>
      <c r="K1013" t="s">
        <v>44</v>
      </c>
      <c r="L1013" t="s">
        <v>45</v>
      </c>
      <c r="M1013" t="s">
        <v>46</v>
      </c>
      <c r="N1013" s="7">
        <v>2</v>
      </c>
      <c r="O1013" s="8">
        <v>45626.608298611114</v>
      </c>
      <c r="P1013" s="9">
        <v>45631</v>
      </c>
      <c r="Q1013" t="s">
        <v>74</v>
      </c>
      <c r="R1013" t="s">
        <v>48</v>
      </c>
      <c r="S1013" t="s">
        <v>49</v>
      </c>
      <c r="T1013" t="s">
        <v>50</v>
      </c>
      <c r="U1013" t="s">
        <v>3106</v>
      </c>
      <c r="V1013">
        <v>91013</v>
      </c>
      <c r="W1013" t="s">
        <v>52</v>
      </c>
      <c r="X1013" t="s">
        <v>53</v>
      </c>
      <c r="Y1013" t="s">
        <v>54</v>
      </c>
      <c r="Z1013" s="10">
        <f>IF(N1013&lt;=1,13,IF(N1013&lt;=2,23,IF(N1013&lt;=3,35,IF(N1013&lt;=4,43,IF(N1013&lt;=5,53,IF(N1013&lt;=6,63,IF(N1013&lt;=7,71,IF(N1013&lt;=8,79,IF(N1013&lt;=9,87,IF(N1013&lt;=10,95,IF(N1013&lt;=11,105,IF(N1013&lt;=12,114,IF(N1013&lt;=13,119,IF(N1013&lt;=14,127,IF(N1013&lt;=15,135,IF(N1013&lt;=16,143,IF(N1013&lt;=17,153,IF(N1013&lt;=18,163,IF(N1013&lt;=19,171,IF(N1013&lt;=20,185,IF(N1013&lt;=21,193,IF(N1013&lt;=22,201,IF(N1013&lt;=23,210,IF(N1013&lt;=24,220,IF(N1013&lt;=25,230,IF(N1013&lt;=26,240,IF(N1013&lt;=27,250,IF(N1013&lt;=28,260,IF(N1013&lt;=29,270,IF(N1013&lt;=30,280,280+10*ROUNDUP(N1013-30,0)))))))))))))))))))))))))))))))</f>
        <v>23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f t="shared" si="45"/>
        <v>1.38</v>
      </c>
      <c r="AG1013" s="11">
        <f t="shared" si="46"/>
        <v>24.38</v>
      </c>
      <c r="AH1013" s="11">
        <v>0</v>
      </c>
      <c r="AI1013" s="11">
        <f t="shared" si="47"/>
        <v>24.38</v>
      </c>
      <c r="AJ1013" t="s">
        <v>55</v>
      </c>
    </row>
    <row r="1014" spans="1:36" ht="15" customHeight="1" x14ac:dyDescent="0.35">
      <c r="A1014">
        <v>10428918</v>
      </c>
      <c r="B1014" t="s">
        <v>36</v>
      </c>
      <c r="C1014" t="s">
        <v>37</v>
      </c>
      <c r="D1014" s="6" t="s">
        <v>38</v>
      </c>
      <c r="E1014" t="s">
        <v>3107</v>
      </c>
      <c r="F1014" t="s">
        <v>40</v>
      </c>
      <c r="G1014" t="s">
        <v>41</v>
      </c>
      <c r="H1014" t="s">
        <v>3108</v>
      </c>
      <c r="I1014" t="s">
        <v>43</v>
      </c>
      <c r="J1014">
        <v>2</v>
      </c>
      <c r="K1014" t="s">
        <v>44</v>
      </c>
      <c r="L1014" t="s">
        <v>45</v>
      </c>
      <c r="M1014" t="s">
        <v>46</v>
      </c>
      <c r="N1014" s="7">
        <v>1</v>
      </c>
      <c r="O1014" s="8">
        <v>45630.591365740744</v>
      </c>
      <c r="P1014" s="9">
        <v>45631</v>
      </c>
      <c r="Q1014" t="s">
        <v>74</v>
      </c>
      <c r="R1014" t="s">
        <v>48</v>
      </c>
      <c r="S1014" t="s">
        <v>49</v>
      </c>
      <c r="T1014" t="s">
        <v>90</v>
      </c>
      <c r="U1014" t="s">
        <v>3109</v>
      </c>
      <c r="V1014">
        <v>21300</v>
      </c>
      <c r="W1014" t="s">
        <v>48</v>
      </c>
      <c r="X1014" t="s">
        <v>92</v>
      </c>
      <c r="Y1014" t="s">
        <v>54</v>
      </c>
      <c r="Z1014" s="12">
        <f>IF(N1014&lt;=1,9,9+0.8*ROUNDUP(N1014-1,0))</f>
        <v>9</v>
      </c>
      <c r="AA1014" s="11">
        <v>-2</v>
      </c>
      <c r="AB1014" s="11">
        <v>0</v>
      </c>
      <c r="AC1014" s="11">
        <v>0</v>
      </c>
      <c r="AD1014" s="11">
        <v>0</v>
      </c>
      <c r="AE1014" s="11">
        <v>0</v>
      </c>
      <c r="AF1014" s="11">
        <f t="shared" si="45"/>
        <v>0.42</v>
      </c>
      <c r="AG1014" s="11">
        <f t="shared" si="46"/>
        <v>7.42</v>
      </c>
      <c r="AH1014" s="11">
        <v>0</v>
      </c>
      <c r="AI1014" s="11">
        <f t="shared" si="47"/>
        <v>7.42</v>
      </c>
      <c r="AJ1014" t="s">
        <v>62</v>
      </c>
    </row>
    <row r="1015" spans="1:36" ht="15" customHeight="1" x14ac:dyDescent="0.35">
      <c r="A1015">
        <v>10428918</v>
      </c>
      <c r="B1015" t="s">
        <v>36</v>
      </c>
      <c r="C1015" t="s">
        <v>37</v>
      </c>
      <c r="D1015" s="6" t="s">
        <v>38</v>
      </c>
      <c r="E1015" t="s">
        <v>3110</v>
      </c>
      <c r="F1015" t="s">
        <v>40</v>
      </c>
      <c r="G1015" t="s">
        <v>41</v>
      </c>
      <c r="H1015" t="s">
        <v>3111</v>
      </c>
      <c r="I1015" t="s">
        <v>43</v>
      </c>
      <c r="J1015">
        <v>2</v>
      </c>
      <c r="K1015" t="s">
        <v>44</v>
      </c>
      <c r="L1015" t="s">
        <v>45</v>
      </c>
      <c r="M1015" t="s">
        <v>46</v>
      </c>
      <c r="N1015" s="7">
        <v>2</v>
      </c>
      <c r="O1015" s="8">
        <v>45628.815162037034</v>
      </c>
      <c r="P1015" s="9">
        <v>45631</v>
      </c>
      <c r="Q1015" t="s">
        <v>74</v>
      </c>
      <c r="R1015" t="s">
        <v>48</v>
      </c>
      <c r="S1015" t="s">
        <v>49</v>
      </c>
      <c r="T1015" t="s">
        <v>80</v>
      </c>
      <c r="U1015" t="s">
        <v>3112</v>
      </c>
      <c r="V1015">
        <v>9000</v>
      </c>
      <c r="W1015" t="s">
        <v>48</v>
      </c>
      <c r="X1015" t="s">
        <v>690</v>
      </c>
      <c r="Y1015" t="s">
        <v>54</v>
      </c>
      <c r="Z1015" s="12">
        <f>IF(N1015&lt;=1,9,9+0.8*ROUNDUP(N1015-1,0))</f>
        <v>9.8000000000000007</v>
      </c>
      <c r="AA1015" s="11">
        <v>-2</v>
      </c>
      <c r="AB1015" s="11">
        <v>0</v>
      </c>
      <c r="AC1015" s="11">
        <v>0</v>
      </c>
      <c r="AD1015" s="11">
        <v>0</v>
      </c>
      <c r="AE1015" s="11">
        <v>0</v>
      </c>
      <c r="AF1015" s="11">
        <f t="shared" si="45"/>
        <v>0.46800000000000003</v>
      </c>
      <c r="AG1015" s="11">
        <f t="shared" si="46"/>
        <v>8.2680000000000007</v>
      </c>
      <c r="AH1015" s="11">
        <v>0</v>
      </c>
      <c r="AI1015" s="11">
        <f t="shared" si="47"/>
        <v>8.2680000000000007</v>
      </c>
      <c r="AJ1015" t="s">
        <v>62</v>
      </c>
    </row>
    <row r="1016" spans="1:36" ht="15" customHeight="1" x14ac:dyDescent="0.35">
      <c r="A1016">
        <v>10428918</v>
      </c>
      <c r="B1016" t="s">
        <v>36</v>
      </c>
      <c r="C1016" t="s">
        <v>37</v>
      </c>
      <c r="D1016" s="6" t="s">
        <v>38</v>
      </c>
      <c r="E1016" t="s">
        <v>3113</v>
      </c>
      <c r="F1016" t="s">
        <v>40</v>
      </c>
      <c r="G1016" t="s">
        <v>41</v>
      </c>
      <c r="H1016" t="s">
        <v>3114</v>
      </c>
      <c r="I1016" t="s">
        <v>43</v>
      </c>
      <c r="J1016">
        <v>2</v>
      </c>
      <c r="K1016" t="s">
        <v>44</v>
      </c>
      <c r="L1016" t="s">
        <v>45</v>
      </c>
      <c r="M1016" t="s">
        <v>46</v>
      </c>
      <c r="N1016" s="7">
        <v>2</v>
      </c>
      <c r="O1016" s="8">
        <v>45629.617384259262</v>
      </c>
      <c r="P1016" s="9">
        <v>45631</v>
      </c>
      <c r="Q1016" t="s">
        <v>74</v>
      </c>
      <c r="R1016" t="s">
        <v>48</v>
      </c>
      <c r="S1016" t="s">
        <v>49</v>
      </c>
      <c r="T1016" t="s">
        <v>65</v>
      </c>
      <c r="U1016" t="s">
        <v>3115</v>
      </c>
      <c r="V1016">
        <v>77200</v>
      </c>
      <c r="W1016" t="s">
        <v>48</v>
      </c>
      <c r="X1016" t="s">
        <v>3116</v>
      </c>
      <c r="Y1016" t="s">
        <v>54</v>
      </c>
      <c r="Z1016" s="12">
        <f>IF(N1016&lt;=1,9,9+0.8*ROUNDUP(N1016-1,0))</f>
        <v>9.8000000000000007</v>
      </c>
      <c r="AA1016" s="11">
        <v>-2</v>
      </c>
      <c r="AB1016" s="11">
        <v>0</v>
      </c>
      <c r="AC1016" s="11">
        <v>0</v>
      </c>
      <c r="AD1016" s="11">
        <v>0</v>
      </c>
      <c r="AE1016" s="11">
        <v>0</v>
      </c>
      <c r="AF1016" s="11">
        <f t="shared" si="45"/>
        <v>0.46800000000000003</v>
      </c>
      <c r="AG1016" s="11">
        <f t="shared" si="46"/>
        <v>8.2680000000000007</v>
      </c>
      <c r="AH1016" s="11">
        <v>0</v>
      </c>
      <c r="AI1016" s="11">
        <f t="shared" si="47"/>
        <v>8.2680000000000007</v>
      </c>
      <c r="AJ1016" t="s">
        <v>62</v>
      </c>
    </row>
    <row r="1017" spans="1:36" ht="15" customHeight="1" x14ac:dyDescent="0.35">
      <c r="A1017">
        <v>10428918</v>
      </c>
      <c r="B1017" t="s">
        <v>36</v>
      </c>
      <c r="C1017" t="s">
        <v>37</v>
      </c>
      <c r="D1017" s="6" t="s">
        <v>38</v>
      </c>
      <c r="E1017" t="s">
        <v>3117</v>
      </c>
      <c r="F1017" t="s">
        <v>40</v>
      </c>
      <c r="G1017" t="s">
        <v>41</v>
      </c>
      <c r="H1017" t="s">
        <v>3118</v>
      </c>
      <c r="I1017" t="s">
        <v>43</v>
      </c>
      <c r="J1017">
        <v>2</v>
      </c>
      <c r="K1017" t="s">
        <v>44</v>
      </c>
      <c r="L1017" t="s">
        <v>45</v>
      </c>
      <c r="M1017" t="s">
        <v>46</v>
      </c>
      <c r="N1017" s="7">
        <v>1</v>
      </c>
      <c r="O1017" s="8">
        <v>45629.795775462961</v>
      </c>
      <c r="P1017" s="9">
        <v>45631</v>
      </c>
      <c r="Q1017" t="s">
        <v>74</v>
      </c>
      <c r="R1017" t="s">
        <v>48</v>
      </c>
      <c r="S1017" t="s">
        <v>49</v>
      </c>
      <c r="T1017" t="s">
        <v>90</v>
      </c>
      <c r="U1017" t="s">
        <v>3119</v>
      </c>
      <c r="V1017">
        <v>23100</v>
      </c>
      <c r="W1017" t="s">
        <v>48</v>
      </c>
      <c r="X1017" t="s">
        <v>92</v>
      </c>
      <c r="Y1017" t="s">
        <v>54</v>
      </c>
      <c r="Z1017" s="12">
        <f>IF(N1017&lt;=1,9,9+0.8*ROUNDUP(N1017-1,0))</f>
        <v>9</v>
      </c>
      <c r="AA1017" s="11">
        <v>-2</v>
      </c>
      <c r="AB1017" s="11">
        <v>0</v>
      </c>
      <c r="AC1017" s="11">
        <v>0</v>
      </c>
      <c r="AD1017" s="11">
        <v>0</v>
      </c>
      <c r="AE1017" s="11">
        <v>0</v>
      </c>
      <c r="AF1017" s="11">
        <f t="shared" si="45"/>
        <v>0.42</v>
      </c>
      <c r="AG1017" s="11">
        <f t="shared" si="46"/>
        <v>7.42</v>
      </c>
      <c r="AH1017" s="11">
        <v>0</v>
      </c>
      <c r="AI1017" s="11">
        <f t="shared" si="47"/>
        <v>7.42</v>
      </c>
      <c r="AJ1017" t="s">
        <v>62</v>
      </c>
    </row>
    <row r="1018" spans="1:36" ht="15" customHeight="1" x14ac:dyDescent="0.35">
      <c r="A1018">
        <v>10428918</v>
      </c>
      <c r="B1018" t="s">
        <v>36</v>
      </c>
      <c r="C1018" t="s">
        <v>37</v>
      </c>
      <c r="D1018" s="6" t="s">
        <v>38</v>
      </c>
      <c r="E1018" t="s">
        <v>3120</v>
      </c>
      <c r="F1018" t="s">
        <v>40</v>
      </c>
      <c r="G1018" t="s">
        <v>41</v>
      </c>
      <c r="H1018" t="s">
        <v>3121</v>
      </c>
      <c r="I1018" t="s">
        <v>43</v>
      </c>
      <c r="J1018">
        <v>2</v>
      </c>
      <c r="K1018" t="s">
        <v>44</v>
      </c>
      <c r="L1018" t="s">
        <v>45</v>
      </c>
      <c r="M1018" t="s">
        <v>46</v>
      </c>
      <c r="N1018" s="7">
        <v>1</v>
      </c>
      <c r="O1018" s="8">
        <v>45629.710370370369</v>
      </c>
      <c r="P1018" s="9">
        <v>45631</v>
      </c>
      <c r="Q1018" t="s">
        <v>74</v>
      </c>
      <c r="R1018" t="s">
        <v>48</v>
      </c>
      <c r="S1018" t="s">
        <v>49</v>
      </c>
      <c r="T1018" t="s">
        <v>65</v>
      </c>
      <c r="U1018" t="s">
        <v>3122</v>
      </c>
      <c r="V1018">
        <v>77000</v>
      </c>
      <c r="W1018" t="s">
        <v>48</v>
      </c>
      <c r="X1018" t="s">
        <v>53</v>
      </c>
      <c r="Y1018" t="s">
        <v>54</v>
      </c>
      <c r="Z1018" s="12">
        <f>IF(N1018&lt;=1,9,9+0.8*ROUNDUP(N1018-1,0))</f>
        <v>9</v>
      </c>
      <c r="AA1018" s="11">
        <v>-2</v>
      </c>
      <c r="AB1018" s="11">
        <v>0</v>
      </c>
      <c r="AC1018" s="11">
        <v>0</v>
      </c>
      <c r="AD1018" s="11">
        <v>0</v>
      </c>
      <c r="AE1018" s="11">
        <v>0</v>
      </c>
      <c r="AF1018" s="11">
        <f t="shared" si="45"/>
        <v>0.42</v>
      </c>
      <c r="AG1018" s="11">
        <f t="shared" si="46"/>
        <v>7.42</v>
      </c>
      <c r="AH1018" s="11">
        <v>0</v>
      </c>
      <c r="AI1018" s="11">
        <f t="shared" si="47"/>
        <v>7.42</v>
      </c>
      <c r="AJ1018" t="s">
        <v>62</v>
      </c>
    </row>
    <row r="1019" spans="1:36" ht="15" customHeight="1" x14ac:dyDescent="0.35">
      <c r="A1019">
        <v>10428918</v>
      </c>
      <c r="B1019" t="s">
        <v>36</v>
      </c>
      <c r="C1019" t="s">
        <v>37</v>
      </c>
      <c r="D1019" s="6" t="s">
        <v>38</v>
      </c>
      <c r="E1019" t="s">
        <v>3123</v>
      </c>
      <c r="F1019" t="s">
        <v>40</v>
      </c>
      <c r="G1019" t="s">
        <v>41</v>
      </c>
      <c r="H1019" t="s">
        <v>261</v>
      </c>
      <c r="I1019" t="s">
        <v>43</v>
      </c>
      <c r="J1019">
        <v>2</v>
      </c>
      <c r="K1019" t="s">
        <v>44</v>
      </c>
      <c r="L1019" t="s">
        <v>45</v>
      </c>
      <c r="M1019" t="s">
        <v>46</v>
      </c>
      <c r="N1019" s="7">
        <v>1</v>
      </c>
      <c r="O1019" s="8">
        <v>45627.426539351851</v>
      </c>
      <c r="P1019" s="9">
        <v>45631</v>
      </c>
      <c r="Q1019" t="s">
        <v>74</v>
      </c>
      <c r="R1019" t="s">
        <v>48</v>
      </c>
      <c r="S1019" t="s">
        <v>49</v>
      </c>
      <c r="T1019" t="s">
        <v>85</v>
      </c>
      <c r="U1019" t="s">
        <v>262</v>
      </c>
      <c r="V1019">
        <v>71300</v>
      </c>
      <c r="W1019" t="s">
        <v>48</v>
      </c>
      <c r="X1019" t="s">
        <v>53</v>
      </c>
      <c r="Y1019" t="s">
        <v>54</v>
      </c>
      <c r="Z1019" s="12">
        <f>IF(N1019&lt;=1,9,9+0.8*ROUNDUP(N1019-1,0))</f>
        <v>9</v>
      </c>
      <c r="AA1019" s="11">
        <v>-2</v>
      </c>
      <c r="AB1019" s="11">
        <v>0</v>
      </c>
      <c r="AC1019" s="11">
        <v>0</v>
      </c>
      <c r="AD1019" s="11">
        <v>0</v>
      </c>
      <c r="AE1019" s="11">
        <v>0</v>
      </c>
      <c r="AF1019" s="11">
        <f t="shared" si="45"/>
        <v>0.42</v>
      </c>
      <c r="AG1019" s="11">
        <f t="shared" si="46"/>
        <v>7.42</v>
      </c>
      <c r="AH1019" s="11">
        <v>0</v>
      </c>
      <c r="AI1019" s="11">
        <f t="shared" si="47"/>
        <v>7.42</v>
      </c>
      <c r="AJ1019" t="s">
        <v>62</v>
      </c>
    </row>
    <row r="1020" spans="1:36" ht="15" customHeight="1" x14ac:dyDescent="0.35">
      <c r="A1020">
        <v>10428918</v>
      </c>
      <c r="B1020" t="s">
        <v>36</v>
      </c>
      <c r="C1020" t="s">
        <v>37</v>
      </c>
      <c r="D1020" s="6" t="s">
        <v>38</v>
      </c>
      <c r="E1020" t="s">
        <v>3124</v>
      </c>
      <c r="F1020" t="s">
        <v>40</v>
      </c>
      <c r="G1020" t="s">
        <v>41</v>
      </c>
      <c r="H1020" t="s">
        <v>3125</v>
      </c>
      <c r="I1020" t="s">
        <v>43</v>
      </c>
      <c r="J1020">
        <v>2</v>
      </c>
      <c r="K1020" t="s">
        <v>44</v>
      </c>
      <c r="L1020" t="s">
        <v>45</v>
      </c>
      <c r="M1020" t="s">
        <v>46</v>
      </c>
      <c r="N1020" s="7">
        <v>1</v>
      </c>
      <c r="O1020" s="8">
        <v>45629.808981481481</v>
      </c>
      <c r="P1020" s="9">
        <v>45631</v>
      </c>
      <c r="Q1020" t="s">
        <v>74</v>
      </c>
      <c r="R1020" t="s">
        <v>48</v>
      </c>
      <c r="S1020" t="s">
        <v>49</v>
      </c>
      <c r="T1020" t="s">
        <v>75</v>
      </c>
      <c r="U1020" t="s">
        <v>3126</v>
      </c>
      <c r="V1020">
        <v>27600</v>
      </c>
      <c r="W1020" t="s">
        <v>48</v>
      </c>
      <c r="X1020" t="s">
        <v>77</v>
      </c>
      <c r="Y1020" t="s">
        <v>54</v>
      </c>
      <c r="Z1020" s="12">
        <f>IF(N1020&lt;=1,9,9+0.8*ROUNDUP(N1020-1,0))</f>
        <v>9</v>
      </c>
      <c r="AA1020" s="11">
        <v>-2</v>
      </c>
      <c r="AB1020" s="11">
        <v>0</v>
      </c>
      <c r="AC1020" s="11">
        <v>0</v>
      </c>
      <c r="AD1020" s="11">
        <v>0</v>
      </c>
      <c r="AE1020" s="11">
        <v>0</v>
      </c>
      <c r="AF1020" s="11">
        <f t="shared" si="45"/>
        <v>0.42</v>
      </c>
      <c r="AG1020" s="11">
        <f t="shared" si="46"/>
        <v>7.42</v>
      </c>
      <c r="AH1020" s="11">
        <v>0</v>
      </c>
      <c r="AI1020" s="11">
        <f t="shared" si="47"/>
        <v>7.42</v>
      </c>
      <c r="AJ1020" t="s">
        <v>62</v>
      </c>
    </row>
    <row r="1021" spans="1:36" ht="15" customHeight="1" x14ac:dyDescent="0.35">
      <c r="A1021">
        <v>10428918</v>
      </c>
      <c r="B1021" t="s">
        <v>36</v>
      </c>
      <c r="C1021" t="s">
        <v>37</v>
      </c>
      <c r="D1021" s="6" t="s">
        <v>38</v>
      </c>
      <c r="E1021" t="s">
        <v>3127</v>
      </c>
      <c r="F1021" t="s">
        <v>40</v>
      </c>
      <c r="G1021" t="s">
        <v>41</v>
      </c>
      <c r="H1021" t="s">
        <v>3128</v>
      </c>
      <c r="I1021" t="s">
        <v>43</v>
      </c>
      <c r="J1021">
        <v>2</v>
      </c>
      <c r="K1021" t="s">
        <v>44</v>
      </c>
      <c r="L1021" t="s">
        <v>45</v>
      </c>
      <c r="M1021" t="s">
        <v>46</v>
      </c>
      <c r="N1021" s="7">
        <v>1</v>
      </c>
      <c r="O1021" s="8">
        <v>45629.808969907404</v>
      </c>
      <c r="P1021" s="9">
        <v>45631</v>
      </c>
      <c r="Q1021" t="s">
        <v>74</v>
      </c>
      <c r="R1021" t="s">
        <v>48</v>
      </c>
      <c r="S1021" t="s">
        <v>49</v>
      </c>
      <c r="T1021" t="s">
        <v>90</v>
      </c>
      <c r="U1021" t="s">
        <v>3129</v>
      </c>
      <c r="V1021">
        <v>21200</v>
      </c>
      <c r="W1021" t="s">
        <v>48</v>
      </c>
      <c r="X1021" t="s">
        <v>92</v>
      </c>
      <c r="Y1021" t="s">
        <v>54</v>
      </c>
      <c r="Z1021" s="12">
        <f>IF(N1021&lt;=1,9,9+0.8*ROUNDUP(N1021-1,0))</f>
        <v>9</v>
      </c>
      <c r="AA1021" s="11">
        <v>-2</v>
      </c>
      <c r="AB1021" s="11">
        <v>0</v>
      </c>
      <c r="AC1021" s="11">
        <v>0</v>
      </c>
      <c r="AD1021" s="11">
        <v>0</v>
      </c>
      <c r="AE1021" s="11">
        <v>0</v>
      </c>
      <c r="AF1021" s="11">
        <f t="shared" si="45"/>
        <v>0.42</v>
      </c>
      <c r="AG1021" s="11">
        <f t="shared" si="46"/>
        <v>7.42</v>
      </c>
      <c r="AH1021" s="11">
        <v>0</v>
      </c>
      <c r="AI1021" s="11">
        <f t="shared" si="47"/>
        <v>7.42</v>
      </c>
      <c r="AJ1021" t="s">
        <v>62</v>
      </c>
    </row>
    <row r="1022" spans="1:36" ht="15" customHeight="1" x14ac:dyDescent="0.35">
      <c r="A1022">
        <v>10428918</v>
      </c>
      <c r="B1022" t="s">
        <v>36</v>
      </c>
      <c r="C1022" t="s">
        <v>37</v>
      </c>
      <c r="D1022" s="6" t="s">
        <v>38</v>
      </c>
      <c r="E1022" t="s">
        <v>3130</v>
      </c>
      <c r="F1022" t="s">
        <v>40</v>
      </c>
      <c r="G1022" t="s">
        <v>41</v>
      </c>
      <c r="H1022" t="s">
        <v>3131</v>
      </c>
      <c r="I1022" t="s">
        <v>43</v>
      </c>
      <c r="J1022">
        <v>2</v>
      </c>
      <c r="K1022" t="s">
        <v>44</v>
      </c>
      <c r="L1022" t="s">
        <v>45</v>
      </c>
      <c r="M1022" t="s">
        <v>46</v>
      </c>
      <c r="N1022" s="7">
        <v>1</v>
      </c>
      <c r="O1022" s="8">
        <v>45629.710370370369</v>
      </c>
      <c r="P1022" s="9">
        <v>45631</v>
      </c>
      <c r="Q1022" t="s">
        <v>74</v>
      </c>
      <c r="R1022" t="s">
        <v>48</v>
      </c>
      <c r="S1022" t="s">
        <v>49</v>
      </c>
      <c r="T1022" t="s">
        <v>117</v>
      </c>
      <c r="U1022" t="s">
        <v>3132</v>
      </c>
      <c r="V1022">
        <v>56000</v>
      </c>
      <c r="W1022" t="s">
        <v>48</v>
      </c>
      <c r="X1022" t="s">
        <v>53</v>
      </c>
      <c r="Y1022" t="s">
        <v>54</v>
      </c>
      <c r="Z1022" s="12">
        <f>IF(N1022&lt;=1,9,9+0.8*ROUNDUP(N1022-1,0))</f>
        <v>9</v>
      </c>
      <c r="AA1022" s="11">
        <v>-2</v>
      </c>
      <c r="AB1022" s="11">
        <v>0</v>
      </c>
      <c r="AC1022" s="11">
        <v>0</v>
      </c>
      <c r="AD1022" s="11">
        <v>0</v>
      </c>
      <c r="AE1022" s="11">
        <v>0</v>
      </c>
      <c r="AF1022" s="11">
        <f t="shared" si="45"/>
        <v>0.42</v>
      </c>
      <c r="AG1022" s="11">
        <f t="shared" si="46"/>
        <v>7.42</v>
      </c>
      <c r="AH1022" s="11">
        <v>0</v>
      </c>
      <c r="AI1022" s="11">
        <f t="shared" si="47"/>
        <v>7.42</v>
      </c>
      <c r="AJ1022" t="s">
        <v>62</v>
      </c>
    </row>
    <row r="1023" spans="1:36" ht="15" customHeight="1" x14ac:dyDescent="0.35">
      <c r="A1023">
        <v>10428918</v>
      </c>
      <c r="B1023" t="s">
        <v>36</v>
      </c>
      <c r="C1023" t="s">
        <v>37</v>
      </c>
      <c r="D1023" s="6" t="s">
        <v>38</v>
      </c>
      <c r="E1023" t="s">
        <v>3133</v>
      </c>
      <c r="F1023" t="s">
        <v>40</v>
      </c>
      <c r="G1023" t="s">
        <v>41</v>
      </c>
      <c r="H1023" t="s">
        <v>3134</v>
      </c>
      <c r="I1023" t="s">
        <v>43</v>
      </c>
      <c r="J1023">
        <v>2</v>
      </c>
      <c r="K1023" t="s">
        <v>44</v>
      </c>
      <c r="L1023" t="s">
        <v>45</v>
      </c>
      <c r="M1023" t="s">
        <v>46</v>
      </c>
      <c r="N1023" s="7">
        <v>1</v>
      </c>
      <c r="O1023" s="8">
        <v>45630.737685185188</v>
      </c>
      <c r="P1023" s="9">
        <v>45631</v>
      </c>
      <c r="Q1023" t="s">
        <v>74</v>
      </c>
      <c r="R1023" t="s">
        <v>48</v>
      </c>
      <c r="S1023" t="s">
        <v>49</v>
      </c>
      <c r="T1023" t="s">
        <v>117</v>
      </c>
      <c r="U1023" t="s">
        <v>3135</v>
      </c>
      <c r="V1023">
        <v>47650</v>
      </c>
      <c r="W1023" t="s">
        <v>48</v>
      </c>
      <c r="X1023" t="s">
        <v>943</v>
      </c>
      <c r="Y1023" t="s">
        <v>54</v>
      </c>
      <c r="Z1023" s="12">
        <f>IF(N1023&lt;=1,9,9+0.8*ROUNDUP(N1023-1,0))</f>
        <v>9</v>
      </c>
      <c r="AA1023" s="11">
        <v>-2</v>
      </c>
      <c r="AB1023" s="11">
        <v>0</v>
      </c>
      <c r="AC1023" s="11">
        <v>0</v>
      </c>
      <c r="AD1023" s="11">
        <v>0</v>
      </c>
      <c r="AE1023" s="11">
        <v>0</v>
      </c>
      <c r="AF1023" s="11">
        <f t="shared" si="45"/>
        <v>0.42</v>
      </c>
      <c r="AG1023" s="11">
        <f t="shared" si="46"/>
        <v>7.42</v>
      </c>
      <c r="AH1023" s="11">
        <v>0</v>
      </c>
      <c r="AI1023" s="11">
        <f t="shared" si="47"/>
        <v>7.42</v>
      </c>
      <c r="AJ1023" t="s">
        <v>62</v>
      </c>
    </row>
    <row r="1024" spans="1:36" ht="15" customHeight="1" x14ac:dyDescent="0.35">
      <c r="A1024">
        <v>10428918</v>
      </c>
      <c r="B1024" t="s">
        <v>36</v>
      </c>
      <c r="C1024" t="s">
        <v>37</v>
      </c>
      <c r="D1024" s="6" t="s">
        <v>38</v>
      </c>
      <c r="E1024" t="s">
        <v>3136</v>
      </c>
      <c r="F1024" t="s">
        <v>40</v>
      </c>
      <c r="G1024" t="s">
        <v>41</v>
      </c>
      <c r="H1024" t="s">
        <v>3137</v>
      </c>
      <c r="I1024" t="s">
        <v>43</v>
      </c>
      <c r="J1024">
        <v>2</v>
      </c>
      <c r="K1024" t="s">
        <v>44</v>
      </c>
      <c r="L1024" t="s">
        <v>45</v>
      </c>
      <c r="M1024" t="s">
        <v>46</v>
      </c>
      <c r="N1024" s="7">
        <v>1</v>
      </c>
      <c r="O1024" s="8">
        <v>45629.818171296298</v>
      </c>
      <c r="P1024" s="9">
        <v>45631</v>
      </c>
      <c r="Q1024" t="s">
        <v>74</v>
      </c>
      <c r="R1024" t="s">
        <v>48</v>
      </c>
      <c r="S1024" t="s">
        <v>49</v>
      </c>
      <c r="T1024" t="s">
        <v>75</v>
      </c>
      <c r="U1024" t="s">
        <v>3138</v>
      </c>
      <c r="V1024">
        <v>26400</v>
      </c>
      <c r="W1024" t="s">
        <v>48</v>
      </c>
      <c r="X1024" t="s">
        <v>77</v>
      </c>
      <c r="Y1024" t="s">
        <v>54</v>
      </c>
      <c r="Z1024" s="12">
        <f>IF(N1024&lt;=1,9,9+0.8*ROUNDUP(N1024-1,0))</f>
        <v>9</v>
      </c>
      <c r="AA1024" s="11">
        <v>-2</v>
      </c>
      <c r="AB1024" s="11">
        <v>0</v>
      </c>
      <c r="AC1024" s="11">
        <v>0</v>
      </c>
      <c r="AD1024" s="11">
        <v>0</v>
      </c>
      <c r="AE1024" s="11">
        <v>0</v>
      </c>
      <c r="AF1024" s="11">
        <f t="shared" si="45"/>
        <v>0.42</v>
      </c>
      <c r="AG1024" s="11">
        <f t="shared" si="46"/>
        <v>7.42</v>
      </c>
      <c r="AH1024" s="11">
        <v>0</v>
      </c>
      <c r="AI1024" s="11">
        <f t="shared" si="47"/>
        <v>7.42</v>
      </c>
      <c r="AJ1024" t="s">
        <v>62</v>
      </c>
    </row>
    <row r="1025" spans="1:36" ht="15" customHeight="1" x14ac:dyDescent="0.35">
      <c r="A1025">
        <v>10428918</v>
      </c>
      <c r="B1025" t="s">
        <v>36</v>
      </c>
      <c r="C1025" t="s">
        <v>37</v>
      </c>
      <c r="D1025" s="6" t="s">
        <v>38</v>
      </c>
      <c r="E1025" t="s">
        <v>3139</v>
      </c>
      <c r="F1025" t="s">
        <v>40</v>
      </c>
      <c r="G1025" t="s">
        <v>41</v>
      </c>
      <c r="H1025" t="s">
        <v>2392</v>
      </c>
      <c r="I1025" t="s">
        <v>43</v>
      </c>
      <c r="J1025">
        <v>2</v>
      </c>
      <c r="K1025" t="s">
        <v>44</v>
      </c>
      <c r="L1025" t="s">
        <v>45</v>
      </c>
      <c r="M1025" t="s">
        <v>46</v>
      </c>
      <c r="N1025" s="7">
        <v>1</v>
      </c>
      <c r="O1025" s="8">
        <v>45629.617384259262</v>
      </c>
      <c r="P1025" s="9">
        <v>45631</v>
      </c>
      <c r="Q1025" t="s">
        <v>74</v>
      </c>
      <c r="R1025" t="s">
        <v>48</v>
      </c>
      <c r="S1025" t="s">
        <v>49</v>
      </c>
      <c r="T1025" t="s">
        <v>69</v>
      </c>
      <c r="U1025" t="s">
        <v>2393</v>
      </c>
      <c r="V1025">
        <v>81300</v>
      </c>
      <c r="W1025" t="s">
        <v>48</v>
      </c>
      <c r="X1025" t="s">
        <v>394</v>
      </c>
      <c r="Y1025" t="s">
        <v>54</v>
      </c>
      <c r="Z1025" s="12">
        <f>IF(N1025&lt;=1,9,9+0.8*ROUNDUP(N1025-1,0))</f>
        <v>9</v>
      </c>
      <c r="AA1025" s="11">
        <v>-2</v>
      </c>
      <c r="AB1025" s="11">
        <v>0</v>
      </c>
      <c r="AC1025" s="11">
        <v>0</v>
      </c>
      <c r="AD1025" s="11">
        <v>0</v>
      </c>
      <c r="AE1025" s="11">
        <v>0</v>
      </c>
      <c r="AF1025" s="11">
        <f t="shared" si="45"/>
        <v>0.42</v>
      </c>
      <c r="AG1025" s="11">
        <f t="shared" si="46"/>
        <v>7.42</v>
      </c>
      <c r="AH1025" s="11">
        <v>0</v>
      </c>
      <c r="AI1025" s="11">
        <f t="shared" si="47"/>
        <v>7.42</v>
      </c>
      <c r="AJ1025" t="s">
        <v>62</v>
      </c>
    </row>
    <row r="1026" spans="1:36" ht="15" customHeight="1" x14ac:dyDescent="0.35">
      <c r="A1026">
        <v>10428918</v>
      </c>
      <c r="B1026" t="s">
        <v>36</v>
      </c>
      <c r="C1026" t="s">
        <v>37</v>
      </c>
      <c r="D1026" s="6" t="s">
        <v>38</v>
      </c>
      <c r="E1026" t="s">
        <v>3140</v>
      </c>
      <c r="F1026" t="s">
        <v>40</v>
      </c>
      <c r="G1026" t="s">
        <v>41</v>
      </c>
      <c r="H1026" t="s">
        <v>3141</v>
      </c>
      <c r="I1026" t="s">
        <v>43</v>
      </c>
      <c r="J1026">
        <v>2</v>
      </c>
      <c r="K1026" t="s">
        <v>44</v>
      </c>
      <c r="L1026" t="s">
        <v>45</v>
      </c>
      <c r="M1026" t="s">
        <v>46</v>
      </c>
      <c r="N1026" s="7">
        <v>1</v>
      </c>
      <c r="O1026" s="8">
        <v>45626.619305555556</v>
      </c>
      <c r="P1026" s="9">
        <v>45631</v>
      </c>
      <c r="Q1026" t="s">
        <v>74</v>
      </c>
      <c r="R1026" t="s">
        <v>48</v>
      </c>
      <c r="S1026" t="s">
        <v>49</v>
      </c>
      <c r="T1026" t="s">
        <v>50</v>
      </c>
      <c r="U1026" t="s">
        <v>3142</v>
      </c>
      <c r="V1026">
        <v>91110</v>
      </c>
      <c r="W1026" t="s">
        <v>52</v>
      </c>
      <c r="X1026" t="s">
        <v>53</v>
      </c>
      <c r="Y1026" t="s">
        <v>54</v>
      </c>
      <c r="Z1026" s="10">
        <f>IF(N1026&lt;=1,13,IF(N1026&lt;=2,23,IF(N1026&lt;=3,35,IF(N1026&lt;=4,43,IF(N1026&lt;=5,53,IF(N1026&lt;=6,63,IF(N1026&lt;=7,71,IF(N1026&lt;=8,79,IF(N1026&lt;=9,87,IF(N1026&lt;=10,95,IF(N1026&lt;=11,105,IF(N1026&lt;=12,114,IF(N1026&lt;=13,119,IF(N1026&lt;=14,127,IF(N1026&lt;=15,135,IF(N1026&lt;=16,143,IF(N1026&lt;=17,153,IF(N1026&lt;=18,163,IF(N1026&lt;=19,171,IF(N1026&lt;=20,185,IF(N1026&lt;=21,193,IF(N1026&lt;=22,201,IF(N1026&lt;=23,210,IF(N1026&lt;=24,220,IF(N1026&lt;=25,230,IF(N1026&lt;=26,240,IF(N1026&lt;=27,250,IF(N1026&lt;=28,260,IF(N1026&lt;=29,270,IF(N1026&lt;=30,280,280+10*ROUNDUP(N1026-30,0)))))))))))))))))))))))))))))))</f>
        <v>13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f t="shared" ref="AF1026:AF1089" si="48">(Z1026+AA1026+AC1026+AE1026)*6%</f>
        <v>0.78</v>
      </c>
      <c r="AG1026" s="11">
        <f t="shared" ref="AG1026:AG1089" si="49">Z1026+AA1026+AC1026+AE1026+AF1026</f>
        <v>13.78</v>
      </c>
      <c r="AH1026" s="11">
        <v>0</v>
      </c>
      <c r="AI1026" s="11">
        <f t="shared" ref="AI1026:AI1089" si="50">AG1026+AH1026</f>
        <v>13.78</v>
      </c>
      <c r="AJ1026" t="s">
        <v>55</v>
      </c>
    </row>
    <row r="1027" spans="1:36" ht="15" customHeight="1" x14ac:dyDescent="0.35">
      <c r="A1027">
        <v>10428918</v>
      </c>
      <c r="B1027" t="s">
        <v>36</v>
      </c>
      <c r="C1027" t="s">
        <v>37</v>
      </c>
      <c r="D1027" s="6" t="s">
        <v>38</v>
      </c>
      <c r="E1027" t="s">
        <v>3143</v>
      </c>
      <c r="F1027" t="s">
        <v>40</v>
      </c>
      <c r="G1027" t="s">
        <v>41</v>
      </c>
      <c r="H1027" t="s">
        <v>3144</v>
      </c>
      <c r="I1027" t="s">
        <v>43</v>
      </c>
      <c r="J1027">
        <v>2</v>
      </c>
      <c r="K1027" t="s">
        <v>44</v>
      </c>
      <c r="L1027" t="s">
        <v>45</v>
      </c>
      <c r="M1027" t="s">
        <v>46</v>
      </c>
      <c r="N1027" s="7">
        <v>1</v>
      </c>
      <c r="O1027" s="8">
        <v>45630.431354166663</v>
      </c>
      <c r="P1027" s="9">
        <v>45631</v>
      </c>
      <c r="Q1027" t="s">
        <v>74</v>
      </c>
      <c r="R1027" t="s">
        <v>48</v>
      </c>
      <c r="S1027" t="s">
        <v>49</v>
      </c>
      <c r="T1027" t="s">
        <v>170</v>
      </c>
      <c r="U1027" t="s">
        <v>3145</v>
      </c>
      <c r="V1027">
        <v>53300</v>
      </c>
      <c r="W1027" t="s">
        <v>48</v>
      </c>
      <c r="X1027" t="s">
        <v>378</v>
      </c>
      <c r="Y1027" t="s">
        <v>54</v>
      </c>
      <c r="Z1027" s="12">
        <f>IF(N1027&lt;=1,9,9+0.8*ROUNDUP(N1027-1,0))</f>
        <v>9</v>
      </c>
      <c r="AA1027" s="11">
        <v>-2</v>
      </c>
      <c r="AB1027" s="11">
        <v>0</v>
      </c>
      <c r="AC1027" s="11">
        <v>0</v>
      </c>
      <c r="AD1027" s="11">
        <v>0</v>
      </c>
      <c r="AE1027" s="11">
        <v>0</v>
      </c>
      <c r="AF1027" s="11">
        <f t="shared" si="48"/>
        <v>0.42</v>
      </c>
      <c r="AG1027" s="11">
        <f t="shared" si="49"/>
        <v>7.42</v>
      </c>
      <c r="AH1027" s="11">
        <v>0</v>
      </c>
      <c r="AI1027" s="11">
        <f t="shared" si="50"/>
        <v>7.42</v>
      </c>
      <c r="AJ1027" t="s">
        <v>62</v>
      </c>
    </row>
    <row r="1028" spans="1:36" ht="15" customHeight="1" x14ac:dyDescent="0.35">
      <c r="A1028">
        <v>10428918</v>
      </c>
      <c r="B1028" t="s">
        <v>36</v>
      </c>
      <c r="C1028" t="s">
        <v>37</v>
      </c>
      <c r="D1028" s="6" t="s">
        <v>38</v>
      </c>
      <c r="E1028" t="s">
        <v>3146</v>
      </c>
      <c r="F1028" t="s">
        <v>40</v>
      </c>
      <c r="G1028" t="s">
        <v>41</v>
      </c>
      <c r="H1028" t="s">
        <v>3147</v>
      </c>
      <c r="I1028" t="s">
        <v>43</v>
      </c>
      <c r="J1028">
        <v>2</v>
      </c>
      <c r="K1028" t="s">
        <v>44</v>
      </c>
      <c r="L1028" t="s">
        <v>45</v>
      </c>
      <c r="M1028" t="s">
        <v>46</v>
      </c>
      <c r="N1028" s="7">
        <v>1</v>
      </c>
      <c r="O1028" s="8">
        <v>45630.435069444444</v>
      </c>
      <c r="P1028" s="9">
        <v>45631</v>
      </c>
      <c r="Q1028" t="s">
        <v>74</v>
      </c>
      <c r="R1028" t="s">
        <v>48</v>
      </c>
      <c r="S1028" t="s">
        <v>49</v>
      </c>
      <c r="T1028" t="s">
        <v>117</v>
      </c>
      <c r="U1028" t="s">
        <v>3148</v>
      </c>
      <c r="V1028">
        <v>55100</v>
      </c>
      <c r="W1028" t="s">
        <v>48</v>
      </c>
      <c r="X1028" t="s">
        <v>584</v>
      </c>
      <c r="Y1028" t="s">
        <v>54</v>
      </c>
      <c r="Z1028" s="12">
        <f>IF(N1028&lt;=1,9,9+0.8*ROUNDUP(N1028-1,0))</f>
        <v>9</v>
      </c>
      <c r="AA1028" s="11">
        <v>-2</v>
      </c>
      <c r="AB1028" s="11">
        <v>0</v>
      </c>
      <c r="AC1028" s="11">
        <v>0</v>
      </c>
      <c r="AD1028" s="11">
        <v>0</v>
      </c>
      <c r="AE1028" s="11">
        <v>0</v>
      </c>
      <c r="AF1028" s="11">
        <f t="shared" si="48"/>
        <v>0.42</v>
      </c>
      <c r="AG1028" s="11">
        <f t="shared" si="49"/>
        <v>7.42</v>
      </c>
      <c r="AH1028" s="11">
        <v>0</v>
      </c>
      <c r="AI1028" s="11">
        <f t="shared" si="50"/>
        <v>7.42</v>
      </c>
      <c r="AJ1028" t="s">
        <v>62</v>
      </c>
    </row>
    <row r="1029" spans="1:36" ht="15" customHeight="1" x14ac:dyDescent="0.35">
      <c r="A1029">
        <v>10428918</v>
      </c>
      <c r="B1029" t="s">
        <v>36</v>
      </c>
      <c r="C1029" t="s">
        <v>37</v>
      </c>
      <c r="D1029" s="6" t="s">
        <v>38</v>
      </c>
      <c r="E1029" t="s">
        <v>3149</v>
      </c>
      <c r="F1029" t="s">
        <v>40</v>
      </c>
      <c r="G1029" t="s">
        <v>41</v>
      </c>
      <c r="H1029" t="s">
        <v>3150</v>
      </c>
      <c r="I1029" t="s">
        <v>43</v>
      </c>
      <c r="J1029">
        <v>2</v>
      </c>
      <c r="K1029" t="s">
        <v>44</v>
      </c>
      <c r="L1029" t="s">
        <v>45</v>
      </c>
      <c r="M1029" t="s">
        <v>46</v>
      </c>
      <c r="N1029" s="7">
        <v>1</v>
      </c>
      <c r="O1029" s="8">
        <v>45627.445196759261</v>
      </c>
      <c r="P1029" s="9">
        <v>45631</v>
      </c>
      <c r="Q1029" t="s">
        <v>74</v>
      </c>
      <c r="R1029" t="s">
        <v>48</v>
      </c>
      <c r="S1029" t="s">
        <v>49</v>
      </c>
      <c r="T1029" t="s">
        <v>80</v>
      </c>
      <c r="U1029" t="s">
        <v>3151</v>
      </c>
      <c r="V1029">
        <v>8000</v>
      </c>
      <c r="W1029" t="s">
        <v>48</v>
      </c>
      <c r="X1029" t="s">
        <v>145</v>
      </c>
      <c r="Y1029" t="s">
        <v>54</v>
      </c>
      <c r="Z1029" s="12">
        <f>IF(N1029&lt;=1,9,9+0.8*ROUNDUP(N1029-1,0))</f>
        <v>9</v>
      </c>
      <c r="AA1029" s="11">
        <v>-2</v>
      </c>
      <c r="AB1029" s="11">
        <v>0</v>
      </c>
      <c r="AC1029" s="11">
        <v>0</v>
      </c>
      <c r="AD1029" s="11">
        <v>0</v>
      </c>
      <c r="AE1029" s="11">
        <v>0</v>
      </c>
      <c r="AF1029" s="11">
        <f t="shared" si="48"/>
        <v>0.42</v>
      </c>
      <c r="AG1029" s="11">
        <f t="shared" si="49"/>
        <v>7.42</v>
      </c>
      <c r="AH1029" s="11">
        <v>0</v>
      </c>
      <c r="AI1029" s="11">
        <f t="shared" si="50"/>
        <v>7.42</v>
      </c>
      <c r="AJ1029" t="s">
        <v>62</v>
      </c>
    </row>
    <row r="1030" spans="1:36" ht="15" customHeight="1" x14ac:dyDescent="0.35">
      <c r="A1030">
        <v>10428918</v>
      </c>
      <c r="B1030" t="s">
        <v>36</v>
      </c>
      <c r="C1030" t="s">
        <v>37</v>
      </c>
      <c r="D1030" s="6" t="s">
        <v>38</v>
      </c>
      <c r="E1030" t="s">
        <v>3152</v>
      </c>
      <c r="F1030" t="s">
        <v>40</v>
      </c>
      <c r="G1030" t="s">
        <v>41</v>
      </c>
      <c r="H1030" t="s">
        <v>3153</v>
      </c>
      <c r="I1030" t="s">
        <v>43</v>
      </c>
      <c r="J1030">
        <v>2</v>
      </c>
      <c r="K1030" t="s">
        <v>44</v>
      </c>
      <c r="L1030" t="s">
        <v>45</v>
      </c>
      <c r="M1030" t="s">
        <v>46</v>
      </c>
      <c r="N1030" s="7">
        <v>3</v>
      </c>
      <c r="O1030" s="8">
        <v>45630.523009259261</v>
      </c>
      <c r="P1030" s="9">
        <v>45631</v>
      </c>
      <c r="Q1030" t="s">
        <v>74</v>
      </c>
      <c r="R1030" t="s">
        <v>48</v>
      </c>
      <c r="S1030" t="s">
        <v>49</v>
      </c>
      <c r="T1030" t="s">
        <v>170</v>
      </c>
      <c r="U1030" t="s">
        <v>3154</v>
      </c>
      <c r="V1030">
        <v>51100</v>
      </c>
      <c r="W1030" t="s">
        <v>48</v>
      </c>
      <c r="X1030" t="s">
        <v>1794</v>
      </c>
      <c r="Y1030" t="s">
        <v>54</v>
      </c>
      <c r="Z1030" s="12">
        <f>IF(N1030&lt;=1,9,9+0.8*ROUNDUP(N1030-1,0))</f>
        <v>10.6</v>
      </c>
      <c r="AA1030" s="11">
        <v>-2</v>
      </c>
      <c r="AB1030" s="11">
        <v>0</v>
      </c>
      <c r="AC1030" s="11">
        <v>0</v>
      </c>
      <c r="AD1030" s="11">
        <v>0</v>
      </c>
      <c r="AE1030" s="11">
        <v>0</v>
      </c>
      <c r="AF1030" s="11">
        <f t="shared" si="48"/>
        <v>0.51600000000000001</v>
      </c>
      <c r="AG1030" s="11">
        <f t="shared" si="49"/>
        <v>9.1159999999999997</v>
      </c>
      <c r="AH1030" s="11">
        <v>0</v>
      </c>
      <c r="AI1030" s="11">
        <f t="shared" si="50"/>
        <v>9.1159999999999997</v>
      </c>
      <c r="AJ1030" t="s">
        <v>62</v>
      </c>
    </row>
    <row r="1031" spans="1:36" ht="15" customHeight="1" x14ac:dyDescent="0.35">
      <c r="A1031">
        <v>10428918</v>
      </c>
      <c r="B1031" t="s">
        <v>36</v>
      </c>
      <c r="C1031" t="s">
        <v>37</v>
      </c>
      <c r="D1031" s="6" t="s">
        <v>38</v>
      </c>
      <c r="E1031" t="s">
        <v>3155</v>
      </c>
      <c r="F1031" t="s">
        <v>40</v>
      </c>
      <c r="G1031" t="s">
        <v>41</v>
      </c>
      <c r="H1031" t="s">
        <v>3156</v>
      </c>
      <c r="I1031" t="s">
        <v>43</v>
      </c>
      <c r="J1031">
        <v>2</v>
      </c>
      <c r="K1031" t="s">
        <v>44</v>
      </c>
      <c r="L1031" t="s">
        <v>45</v>
      </c>
      <c r="M1031" t="s">
        <v>46</v>
      </c>
      <c r="N1031" s="7">
        <v>2</v>
      </c>
      <c r="O1031" s="8">
        <v>45630.435069444444</v>
      </c>
      <c r="P1031" s="9">
        <v>45631</v>
      </c>
      <c r="Q1031" t="s">
        <v>74</v>
      </c>
      <c r="R1031" t="s">
        <v>48</v>
      </c>
      <c r="S1031" t="s">
        <v>49</v>
      </c>
      <c r="T1031" t="s">
        <v>75</v>
      </c>
      <c r="U1031" t="s">
        <v>3157</v>
      </c>
      <c r="V1031">
        <v>26100</v>
      </c>
      <c r="W1031" t="s">
        <v>48</v>
      </c>
      <c r="X1031" t="s">
        <v>77</v>
      </c>
      <c r="Y1031" t="s">
        <v>54</v>
      </c>
      <c r="Z1031" s="12">
        <f>IF(N1031&lt;=1,9,9+0.8*ROUNDUP(N1031-1,0))</f>
        <v>9.8000000000000007</v>
      </c>
      <c r="AA1031" s="11">
        <v>-2</v>
      </c>
      <c r="AB1031" s="11">
        <v>0</v>
      </c>
      <c r="AC1031" s="11">
        <v>0</v>
      </c>
      <c r="AD1031" s="11">
        <v>0</v>
      </c>
      <c r="AE1031" s="11">
        <v>0</v>
      </c>
      <c r="AF1031" s="11">
        <f t="shared" si="48"/>
        <v>0.46800000000000003</v>
      </c>
      <c r="AG1031" s="11">
        <f t="shared" si="49"/>
        <v>8.2680000000000007</v>
      </c>
      <c r="AH1031" s="11">
        <v>0</v>
      </c>
      <c r="AI1031" s="11">
        <f t="shared" si="50"/>
        <v>8.2680000000000007</v>
      </c>
      <c r="AJ1031" t="s">
        <v>62</v>
      </c>
    </row>
    <row r="1032" spans="1:36" ht="15" customHeight="1" x14ac:dyDescent="0.35">
      <c r="A1032">
        <v>10428918</v>
      </c>
      <c r="B1032" t="s">
        <v>36</v>
      </c>
      <c r="C1032" t="s">
        <v>37</v>
      </c>
      <c r="D1032" s="6" t="s">
        <v>38</v>
      </c>
      <c r="E1032" t="s">
        <v>3158</v>
      </c>
      <c r="F1032" t="s">
        <v>40</v>
      </c>
      <c r="G1032" t="s">
        <v>41</v>
      </c>
      <c r="H1032" t="s">
        <v>2830</v>
      </c>
      <c r="I1032" t="s">
        <v>43</v>
      </c>
      <c r="J1032">
        <v>2</v>
      </c>
      <c r="K1032" t="s">
        <v>44</v>
      </c>
      <c r="L1032" t="s">
        <v>45</v>
      </c>
      <c r="M1032" t="s">
        <v>46</v>
      </c>
      <c r="N1032" s="7">
        <v>1</v>
      </c>
      <c r="O1032" s="8">
        <v>45627.432662037034</v>
      </c>
      <c r="P1032" s="9">
        <v>45631</v>
      </c>
      <c r="Q1032" t="s">
        <v>74</v>
      </c>
      <c r="R1032" t="s">
        <v>48</v>
      </c>
      <c r="S1032" t="s">
        <v>49</v>
      </c>
      <c r="T1032" t="s">
        <v>80</v>
      </c>
      <c r="U1032" t="s">
        <v>2831</v>
      </c>
      <c r="V1032">
        <v>8800</v>
      </c>
      <c r="W1032" t="s">
        <v>48</v>
      </c>
      <c r="X1032" t="s">
        <v>141</v>
      </c>
      <c r="Y1032" t="s">
        <v>54</v>
      </c>
      <c r="Z1032" s="12">
        <f>IF(N1032&lt;=1,9,9+0.8*ROUNDUP(N1032-1,0))</f>
        <v>9</v>
      </c>
      <c r="AA1032" s="11">
        <v>-2</v>
      </c>
      <c r="AB1032" s="11">
        <v>0</v>
      </c>
      <c r="AC1032" s="11">
        <v>0</v>
      </c>
      <c r="AD1032" s="11">
        <v>0</v>
      </c>
      <c r="AE1032" s="11">
        <v>0</v>
      </c>
      <c r="AF1032" s="11">
        <f t="shared" si="48"/>
        <v>0.42</v>
      </c>
      <c r="AG1032" s="11">
        <f t="shared" si="49"/>
        <v>7.42</v>
      </c>
      <c r="AH1032" s="11">
        <v>0</v>
      </c>
      <c r="AI1032" s="11">
        <f t="shared" si="50"/>
        <v>7.42</v>
      </c>
      <c r="AJ1032" t="s">
        <v>62</v>
      </c>
    </row>
    <row r="1033" spans="1:36" ht="15" customHeight="1" x14ac:dyDescent="0.35">
      <c r="A1033">
        <v>10428918</v>
      </c>
      <c r="B1033" t="s">
        <v>36</v>
      </c>
      <c r="C1033" t="s">
        <v>37</v>
      </c>
      <c r="D1033" s="6" t="s">
        <v>38</v>
      </c>
      <c r="E1033" t="s">
        <v>3159</v>
      </c>
      <c r="F1033" t="s">
        <v>40</v>
      </c>
      <c r="G1033" t="s">
        <v>41</v>
      </c>
      <c r="H1033" t="s">
        <v>3160</v>
      </c>
      <c r="I1033" t="s">
        <v>43</v>
      </c>
      <c r="J1033">
        <v>2</v>
      </c>
      <c r="K1033" t="s">
        <v>44</v>
      </c>
      <c r="L1033" t="s">
        <v>45</v>
      </c>
      <c r="M1033" t="s">
        <v>46</v>
      </c>
      <c r="N1033" s="7">
        <v>1</v>
      </c>
      <c r="O1033" s="8">
        <v>45629.818182870367</v>
      </c>
      <c r="P1033" s="9">
        <v>45631</v>
      </c>
      <c r="Q1033" t="s">
        <v>74</v>
      </c>
      <c r="R1033" t="s">
        <v>48</v>
      </c>
      <c r="S1033" t="s">
        <v>49</v>
      </c>
      <c r="T1033" t="s">
        <v>65</v>
      </c>
      <c r="U1033" t="s">
        <v>3161</v>
      </c>
      <c r="V1033">
        <v>76100</v>
      </c>
      <c r="W1033" t="s">
        <v>48</v>
      </c>
      <c r="X1033" t="s">
        <v>480</v>
      </c>
      <c r="Y1033" t="s">
        <v>54</v>
      </c>
      <c r="Z1033" s="12">
        <f>IF(N1033&lt;=1,9,9+0.8*ROUNDUP(N1033-1,0))</f>
        <v>9</v>
      </c>
      <c r="AA1033" s="11">
        <v>-2</v>
      </c>
      <c r="AB1033" s="11">
        <v>0</v>
      </c>
      <c r="AC1033" s="11">
        <v>0</v>
      </c>
      <c r="AD1033" s="11">
        <v>0</v>
      </c>
      <c r="AE1033" s="11">
        <v>0</v>
      </c>
      <c r="AF1033" s="11">
        <f t="shared" si="48"/>
        <v>0.42</v>
      </c>
      <c r="AG1033" s="11">
        <f t="shared" si="49"/>
        <v>7.42</v>
      </c>
      <c r="AH1033" s="11">
        <v>0</v>
      </c>
      <c r="AI1033" s="11">
        <f t="shared" si="50"/>
        <v>7.42</v>
      </c>
      <c r="AJ1033" t="s">
        <v>62</v>
      </c>
    </row>
    <row r="1034" spans="1:36" ht="15" customHeight="1" x14ac:dyDescent="0.35">
      <c r="A1034">
        <v>10428918</v>
      </c>
      <c r="B1034" t="s">
        <v>36</v>
      </c>
      <c r="C1034" t="s">
        <v>37</v>
      </c>
      <c r="D1034" s="6" t="s">
        <v>38</v>
      </c>
      <c r="E1034" t="s">
        <v>3162</v>
      </c>
      <c r="F1034" t="s">
        <v>40</v>
      </c>
      <c r="G1034" t="s">
        <v>41</v>
      </c>
      <c r="H1034" t="s">
        <v>3163</v>
      </c>
      <c r="I1034" t="s">
        <v>43</v>
      </c>
      <c r="J1034">
        <v>2</v>
      </c>
      <c r="K1034" t="s">
        <v>44</v>
      </c>
      <c r="L1034" t="s">
        <v>45</v>
      </c>
      <c r="M1034" t="s">
        <v>46</v>
      </c>
      <c r="N1034" s="7">
        <v>1</v>
      </c>
      <c r="O1034" s="8">
        <v>45627.445208333331</v>
      </c>
      <c r="P1034" s="9">
        <v>45631</v>
      </c>
      <c r="Q1034" t="s">
        <v>74</v>
      </c>
      <c r="R1034" t="s">
        <v>48</v>
      </c>
      <c r="S1034" t="s">
        <v>49</v>
      </c>
      <c r="T1034" t="s">
        <v>101</v>
      </c>
      <c r="U1034" t="s">
        <v>102</v>
      </c>
      <c r="V1034">
        <v>31100</v>
      </c>
      <c r="W1034" t="s">
        <v>48</v>
      </c>
      <c r="X1034" t="s">
        <v>103</v>
      </c>
      <c r="Y1034" t="s">
        <v>54</v>
      </c>
      <c r="Z1034" s="12">
        <f>IF(N1034&lt;=1,9,9+0.8*ROUNDUP(N1034-1,0))</f>
        <v>9</v>
      </c>
      <c r="AA1034" s="11">
        <v>-2</v>
      </c>
      <c r="AB1034" s="11">
        <v>0</v>
      </c>
      <c r="AC1034" s="11">
        <v>0</v>
      </c>
      <c r="AD1034" s="11">
        <v>0</v>
      </c>
      <c r="AE1034" s="11">
        <v>0</v>
      </c>
      <c r="AF1034" s="11">
        <f t="shared" si="48"/>
        <v>0.42</v>
      </c>
      <c r="AG1034" s="11">
        <f t="shared" si="49"/>
        <v>7.42</v>
      </c>
      <c r="AH1034" s="11">
        <v>0</v>
      </c>
      <c r="AI1034" s="11">
        <f t="shared" si="50"/>
        <v>7.42</v>
      </c>
      <c r="AJ1034" t="s">
        <v>62</v>
      </c>
    </row>
    <row r="1035" spans="1:36" ht="15" customHeight="1" x14ac:dyDescent="0.35">
      <c r="A1035">
        <v>10428918</v>
      </c>
      <c r="B1035" t="s">
        <v>36</v>
      </c>
      <c r="C1035" t="s">
        <v>37</v>
      </c>
      <c r="D1035" s="6" t="s">
        <v>38</v>
      </c>
      <c r="E1035" t="s">
        <v>3164</v>
      </c>
      <c r="F1035" t="s">
        <v>40</v>
      </c>
      <c r="G1035" t="s">
        <v>41</v>
      </c>
      <c r="H1035" t="s">
        <v>3165</v>
      </c>
      <c r="I1035" t="s">
        <v>43</v>
      </c>
      <c r="J1035">
        <v>2</v>
      </c>
      <c r="K1035" t="s">
        <v>44</v>
      </c>
      <c r="L1035" t="s">
        <v>45</v>
      </c>
      <c r="M1035" t="s">
        <v>46</v>
      </c>
      <c r="N1035" s="7">
        <v>1</v>
      </c>
      <c r="O1035" s="8">
        <v>45630.449374999997</v>
      </c>
      <c r="P1035" s="9">
        <v>45631</v>
      </c>
      <c r="Q1035" t="s">
        <v>74</v>
      </c>
      <c r="R1035" t="s">
        <v>48</v>
      </c>
      <c r="S1035" t="s">
        <v>49</v>
      </c>
      <c r="T1035" t="s">
        <v>117</v>
      </c>
      <c r="U1035" t="s">
        <v>3166</v>
      </c>
      <c r="V1035">
        <v>43500</v>
      </c>
      <c r="W1035" t="s">
        <v>48</v>
      </c>
      <c r="X1035" t="s">
        <v>398</v>
      </c>
      <c r="Y1035" t="s">
        <v>54</v>
      </c>
      <c r="Z1035" s="12">
        <f>IF(N1035&lt;=1,9,9+0.8*ROUNDUP(N1035-1,0))</f>
        <v>9</v>
      </c>
      <c r="AA1035" s="11">
        <v>-2</v>
      </c>
      <c r="AB1035" s="11">
        <v>0</v>
      </c>
      <c r="AC1035" s="11">
        <v>0</v>
      </c>
      <c r="AD1035" s="11">
        <v>0</v>
      </c>
      <c r="AE1035" s="11">
        <v>0</v>
      </c>
      <c r="AF1035" s="11">
        <f t="shared" si="48"/>
        <v>0.42</v>
      </c>
      <c r="AG1035" s="11">
        <f t="shared" si="49"/>
        <v>7.42</v>
      </c>
      <c r="AH1035" s="11">
        <v>0</v>
      </c>
      <c r="AI1035" s="11">
        <f t="shared" si="50"/>
        <v>7.42</v>
      </c>
      <c r="AJ1035" t="s">
        <v>62</v>
      </c>
    </row>
    <row r="1036" spans="1:36" ht="15" customHeight="1" x14ac:dyDescent="0.35">
      <c r="A1036">
        <v>10428918</v>
      </c>
      <c r="B1036" t="s">
        <v>36</v>
      </c>
      <c r="C1036" t="s">
        <v>37</v>
      </c>
      <c r="D1036" s="6" t="s">
        <v>38</v>
      </c>
      <c r="E1036" t="s">
        <v>3167</v>
      </c>
      <c r="F1036" t="s">
        <v>40</v>
      </c>
      <c r="G1036" t="s">
        <v>41</v>
      </c>
      <c r="H1036" t="s">
        <v>3168</v>
      </c>
      <c r="I1036" t="s">
        <v>43</v>
      </c>
      <c r="J1036">
        <v>2</v>
      </c>
      <c r="K1036" t="s">
        <v>44</v>
      </c>
      <c r="L1036" t="s">
        <v>45</v>
      </c>
      <c r="M1036" t="s">
        <v>46</v>
      </c>
      <c r="N1036" s="7">
        <v>1</v>
      </c>
      <c r="O1036" s="8">
        <v>45629.790138888886</v>
      </c>
      <c r="P1036" s="9">
        <v>45631</v>
      </c>
      <c r="Q1036" t="s">
        <v>74</v>
      </c>
      <c r="R1036" t="s">
        <v>48</v>
      </c>
      <c r="S1036" t="s">
        <v>49</v>
      </c>
      <c r="T1036" t="s">
        <v>75</v>
      </c>
      <c r="U1036" t="s">
        <v>3169</v>
      </c>
      <c r="V1036">
        <v>26050</v>
      </c>
      <c r="W1036" t="s">
        <v>48</v>
      </c>
      <c r="X1036" t="s">
        <v>77</v>
      </c>
      <c r="Y1036" t="s">
        <v>54</v>
      </c>
      <c r="Z1036" s="12">
        <f>IF(N1036&lt;=1,9,9+0.8*ROUNDUP(N1036-1,0))</f>
        <v>9</v>
      </c>
      <c r="AA1036" s="11">
        <v>-2</v>
      </c>
      <c r="AB1036" s="11">
        <v>0</v>
      </c>
      <c r="AC1036" s="11">
        <v>0</v>
      </c>
      <c r="AD1036" s="11">
        <v>0</v>
      </c>
      <c r="AE1036" s="11">
        <v>0</v>
      </c>
      <c r="AF1036" s="11">
        <f t="shared" si="48"/>
        <v>0.42</v>
      </c>
      <c r="AG1036" s="11">
        <f t="shared" si="49"/>
        <v>7.42</v>
      </c>
      <c r="AH1036" s="11">
        <v>0</v>
      </c>
      <c r="AI1036" s="11">
        <f t="shared" si="50"/>
        <v>7.42</v>
      </c>
      <c r="AJ1036" t="s">
        <v>62</v>
      </c>
    </row>
    <row r="1037" spans="1:36" ht="15" customHeight="1" x14ac:dyDescent="0.35">
      <c r="A1037">
        <v>10428918</v>
      </c>
      <c r="B1037" t="s">
        <v>36</v>
      </c>
      <c r="C1037" t="s">
        <v>37</v>
      </c>
      <c r="D1037" s="6" t="s">
        <v>38</v>
      </c>
      <c r="E1037" t="s">
        <v>3170</v>
      </c>
      <c r="F1037" t="s">
        <v>40</v>
      </c>
      <c r="G1037" t="s">
        <v>41</v>
      </c>
      <c r="H1037" t="s">
        <v>3171</v>
      </c>
      <c r="I1037" t="s">
        <v>43</v>
      </c>
      <c r="J1037">
        <v>2</v>
      </c>
      <c r="K1037" t="s">
        <v>44</v>
      </c>
      <c r="L1037" t="s">
        <v>45</v>
      </c>
      <c r="M1037" t="s">
        <v>46</v>
      </c>
      <c r="N1037" s="7">
        <v>1</v>
      </c>
      <c r="O1037" s="8">
        <v>45630.43136574074</v>
      </c>
      <c r="P1037" s="9">
        <v>45631</v>
      </c>
      <c r="Q1037" t="s">
        <v>74</v>
      </c>
      <c r="R1037" t="s">
        <v>48</v>
      </c>
      <c r="S1037" t="s">
        <v>49</v>
      </c>
      <c r="T1037" t="s">
        <v>75</v>
      </c>
      <c r="U1037" t="s">
        <v>3172</v>
      </c>
      <c r="V1037">
        <v>26300</v>
      </c>
      <c r="W1037" t="s">
        <v>48</v>
      </c>
      <c r="X1037" t="s">
        <v>77</v>
      </c>
      <c r="Y1037" t="s">
        <v>54</v>
      </c>
      <c r="Z1037" s="12">
        <f>IF(N1037&lt;=1,9,9+0.8*ROUNDUP(N1037-1,0))</f>
        <v>9</v>
      </c>
      <c r="AA1037" s="11">
        <v>-2</v>
      </c>
      <c r="AB1037" s="11">
        <v>0</v>
      </c>
      <c r="AC1037" s="11">
        <v>0</v>
      </c>
      <c r="AD1037" s="11">
        <v>0</v>
      </c>
      <c r="AE1037" s="11">
        <v>0</v>
      </c>
      <c r="AF1037" s="11">
        <f t="shared" si="48"/>
        <v>0.42</v>
      </c>
      <c r="AG1037" s="11">
        <f t="shared" si="49"/>
        <v>7.42</v>
      </c>
      <c r="AH1037" s="11">
        <v>0</v>
      </c>
      <c r="AI1037" s="11">
        <f t="shared" si="50"/>
        <v>7.42</v>
      </c>
      <c r="AJ1037" t="s">
        <v>62</v>
      </c>
    </row>
    <row r="1038" spans="1:36" ht="15" customHeight="1" x14ac:dyDescent="0.35">
      <c r="A1038">
        <v>10428918</v>
      </c>
      <c r="B1038" t="s">
        <v>36</v>
      </c>
      <c r="C1038" t="s">
        <v>37</v>
      </c>
      <c r="D1038" s="6" t="s">
        <v>38</v>
      </c>
      <c r="E1038" t="s">
        <v>3173</v>
      </c>
      <c r="F1038" t="s">
        <v>40</v>
      </c>
      <c r="G1038" t="s">
        <v>41</v>
      </c>
      <c r="H1038" t="s">
        <v>3174</v>
      </c>
      <c r="I1038" t="s">
        <v>43</v>
      </c>
      <c r="J1038">
        <v>2</v>
      </c>
      <c r="K1038" t="s">
        <v>44</v>
      </c>
      <c r="L1038" t="s">
        <v>45</v>
      </c>
      <c r="M1038" t="s">
        <v>46</v>
      </c>
      <c r="N1038" s="7">
        <v>1</v>
      </c>
      <c r="O1038" s="8">
        <v>45628.587789351855</v>
      </c>
      <c r="P1038" s="9">
        <v>45631</v>
      </c>
      <c r="Q1038" t="s">
        <v>74</v>
      </c>
      <c r="R1038" t="s">
        <v>48</v>
      </c>
      <c r="S1038" t="s">
        <v>49</v>
      </c>
      <c r="T1038" t="s">
        <v>69</v>
      </c>
      <c r="U1038" t="s">
        <v>3175</v>
      </c>
      <c r="V1038">
        <v>79250</v>
      </c>
      <c r="W1038" t="s">
        <v>48</v>
      </c>
      <c r="X1038" t="s">
        <v>53</v>
      </c>
      <c r="Y1038" t="s">
        <v>54</v>
      </c>
      <c r="Z1038" s="12">
        <f>IF(N1038&lt;=1,9,9+0.8*ROUNDUP(N1038-1,0))</f>
        <v>9</v>
      </c>
      <c r="AA1038" s="11">
        <v>-2</v>
      </c>
      <c r="AB1038" s="11">
        <v>0</v>
      </c>
      <c r="AC1038" s="11">
        <v>0</v>
      </c>
      <c r="AD1038" s="11">
        <v>0</v>
      </c>
      <c r="AE1038" s="11">
        <v>0</v>
      </c>
      <c r="AF1038" s="11">
        <f t="shared" si="48"/>
        <v>0.42</v>
      </c>
      <c r="AG1038" s="11">
        <f t="shared" si="49"/>
        <v>7.42</v>
      </c>
      <c r="AH1038" s="11">
        <v>0</v>
      </c>
      <c r="AI1038" s="11">
        <f t="shared" si="50"/>
        <v>7.42</v>
      </c>
      <c r="AJ1038" t="s">
        <v>62</v>
      </c>
    </row>
    <row r="1039" spans="1:36" ht="15" customHeight="1" x14ac:dyDescent="0.35">
      <c r="A1039">
        <v>10428918</v>
      </c>
      <c r="B1039" t="s">
        <v>36</v>
      </c>
      <c r="C1039" t="s">
        <v>37</v>
      </c>
      <c r="D1039" s="6" t="s">
        <v>38</v>
      </c>
      <c r="E1039" t="s">
        <v>3176</v>
      </c>
      <c r="F1039" t="s">
        <v>40</v>
      </c>
      <c r="G1039" t="s">
        <v>41</v>
      </c>
      <c r="H1039" t="s">
        <v>3177</v>
      </c>
      <c r="I1039" t="s">
        <v>43</v>
      </c>
      <c r="J1039">
        <v>2</v>
      </c>
      <c r="K1039" t="s">
        <v>44</v>
      </c>
      <c r="L1039" t="s">
        <v>45</v>
      </c>
      <c r="M1039" t="s">
        <v>46</v>
      </c>
      <c r="N1039" s="7">
        <v>1</v>
      </c>
      <c r="O1039" s="8">
        <v>45627.432662037034</v>
      </c>
      <c r="P1039" s="9">
        <v>45631</v>
      </c>
      <c r="Q1039" t="s">
        <v>74</v>
      </c>
      <c r="R1039" t="s">
        <v>48</v>
      </c>
      <c r="S1039" t="s">
        <v>49</v>
      </c>
      <c r="T1039" t="s">
        <v>101</v>
      </c>
      <c r="U1039" t="s">
        <v>3178</v>
      </c>
      <c r="V1039">
        <v>31300</v>
      </c>
      <c r="W1039" t="s">
        <v>48</v>
      </c>
      <c r="X1039" t="s">
        <v>2545</v>
      </c>
      <c r="Y1039" t="s">
        <v>54</v>
      </c>
      <c r="Z1039" s="12">
        <f>IF(N1039&lt;=1,9,9+0.8*ROUNDUP(N1039-1,0))</f>
        <v>9</v>
      </c>
      <c r="AA1039" s="11">
        <v>-2</v>
      </c>
      <c r="AB1039" s="11">
        <v>0</v>
      </c>
      <c r="AC1039" s="11">
        <v>0</v>
      </c>
      <c r="AD1039" s="11">
        <v>0</v>
      </c>
      <c r="AE1039" s="11">
        <v>0</v>
      </c>
      <c r="AF1039" s="11">
        <f t="shared" si="48"/>
        <v>0.42</v>
      </c>
      <c r="AG1039" s="11">
        <f t="shared" si="49"/>
        <v>7.42</v>
      </c>
      <c r="AH1039" s="11">
        <v>0</v>
      </c>
      <c r="AI1039" s="11">
        <f t="shared" si="50"/>
        <v>7.42</v>
      </c>
      <c r="AJ1039" t="s">
        <v>62</v>
      </c>
    </row>
    <row r="1040" spans="1:36" ht="15" customHeight="1" x14ac:dyDescent="0.35">
      <c r="A1040">
        <v>10428918</v>
      </c>
      <c r="B1040" t="s">
        <v>36</v>
      </c>
      <c r="C1040" t="s">
        <v>37</v>
      </c>
      <c r="D1040" s="6" t="s">
        <v>38</v>
      </c>
      <c r="E1040" t="s">
        <v>3179</v>
      </c>
      <c r="F1040" t="s">
        <v>40</v>
      </c>
      <c r="G1040" t="s">
        <v>41</v>
      </c>
      <c r="H1040" t="s">
        <v>3180</v>
      </c>
      <c r="I1040" t="s">
        <v>43</v>
      </c>
      <c r="J1040">
        <v>2</v>
      </c>
      <c r="K1040" t="s">
        <v>44</v>
      </c>
      <c r="L1040" t="s">
        <v>45</v>
      </c>
      <c r="M1040" t="s">
        <v>46</v>
      </c>
      <c r="N1040" s="7">
        <v>1</v>
      </c>
      <c r="O1040" s="8">
        <v>45629.801249999997</v>
      </c>
      <c r="P1040" s="9">
        <v>45631</v>
      </c>
      <c r="Q1040" t="s">
        <v>74</v>
      </c>
      <c r="R1040" t="s">
        <v>48</v>
      </c>
      <c r="S1040" t="s">
        <v>49</v>
      </c>
      <c r="T1040" t="s">
        <v>59</v>
      </c>
      <c r="U1040" t="s">
        <v>3181</v>
      </c>
      <c r="V1040">
        <v>15586</v>
      </c>
      <c r="W1040" t="s">
        <v>48</v>
      </c>
      <c r="X1040" t="s">
        <v>61</v>
      </c>
      <c r="Y1040" t="s">
        <v>54</v>
      </c>
      <c r="Z1040" s="12">
        <f>IF(N1040&lt;=1,9,9+0.8*ROUNDUP(N1040-1,0))</f>
        <v>9</v>
      </c>
      <c r="AA1040" s="11">
        <v>-2</v>
      </c>
      <c r="AB1040" s="11">
        <v>0</v>
      </c>
      <c r="AC1040" s="11">
        <v>0</v>
      </c>
      <c r="AD1040" s="11">
        <v>0</v>
      </c>
      <c r="AE1040" s="11">
        <v>0</v>
      </c>
      <c r="AF1040" s="11">
        <f t="shared" si="48"/>
        <v>0.42</v>
      </c>
      <c r="AG1040" s="11">
        <f t="shared" si="49"/>
        <v>7.42</v>
      </c>
      <c r="AH1040" s="11">
        <v>0</v>
      </c>
      <c r="AI1040" s="11">
        <f t="shared" si="50"/>
        <v>7.42</v>
      </c>
      <c r="AJ1040" t="s">
        <v>62</v>
      </c>
    </row>
    <row r="1041" spans="1:36" ht="15" customHeight="1" x14ac:dyDescent="0.35">
      <c r="A1041">
        <v>10428918</v>
      </c>
      <c r="B1041" t="s">
        <v>36</v>
      </c>
      <c r="C1041" t="s">
        <v>37</v>
      </c>
      <c r="D1041" s="6" t="s">
        <v>38</v>
      </c>
      <c r="E1041" t="s">
        <v>3182</v>
      </c>
      <c r="F1041" t="s">
        <v>40</v>
      </c>
      <c r="G1041" t="s">
        <v>41</v>
      </c>
      <c r="H1041" t="s">
        <v>3183</v>
      </c>
      <c r="I1041" t="s">
        <v>43</v>
      </c>
      <c r="J1041">
        <v>2</v>
      </c>
      <c r="K1041" t="s">
        <v>44</v>
      </c>
      <c r="L1041" t="s">
        <v>45</v>
      </c>
      <c r="M1041" t="s">
        <v>46</v>
      </c>
      <c r="N1041" s="7">
        <v>1</v>
      </c>
      <c r="O1041" s="8">
        <v>45629.775995370372</v>
      </c>
      <c r="P1041" s="9">
        <v>45631</v>
      </c>
      <c r="Q1041" t="s">
        <v>74</v>
      </c>
      <c r="R1041" t="s">
        <v>48</v>
      </c>
      <c r="S1041" t="s">
        <v>49</v>
      </c>
      <c r="T1041" t="s">
        <v>90</v>
      </c>
      <c r="U1041" t="s">
        <v>3184</v>
      </c>
      <c r="V1041">
        <v>23000</v>
      </c>
      <c r="W1041" t="s">
        <v>48</v>
      </c>
      <c r="X1041" t="s">
        <v>92</v>
      </c>
      <c r="Y1041" t="s">
        <v>54</v>
      </c>
      <c r="Z1041" s="12">
        <f>IF(N1041&lt;=1,9,9+0.8*ROUNDUP(N1041-1,0))</f>
        <v>9</v>
      </c>
      <c r="AA1041" s="11">
        <v>-2</v>
      </c>
      <c r="AB1041" s="11">
        <v>0</v>
      </c>
      <c r="AC1041" s="11">
        <v>0</v>
      </c>
      <c r="AD1041" s="11">
        <v>0</v>
      </c>
      <c r="AE1041" s="11">
        <v>0</v>
      </c>
      <c r="AF1041" s="11">
        <f t="shared" si="48"/>
        <v>0.42</v>
      </c>
      <c r="AG1041" s="11">
        <f t="shared" si="49"/>
        <v>7.42</v>
      </c>
      <c r="AH1041" s="11">
        <v>0</v>
      </c>
      <c r="AI1041" s="11">
        <f t="shared" si="50"/>
        <v>7.42</v>
      </c>
      <c r="AJ1041" t="s">
        <v>62</v>
      </c>
    </row>
    <row r="1042" spans="1:36" ht="15" customHeight="1" x14ac:dyDescent="0.35">
      <c r="A1042">
        <v>10428918</v>
      </c>
      <c r="B1042" t="s">
        <v>36</v>
      </c>
      <c r="C1042" t="s">
        <v>37</v>
      </c>
      <c r="D1042" s="6" t="s">
        <v>38</v>
      </c>
      <c r="E1042" t="s">
        <v>3185</v>
      </c>
      <c r="F1042" t="s">
        <v>40</v>
      </c>
      <c r="G1042" t="s">
        <v>41</v>
      </c>
      <c r="H1042" t="s">
        <v>3186</v>
      </c>
      <c r="I1042" t="s">
        <v>43</v>
      </c>
      <c r="J1042">
        <v>2</v>
      </c>
      <c r="K1042" t="s">
        <v>44</v>
      </c>
      <c r="L1042" t="s">
        <v>45</v>
      </c>
      <c r="M1042" t="s">
        <v>46</v>
      </c>
      <c r="N1042" s="7">
        <v>2</v>
      </c>
      <c r="O1042" s="8">
        <v>45630.557766203703</v>
      </c>
      <c r="P1042" s="9">
        <v>45631</v>
      </c>
      <c r="Q1042" t="s">
        <v>74</v>
      </c>
      <c r="R1042" t="s">
        <v>48</v>
      </c>
      <c r="S1042" t="s">
        <v>49</v>
      </c>
      <c r="T1042" t="s">
        <v>559</v>
      </c>
      <c r="U1042" t="s">
        <v>3187</v>
      </c>
      <c r="V1042">
        <v>62250</v>
      </c>
      <c r="W1042" t="s">
        <v>48</v>
      </c>
      <c r="X1042" t="s">
        <v>224</v>
      </c>
      <c r="Y1042" t="s">
        <v>54</v>
      </c>
      <c r="Z1042" s="12">
        <f>IF(N1042&lt;=1,9,9+0.8*ROUNDUP(N1042-1,0))</f>
        <v>9.8000000000000007</v>
      </c>
      <c r="AA1042" s="11">
        <v>-2</v>
      </c>
      <c r="AB1042" s="11">
        <v>0</v>
      </c>
      <c r="AC1042" s="11">
        <v>0</v>
      </c>
      <c r="AD1042" s="11">
        <v>0</v>
      </c>
      <c r="AE1042" s="11">
        <v>0</v>
      </c>
      <c r="AF1042" s="11">
        <f t="shared" si="48"/>
        <v>0.46800000000000003</v>
      </c>
      <c r="AG1042" s="11">
        <f t="shared" si="49"/>
        <v>8.2680000000000007</v>
      </c>
      <c r="AH1042" s="11">
        <v>0</v>
      </c>
      <c r="AI1042" s="11">
        <f t="shared" si="50"/>
        <v>8.2680000000000007</v>
      </c>
      <c r="AJ1042" t="s">
        <v>62</v>
      </c>
    </row>
    <row r="1043" spans="1:36" ht="15" customHeight="1" x14ac:dyDescent="0.35">
      <c r="A1043">
        <v>10428918</v>
      </c>
      <c r="B1043" t="s">
        <v>36</v>
      </c>
      <c r="C1043" t="s">
        <v>37</v>
      </c>
      <c r="D1043" s="6" t="s">
        <v>38</v>
      </c>
      <c r="E1043" t="s">
        <v>3188</v>
      </c>
      <c r="F1043" t="s">
        <v>40</v>
      </c>
      <c r="G1043" t="s">
        <v>41</v>
      </c>
      <c r="H1043" t="s">
        <v>3189</v>
      </c>
      <c r="I1043" t="s">
        <v>43</v>
      </c>
      <c r="J1043">
        <v>2</v>
      </c>
      <c r="K1043" t="s">
        <v>44</v>
      </c>
      <c r="L1043" t="s">
        <v>45</v>
      </c>
      <c r="M1043" t="s">
        <v>46</v>
      </c>
      <c r="N1043" s="7">
        <v>1</v>
      </c>
      <c r="O1043" s="8">
        <v>45629.710381944446</v>
      </c>
      <c r="P1043" s="9">
        <v>45631</v>
      </c>
      <c r="Q1043" t="s">
        <v>74</v>
      </c>
      <c r="R1043" t="s">
        <v>48</v>
      </c>
      <c r="S1043" t="s">
        <v>49</v>
      </c>
      <c r="T1043" t="s">
        <v>170</v>
      </c>
      <c r="U1043" t="s">
        <v>3190</v>
      </c>
      <c r="V1043">
        <v>56100</v>
      </c>
      <c r="W1043" t="s">
        <v>48</v>
      </c>
      <c r="X1043" t="s">
        <v>53</v>
      </c>
      <c r="Y1043" t="s">
        <v>54</v>
      </c>
      <c r="Z1043" s="12">
        <f>IF(N1043&lt;=1,9,9+0.8*ROUNDUP(N1043-1,0))</f>
        <v>9</v>
      </c>
      <c r="AA1043" s="11">
        <v>-2</v>
      </c>
      <c r="AB1043" s="11">
        <v>0</v>
      </c>
      <c r="AC1043" s="11">
        <v>0</v>
      </c>
      <c r="AD1043" s="11">
        <v>0</v>
      </c>
      <c r="AE1043" s="11">
        <v>0</v>
      </c>
      <c r="AF1043" s="11">
        <f t="shared" si="48"/>
        <v>0.42</v>
      </c>
      <c r="AG1043" s="11">
        <f t="shared" si="49"/>
        <v>7.42</v>
      </c>
      <c r="AH1043" s="11">
        <v>0</v>
      </c>
      <c r="AI1043" s="11">
        <f t="shared" si="50"/>
        <v>7.42</v>
      </c>
      <c r="AJ1043" t="s">
        <v>62</v>
      </c>
    </row>
    <row r="1044" spans="1:36" ht="15" customHeight="1" x14ac:dyDescent="0.35">
      <c r="A1044">
        <v>10428918</v>
      </c>
      <c r="B1044" t="s">
        <v>36</v>
      </c>
      <c r="C1044" t="s">
        <v>37</v>
      </c>
      <c r="D1044" s="6" t="s">
        <v>38</v>
      </c>
      <c r="E1044" t="s">
        <v>3191</v>
      </c>
      <c r="F1044" t="s">
        <v>40</v>
      </c>
      <c r="G1044" t="s">
        <v>41</v>
      </c>
      <c r="H1044" t="s">
        <v>3192</v>
      </c>
      <c r="I1044" t="s">
        <v>43</v>
      </c>
      <c r="J1044">
        <v>2</v>
      </c>
      <c r="K1044" t="s">
        <v>44</v>
      </c>
      <c r="L1044" t="s">
        <v>45</v>
      </c>
      <c r="M1044" t="s">
        <v>46</v>
      </c>
      <c r="N1044" s="7">
        <v>2</v>
      </c>
      <c r="O1044" s="8">
        <v>45629.790150462963</v>
      </c>
      <c r="P1044" s="9">
        <v>45631</v>
      </c>
      <c r="Q1044" t="s">
        <v>74</v>
      </c>
      <c r="R1044" t="s">
        <v>48</v>
      </c>
      <c r="S1044" t="s">
        <v>49</v>
      </c>
      <c r="T1044" t="s">
        <v>170</v>
      </c>
      <c r="U1044" t="s">
        <v>3193</v>
      </c>
      <c r="V1044">
        <v>59200</v>
      </c>
      <c r="W1044" t="s">
        <v>48</v>
      </c>
      <c r="X1044" t="s">
        <v>3194</v>
      </c>
      <c r="Y1044" t="s">
        <v>54</v>
      </c>
      <c r="Z1044" s="12">
        <f>IF(N1044&lt;=1,9,9+0.8*ROUNDUP(N1044-1,0))</f>
        <v>9.8000000000000007</v>
      </c>
      <c r="AA1044" s="11">
        <v>-2</v>
      </c>
      <c r="AB1044" s="11">
        <v>0</v>
      </c>
      <c r="AC1044" s="11">
        <v>0</v>
      </c>
      <c r="AD1044" s="11">
        <v>0</v>
      </c>
      <c r="AE1044" s="11">
        <v>0</v>
      </c>
      <c r="AF1044" s="11">
        <f t="shared" si="48"/>
        <v>0.46800000000000003</v>
      </c>
      <c r="AG1044" s="11">
        <f t="shared" si="49"/>
        <v>8.2680000000000007</v>
      </c>
      <c r="AH1044" s="11">
        <v>0</v>
      </c>
      <c r="AI1044" s="11">
        <f t="shared" si="50"/>
        <v>8.2680000000000007</v>
      </c>
      <c r="AJ1044" t="s">
        <v>62</v>
      </c>
    </row>
    <row r="1045" spans="1:36" ht="15" customHeight="1" x14ac:dyDescent="0.35">
      <c r="A1045">
        <v>10428918</v>
      </c>
      <c r="B1045" t="s">
        <v>36</v>
      </c>
      <c r="C1045" t="s">
        <v>37</v>
      </c>
      <c r="D1045" s="6" t="s">
        <v>38</v>
      </c>
      <c r="E1045" t="s">
        <v>3195</v>
      </c>
      <c r="F1045" t="s">
        <v>40</v>
      </c>
      <c r="G1045" t="s">
        <v>41</v>
      </c>
      <c r="H1045" t="s">
        <v>3196</v>
      </c>
      <c r="I1045" t="s">
        <v>43</v>
      </c>
      <c r="J1045">
        <v>2</v>
      </c>
      <c r="K1045" t="s">
        <v>44</v>
      </c>
      <c r="L1045" t="s">
        <v>45</v>
      </c>
      <c r="M1045" t="s">
        <v>46</v>
      </c>
      <c r="N1045" s="7">
        <v>1</v>
      </c>
      <c r="O1045" s="8">
        <v>45629.775983796295</v>
      </c>
      <c r="P1045" s="9">
        <v>45631</v>
      </c>
      <c r="Q1045" t="s">
        <v>74</v>
      </c>
      <c r="R1045" t="s">
        <v>48</v>
      </c>
      <c r="S1045" t="s">
        <v>49</v>
      </c>
      <c r="T1045" t="s">
        <v>117</v>
      </c>
      <c r="U1045" t="s">
        <v>3197</v>
      </c>
      <c r="V1045">
        <v>43800</v>
      </c>
      <c r="W1045" t="s">
        <v>48</v>
      </c>
      <c r="X1045" t="s">
        <v>228</v>
      </c>
      <c r="Y1045" t="s">
        <v>54</v>
      </c>
      <c r="Z1045" s="12">
        <f>IF(N1045&lt;=1,9,9+0.8*ROUNDUP(N1045-1,0))</f>
        <v>9</v>
      </c>
      <c r="AA1045" s="11">
        <v>-2</v>
      </c>
      <c r="AB1045" s="11">
        <v>0</v>
      </c>
      <c r="AC1045" s="11">
        <v>0</v>
      </c>
      <c r="AD1045" s="11">
        <v>0</v>
      </c>
      <c r="AE1045" s="11">
        <v>0</v>
      </c>
      <c r="AF1045" s="11">
        <f t="shared" si="48"/>
        <v>0.42</v>
      </c>
      <c r="AG1045" s="11">
        <f t="shared" si="49"/>
        <v>7.42</v>
      </c>
      <c r="AH1045" s="11">
        <v>0</v>
      </c>
      <c r="AI1045" s="11">
        <f t="shared" si="50"/>
        <v>7.42</v>
      </c>
      <c r="AJ1045" t="s">
        <v>62</v>
      </c>
    </row>
    <row r="1046" spans="1:36" ht="15" customHeight="1" x14ac:dyDescent="0.35">
      <c r="A1046">
        <v>10428918</v>
      </c>
      <c r="B1046" t="s">
        <v>36</v>
      </c>
      <c r="C1046" t="s">
        <v>37</v>
      </c>
      <c r="D1046" s="6" t="s">
        <v>38</v>
      </c>
      <c r="E1046" t="s">
        <v>3198</v>
      </c>
      <c r="F1046" t="s">
        <v>40</v>
      </c>
      <c r="G1046" t="s">
        <v>41</v>
      </c>
      <c r="H1046" t="s">
        <v>3199</v>
      </c>
      <c r="I1046" t="s">
        <v>43</v>
      </c>
      <c r="J1046">
        <v>2</v>
      </c>
      <c r="K1046" t="s">
        <v>44</v>
      </c>
      <c r="L1046" t="s">
        <v>45</v>
      </c>
      <c r="M1046" t="s">
        <v>46</v>
      </c>
      <c r="N1046" s="7">
        <v>1</v>
      </c>
      <c r="O1046" s="8">
        <v>45629.495613425926</v>
      </c>
      <c r="P1046" s="9">
        <v>45631</v>
      </c>
      <c r="Q1046" t="s">
        <v>74</v>
      </c>
      <c r="R1046" t="s">
        <v>48</v>
      </c>
      <c r="S1046" t="s">
        <v>49</v>
      </c>
      <c r="T1046" t="s">
        <v>170</v>
      </c>
      <c r="U1046" t="s">
        <v>3200</v>
      </c>
      <c r="V1046">
        <v>50050</v>
      </c>
      <c r="W1046" t="s">
        <v>48</v>
      </c>
      <c r="X1046" t="s">
        <v>53</v>
      </c>
      <c r="Y1046" t="s">
        <v>54</v>
      </c>
      <c r="Z1046" s="12">
        <f>IF(N1046&lt;=1,9,9+0.8*ROUNDUP(N1046-1,0))</f>
        <v>9</v>
      </c>
      <c r="AA1046" s="11">
        <v>-2</v>
      </c>
      <c r="AB1046" s="11">
        <v>0</v>
      </c>
      <c r="AC1046" s="11">
        <v>0</v>
      </c>
      <c r="AD1046" s="11">
        <v>0</v>
      </c>
      <c r="AE1046" s="11">
        <v>0</v>
      </c>
      <c r="AF1046" s="11">
        <f t="shared" si="48"/>
        <v>0.42</v>
      </c>
      <c r="AG1046" s="11">
        <f t="shared" si="49"/>
        <v>7.42</v>
      </c>
      <c r="AH1046" s="11">
        <v>0</v>
      </c>
      <c r="AI1046" s="11">
        <f t="shared" si="50"/>
        <v>7.42</v>
      </c>
      <c r="AJ1046" t="s">
        <v>62</v>
      </c>
    </row>
    <row r="1047" spans="1:36" ht="15" customHeight="1" x14ac:dyDescent="0.35">
      <c r="A1047">
        <v>10428918</v>
      </c>
      <c r="B1047" t="s">
        <v>36</v>
      </c>
      <c r="C1047" t="s">
        <v>37</v>
      </c>
      <c r="D1047" s="6" t="s">
        <v>38</v>
      </c>
      <c r="E1047" t="s">
        <v>3201</v>
      </c>
      <c r="F1047" t="s">
        <v>40</v>
      </c>
      <c r="G1047" t="s">
        <v>41</v>
      </c>
      <c r="H1047" t="s">
        <v>3202</v>
      </c>
      <c r="I1047" t="s">
        <v>43</v>
      </c>
      <c r="J1047">
        <v>2</v>
      </c>
      <c r="K1047" t="s">
        <v>44</v>
      </c>
      <c r="L1047" t="s">
        <v>45</v>
      </c>
      <c r="M1047" t="s">
        <v>46</v>
      </c>
      <c r="N1047" s="7">
        <v>1</v>
      </c>
      <c r="O1047" s="8">
        <v>45629.790138888886</v>
      </c>
      <c r="P1047" s="9">
        <v>45631</v>
      </c>
      <c r="Q1047" t="s">
        <v>74</v>
      </c>
      <c r="R1047" t="s">
        <v>48</v>
      </c>
      <c r="S1047" t="s">
        <v>49</v>
      </c>
      <c r="T1047" t="s">
        <v>59</v>
      </c>
      <c r="U1047" t="s">
        <v>3203</v>
      </c>
      <c r="V1047">
        <v>16100</v>
      </c>
      <c r="W1047" t="s">
        <v>48</v>
      </c>
      <c r="X1047" t="s">
        <v>61</v>
      </c>
      <c r="Y1047" t="s">
        <v>54</v>
      </c>
      <c r="Z1047" s="12">
        <f>IF(N1047&lt;=1,9,9+0.8*ROUNDUP(N1047-1,0))</f>
        <v>9</v>
      </c>
      <c r="AA1047" s="11">
        <v>-2</v>
      </c>
      <c r="AB1047" s="11">
        <v>0</v>
      </c>
      <c r="AC1047" s="11">
        <v>0</v>
      </c>
      <c r="AD1047" s="11">
        <v>0</v>
      </c>
      <c r="AE1047" s="11">
        <v>0</v>
      </c>
      <c r="AF1047" s="11">
        <f t="shared" si="48"/>
        <v>0.42</v>
      </c>
      <c r="AG1047" s="11">
        <f t="shared" si="49"/>
        <v>7.42</v>
      </c>
      <c r="AH1047" s="11">
        <v>0</v>
      </c>
      <c r="AI1047" s="11">
        <f t="shared" si="50"/>
        <v>7.42</v>
      </c>
      <c r="AJ1047" t="s">
        <v>62</v>
      </c>
    </row>
    <row r="1048" spans="1:36" ht="15" customHeight="1" x14ac:dyDescent="0.35">
      <c r="A1048">
        <v>10428918</v>
      </c>
      <c r="B1048" t="s">
        <v>36</v>
      </c>
      <c r="C1048" t="s">
        <v>37</v>
      </c>
      <c r="D1048" s="6" t="s">
        <v>38</v>
      </c>
      <c r="E1048" t="s">
        <v>3204</v>
      </c>
      <c r="F1048" t="s">
        <v>40</v>
      </c>
      <c r="G1048" t="s">
        <v>41</v>
      </c>
      <c r="H1048" t="s">
        <v>3205</v>
      </c>
      <c r="I1048" t="s">
        <v>43</v>
      </c>
      <c r="J1048">
        <v>2</v>
      </c>
      <c r="K1048" t="s">
        <v>44</v>
      </c>
      <c r="L1048" t="s">
        <v>45</v>
      </c>
      <c r="M1048" t="s">
        <v>46</v>
      </c>
      <c r="N1048" s="7">
        <v>1</v>
      </c>
      <c r="O1048" s="8">
        <v>45630.557766203703</v>
      </c>
      <c r="P1048" s="9">
        <v>45631</v>
      </c>
      <c r="Q1048" t="s">
        <v>74</v>
      </c>
      <c r="R1048" t="s">
        <v>48</v>
      </c>
      <c r="S1048" t="s">
        <v>49</v>
      </c>
      <c r="T1048" t="s">
        <v>90</v>
      </c>
      <c r="U1048" t="s">
        <v>3206</v>
      </c>
      <c r="V1048">
        <v>21700</v>
      </c>
      <c r="W1048" t="s">
        <v>48</v>
      </c>
      <c r="X1048" t="s">
        <v>92</v>
      </c>
      <c r="Y1048" t="s">
        <v>54</v>
      </c>
      <c r="Z1048" s="12">
        <f>IF(N1048&lt;=1,9,9+0.8*ROUNDUP(N1048-1,0))</f>
        <v>9</v>
      </c>
      <c r="AA1048" s="11">
        <v>-2</v>
      </c>
      <c r="AB1048" s="11">
        <v>0</v>
      </c>
      <c r="AC1048" s="11">
        <v>0</v>
      </c>
      <c r="AD1048" s="11">
        <v>0</v>
      </c>
      <c r="AE1048" s="11">
        <v>0</v>
      </c>
      <c r="AF1048" s="11">
        <f t="shared" si="48"/>
        <v>0.42</v>
      </c>
      <c r="AG1048" s="11">
        <f t="shared" si="49"/>
        <v>7.42</v>
      </c>
      <c r="AH1048" s="11">
        <v>0</v>
      </c>
      <c r="AI1048" s="11">
        <f t="shared" si="50"/>
        <v>7.42</v>
      </c>
      <c r="AJ1048" t="s">
        <v>62</v>
      </c>
    </row>
    <row r="1049" spans="1:36" ht="15" customHeight="1" x14ac:dyDescent="0.35">
      <c r="A1049">
        <v>10428918</v>
      </c>
      <c r="B1049" t="s">
        <v>36</v>
      </c>
      <c r="C1049" t="s">
        <v>37</v>
      </c>
      <c r="D1049" s="6" t="s">
        <v>38</v>
      </c>
      <c r="E1049" t="s">
        <v>3207</v>
      </c>
      <c r="F1049" t="s">
        <v>40</v>
      </c>
      <c r="G1049" t="s">
        <v>41</v>
      </c>
      <c r="H1049" t="s">
        <v>3208</v>
      </c>
      <c r="I1049" t="s">
        <v>43</v>
      </c>
      <c r="J1049">
        <v>2</v>
      </c>
      <c r="K1049" t="s">
        <v>44</v>
      </c>
      <c r="L1049" t="s">
        <v>45</v>
      </c>
      <c r="M1049" t="s">
        <v>46</v>
      </c>
      <c r="N1049" s="7">
        <v>2</v>
      </c>
      <c r="O1049" s="8">
        <v>45629.801249999997</v>
      </c>
      <c r="P1049" s="9">
        <v>45631</v>
      </c>
      <c r="Q1049" t="s">
        <v>74</v>
      </c>
      <c r="R1049" t="s">
        <v>48</v>
      </c>
      <c r="S1049" t="s">
        <v>49</v>
      </c>
      <c r="T1049" t="s">
        <v>117</v>
      </c>
      <c r="U1049" t="s">
        <v>3209</v>
      </c>
      <c r="V1049">
        <v>40400</v>
      </c>
      <c r="W1049" t="s">
        <v>48</v>
      </c>
      <c r="X1049" t="s">
        <v>943</v>
      </c>
      <c r="Y1049" t="s">
        <v>54</v>
      </c>
      <c r="Z1049" s="12">
        <f>IF(N1049&lt;=1,9,9+0.8*ROUNDUP(N1049-1,0))</f>
        <v>9.8000000000000007</v>
      </c>
      <c r="AA1049" s="11">
        <v>-2</v>
      </c>
      <c r="AB1049" s="11">
        <v>0</v>
      </c>
      <c r="AC1049" s="11">
        <v>0</v>
      </c>
      <c r="AD1049" s="11">
        <v>0</v>
      </c>
      <c r="AE1049" s="11">
        <v>0</v>
      </c>
      <c r="AF1049" s="11">
        <f t="shared" si="48"/>
        <v>0.46800000000000003</v>
      </c>
      <c r="AG1049" s="11">
        <f t="shared" si="49"/>
        <v>8.2680000000000007</v>
      </c>
      <c r="AH1049" s="11">
        <v>0</v>
      </c>
      <c r="AI1049" s="11">
        <f t="shared" si="50"/>
        <v>8.2680000000000007</v>
      </c>
      <c r="AJ1049" t="s">
        <v>62</v>
      </c>
    </row>
    <row r="1050" spans="1:36" ht="15" customHeight="1" x14ac:dyDescent="0.35">
      <c r="A1050">
        <v>10428918</v>
      </c>
      <c r="B1050" t="s">
        <v>36</v>
      </c>
      <c r="C1050" t="s">
        <v>37</v>
      </c>
      <c r="D1050" s="6" t="s">
        <v>38</v>
      </c>
      <c r="E1050" t="s">
        <v>3210</v>
      </c>
      <c r="F1050" t="s">
        <v>40</v>
      </c>
      <c r="G1050" t="s">
        <v>41</v>
      </c>
      <c r="H1050" t="s">
        <v>3211</v>
      </c>
      <c r="I1050" t="s">
        <v>43</v>
      </c>
      <c r="J1050">
        <v>2</v>
      </c>
      <c r="K1050" t="s">
        <v>44</v>
      </c>
      <c r="L1050" t="s">
        <v>45</v>
      </c>
      <c r="M1050" t="s">
        <v>46</v>
      </c>
      <c r="N1050" s="7">
        <v>2</v>
      </c>
      <c r="O1050" s="8">
        <v>45629.795775462961</v>
      </c>
      <c r="P1050" s="9">
        <v>45631</v>
      </c>
      <c r="Q1050" t="s">
        <v>74</v>
      </c>
      <c r="R1050" t="s">
        <v>48</v>
      </c>
      <c r="S1050" t="s">
        <v>49</v>
      </c>
      <c r="T1050" t="s">
        <v>117</v>
      </c>
      <c r="U1050" t="s">
        <v>3212</v>
      </c>
      <c r="V1050">
        <v>42200</v>
      </c>
      <c r="W1050" t="s">
        <v>48</v>
      </c>
      <c r="X1050" t="s">
        <v>1303</v>
      </c>
      <c r="Y1050" t="s">
        <v>54</v>
      </c>
      <c r="Z1050" s="12">
        <f>IF(N1050&lt;=1,9,9+0.8*ROUNDUP(N1050-1,0))</f>
        <v>9.8000000000000007</v>
      </c>
      <c r="AA1050" s="11">
        <v>-2</v>
      </c>
      <c r="AB1050" s="11">
        <v>0</v>
      </c>
      <c r="AC1050" s="11">
        <v>0</v>
      </c>
      <c r="AD1050" s="11">
        <v>0</v>
      </c>
      <c r="AE1050" s="11">
        <v>0</v>
      </c>
      <c r="AF1050" s="11">
        <f t="shared" si="48"/>
        <v>0.46800000000000003</v>
      </c>
      <c r="AG1050" s="11">
        <f t="shared" si="49"/>
        <v>8.2680000000000007</v>
      </c>
      <c r="AH1050" s="11">
        <v>0</v>
      </c>
      <c r="AI1050" s="11">
        <f t="shared" si="50"/>
        <v>8.2680000000000007</v>
      </c>
      <c r="AJ1050" t="s">
        <v>62</v>
      </c>
    </row>
    <row r="1051" spans="1:36" ht="15" customHeight="1" x14ac:dyDescent="0.35">
      <c r="A1051">
        <v>10428918</v>
      </c>
      <c r="B1051" t="s">
        <v>36</v>
      </c>
      <c r="C1051" t="s">
        <v>37</v>
      </c>
      <c r="D1051" s="6" t="s">
        <v>38</v>
      </c>
      <c r="E1051" t="s">
        <v>3213</v>
      </c>
      <c r="F1051" t="s">
        <v>40</v>
      </c>
      <c r="G1051" t="s">
        <v>41</v>
      </c>
      <c r="H1051" t="s">
        <v>3214</v>
      </c>
      <c r="I1051" t="s">
        <v>43</v>
      </c>
      <c r="J1051">
        <v>2</v>
      </c>
      <c r="K1051" t="s">
        <v>44</v>
      </c>
      <c r="L1051" t="s">
        <v>45</v>
      </c>
      <c r="M1051" t="s">
        <v>46</v>
      </c>
      <c r="N1051" s="7">
        <v>1</v>
      </c>
      <c r="O1051" s="8">
        <v>45629.449780092589</v>
      </c>
      <c r="P1051" s="9">
        <v>45631</v>
      </c>
      <c r="Q1051" t="s">
        <v>74</v>
      </c>
      <c r="R1051" t="s">
        <v>48</v>
      </c>
      <c r="S1051" t="s">
        <v>49</v>
      </c>
      <c r="T1051" t="s">
        <v>117</v>
      </c>
      <c r="U1051" t="s">
        <v>3215</v>
      </c>
      <c r="V1051">
        <v>45010</v>
      </c>
      <c r="W1051" t="s">
        <v>48</v>
      </c>
      <c r="X1051" t="s">
        <v>53</v>
      </c>
      <c r="Y1051" t="s">
        <v>54</v>
      </c>
      <c r="Z1051" s="12">
        <f>IF(N1051&lt;=1,9,9+0.8*ROUNDUP(N1051-1,0))</f>
        <v>9</v>
      </c>
      <c r="AA1051" s="11">
        <v>-2</v>
      </c>
      <c r="AB1051" s="11">
        <v>0</v>
      </c>
      <c r="AC1051" s="11">
        <v>0</v>
      </c>
      <c r="AD1051" s="11">
        <v>0</v>
      </c>
      <c r="AE1051" s="11">
        <v>0</v>
      </c>
      <c r="AF1051" s="11">
        <f t="shared" si="48"/>
        <v>0.42</v>
      </c>
      <c r="AG1051" s="11">
        <f t="shared" si="49"/>
        <v>7.42</v>
      </c>
      <c r="AH1051" s="11">
        <v>0</v>
      </c>
      <c r="AI1051" s="11">
        <f t="shared" si="50"/>
        <v>7.42</v>
      </c>
      <c r="AJ1051" t="s">
        <v>62</v>
      </c>
    </row>
    <row r="1052" spans="1:36" ht="15" customHeight="1" x14ac:dyDescent="0.35">
      <c r="A1052">
        <v>10428918</v>
      </c>
      <c r="B1052" t="s">
        <v>36</v>
      </c>
      <c r="C1052" t="s">
        <v>37</v>
      </c>
      <c r="D1052" s="6" t="s">
        <v>38</v>
      </c>
      <c r="E1052" t="s">
        <v>3216</v>
      </c>
      <c r="F1052" t="s">
        <v>40</v>
      </c>
      <c r="G1052" t="s">
        <v>41</v>
      </c>
      <c r="H1052" t="s">
        <v>3217</v>
      </c>
      <c r="I1052" t="s">
        <v>43</v>
      </c>
      <c r="J1052">
        <v>2</v>
      </c>
      <c r="K1052" t="s">
        <v>44</v>
      </c>
      <c r="L1052" t="s">
        <v>45</v>
      </c>
      <c r="M1052" t="s">
        <v>46</v>
      </c>
      <c r="N1052" s="7">
        <v>1</v>
      </c>
      <c r="O1052" s="8">
        <v>45629.808981481481</v>
      </c>
      <c r="P1052" s="9">
        <v>45631</v>
      </c>
      <c r="Q1052" t="s">
        <v>74</v>
      </c>
      <c r="R1052" t="s">
        <v>48</v>
      </c>
      <c r="S1052" t="s">
        <v>49</v>
      </c>
      <c r="T1052" t="s">
        <v>75</v>
      </c>
      <c r="U1052" t="s">
        <v>3218</v>
      </c>
      <c r="V1052">
        <v>27310</v>
      </c>
      <c r="W1052" t="s">
        <v>48</v>
      </c>
      <c r="X1052" t="s">
        <v>77</v>
      </c>
      <c r="Y1052" t="s">
        <v>54</v>
      </c>
      <c r="Z1052" s="12">
        <f>IF(N1052&lt;=1,9,9+0.8*ROUNDUP(N1052-1,0))</f>
        <v>9</v>
      </c>
      <c r="AA1052" s="11">
        <v>-2</v>
      </c>
      <c r="AB1052" s="11">
        <v>0</v>
      </c>
      <c r="AC1052" s="11">
        <v>0</v>
      </c>
      <c r="AD1052" s="11">
        <v>0</v>
      </c>
      <c r="AE1052" s="11">
        <v>0</v>
      </c>
      <c r="AF1052" s="11">
        <f t="shared" si="48"/>
        <v>0.42</v>
      </c>
      <c r="AG1052" s="11">
        <f t="shared" si="49"/>
        <v>7.42</v>
      </c>
      <c r="AH1052" s="11">
        <v>0</v>
      </c>
      <c r="AI1052" s="11">
        <f t="shared" si="50"/>
        <v>7.42</v>
      </c>
      <c r="AJ1052" t="s">
        <v>62</v>
      </c>
    </row>
    <row r="1053" spans="1:36" ht="15" customHeight="1" x14ac:dyDescent="0.35">
      <c r="A1053">
        <v>10428918</v>
      </c>
      <c r="B1053" t="s">
        <v>36</v>
      </c>
      <c r="C1053" t="s">
        <v>37</v>
      </c>
      <c r="D1053" s="6" t="s">
        <v>38</v>
      </c>
      <c r="E1053" t="s">
        <v>3219</v>
      </c>
      <c r="F1053" t="s">
        <v>40</v>
      </c>
      <c r="G1053" t="s">
        <v>41</v>
      </c>
      <c r="H1053" t="s">
        <v>2814</v>
      </c>
      <c r="I1053" t="s">
        <v>43</v>
      </c>
      <c r="J1053">
        <v>2</v>
      </c>
      <c r="K1053" t="s">
        <v>44</v>
      </c>
      <c r="L1053" t="s">
        <v>45</v>
      </c>
      <c r="M1053" t="s">
        <v>46</v>
      </c>
      <c r="N1053" s="7">
        <v>2</v>
      </c>
      <c r="O1053" s="8">
        <v>45629.617384259262</v>
      </c>
      <c r="P1053" s="9">
        <v>45631</v>
      </c>
      <c r="Q1053" t="s">
        <v>74</v>
      </c>
      <c r="R1053" t="s">
        <v>48</v>
      </c>
      <c r="S1053" t="s">
        <v>49</v>
      </c>
      <c r="T1053" t="s">
        <v>117</v>
      </c>
      <c r="U1053" t="s">
        <v>2815</v>
      </c>
      <c r="V1053">
        <v>42700</v>
      </c>
      <c r="W1053" t="s">
        <v>48</v>
      </c>
      <c r="X1053" t="s">
        <v>901</v>
      </c>
      <c r="Y1053" t="s">
        <v>54</v>
      </c>
      <c r="Z1053" s="12">
        <f>IF(N1053&lt;=1,9,9+0.8*ROUNDUP(N1053-1,0))</f>
        <v>9.8000000000000007</v>
      </c>
      <c r="AA1053" s="11">
        <v>-2</v>
      </c>
      <c r="AB1053" s="11">
        <v>0</v>
      </c>
      <c r="AC1053" s="11">
        <v>0</v>
      </c>
      <c r="AD1053" s="11">
        <v>0</v>
      </c>
      <c r="AE1053" s="11">
        <v>0</v>
      </c>
      <c r="AF1053" s="11">
        <f t="shared" si="48"/>
        <v>0.46800000000000003</v>
      </c>
      <c r="AG1053" s="11">
        <f t="shared" si="49"/>
        <v>8.2680000000000007</v>
      </c>
      <c r="AH1053" s="11">
        <v>0</v>
      </c>
      <c r="AI1053" s="11">
        <f t="shared" si="50"/>
        <v>8.2680000000000007</v>
      </c>
      <c r="AJ1053" t="s">
        <v>62</v>
      </c>
    </row>
    <row r="1054" spans="1:36" ht="15" customHeight="1" x14ac:dyDescent="0.35">
      <c r="A1054">
        <v>10428918</v>
      </c>
      <c r="B1054" t="s">
        <v>36</v>
      </c>
      <c r="C1054" t="s">
        <v>37</v>
      </c>
      <c r="D1054" s="6" t="s">
        <v>38</v>
      </c>
      <c r="E1054" t="s">
        <v>3220</v>
      </c>
      <c r="F1054" t="s">
        <v>40</v>
      </c>
      <c r="G1054" t="s">
        <v>41</v>
      </c>
      <c r="H1054" t="s">
        <v>3221</v>
      </c>
      <c r="I1054" t="s">
        <v>43</v>
      </c>
      <c r="J1054">
        <v>2</v>
      </c>
      <c r="K1054" t="s">
        <v>44</v>
      </c>
      <c r="L1054" t="s">
        <v>45</v>
      </c>
      <c r="M1054" t="s">
        <v>46</v>
      </c>
      <c r="N1054" s="7">
        <v>2</v>
      </c>
      <c r="O1054" s="8">
        <v>45629.790150462963</v>
      </c>
      <c r="P1054" s="9">
        <v>45631</v>
      </c>
      <c r="Q1054" t="s">
        <v>74</v>
      </c>
      <c r="R1054" t="s">
        <v>48</v>
      </c>
      <c r="S1054" t="s">
        <v>49</v>
      </c>
      <c r="T1054" t="s">
        <v>117</v>
      </c>
      <c r="U1054" t="s">
        <v>3222</v>
      </c>
      <c r="V1054">
        <v>47000</v>
      </c>
      <c r="W1054" t="s">
        <v>48</v>
      </c>
      <c r="X1054" t="s">
        <v>548</v>
      </c>
      <c r="Y1054" t="s">
        <v>54</v>
      </c>
      <c r="Z1054" s="12">
        <f>IF(N1054&lt;=1,9,9+0.8*ROUNDUP(N1054-1,0))</f>
        <v>9.8000000000000007</v>
      </c>
      <c r="AA1054" s="11">
        <v>-2</v>
      </c>
      <c r="AB1054" s="11">
        <v>0</v>
      </c>
      <c r="AC1054" s="11">
        <v>0</v>
      </c>
      <c r="AD1054" s="11">
        <v>0</v>
      </c>
      <c r="AE1054" s="11">
        <v>0</v>
      </c>
      <c r="AF1054" s="11">
        <f t="shared" si="48"/>
        <v>0.46800000000000003</v>
      </c>
      <c r="AG1054" s="11">
        <f t="shared" si="49"/>
        <v>8.2680000000000007</v>
      </c>
      <c r="AH1054" s="11">
        <v>0</v>
      </c>
      <c r="AI1054" s="11">
        <f t="shared" si="50"/>
        <v>8.2680000000000007</v>
      </c>
      <c r="AJ1054" t="s">
        <v>62</v>
      </c>
    </row>
    <row r="1055" spans="1:36" ht="15" customHeight="1" x14ac:dyDescent="0.35">
      <c r="A1055">
        <v>10428918</v>
      </c>
      <c r="B1055" t="s">
        <v>36</v>
      </c>
      <c r="C1055" t="s">
        <v>37</v>
      </c>
      <c r="D1055" s="6" t="s">
        <v>38</v>
      </c>
      <c r="E1055" t="s">
        <v>3223</v>
      </c>
      <c r="F1055" t="s">
        <v>40</v>
      </c>
      <c r="G1055" t="s">
        <v>41</v>
      </c>
      <c r="H1055" t="s">
        <v>3224</v>
      </c>
      <c r="I1055" t="s">
        <v>43</v>
      </c>
      <c r="J1055">
        <v>2</v>
      </c>
      <c r="K1055" t="s">
        <v>44</v>
      </c>
      <c r="L1055" t="s">
        <v>45</v>
      </c>
      <c r="M1055" t="s">
        <v>46</v>
      </c>
      <c r="N1055" s="7">
        <v>1</v>
      </c>
      <c r="O1055" s="8">
        <v>45629.801249999997</v>
      </c>
      <c r="P1055" s="9">
        <v>45631</v>
      </c>
      <c r="Q1055" t="s">
        <v>74</v>
      </c>
      <c r="R1055" t="s">
        <v>48</v>
      </c>
      <c r="S1055" t="s">
        <v>49</v>
      </c>
      <c r="T1055" t="s">
        <v>90</v>
      </c>
      <c r="U1055" t="s">
        <v>3225</v>
      </c>
      <c r="V1055">
        <v>22010</v>
      </c>
      <c r="W1055" t="s">
        <v>48</v>
      </c>
      <c r="X1055" t="s">
        <v>61</v>
      </c>
      <c r="Y1055" t="s">
        <v>54</v>
      </c>
      <c r="Z1055" s="12">
        <f>IF(N1055&lt;=1,9,9+0.8*ROUNDUP(N1055-1,0))</f>
        <v>9</v>
      </c>
      <c r="AA1055" s="11">
        <v>-2</v>
      </c>
      <c r="AB1055" s="11">
        <v>0</v>
      </c>
      <c r="AC1055" s="11">
        <v>0</v>
      </c>
      <c r="AD1055" s="11">
        <v>0</v>
      </c>
      <c r="AE1055" s="11">
        <v>0</v>
      </c>
      <c r="AF1055" s="11">
        <f t="shared" si="48"/>
        <v>0.42</v>
      </c>
      <c r="AG1055" s="11">
        <f t="shared" si="49"/>
        <v>7.42</v>
      </c>
      <c r="AH1055" s="11">
        <v>0</v>
      </c>
      <c r="AI1055" s="11">
        <f t="shared" si="50"/>
        <v>7.42</v>
      </c>
      <c r="AJ1055" t="s">
        <v>62</v>
      </c>
    </row>
    <row r="1056" spans="1:36" ht="15" customHeight="1" x14ac:dyDescent="0.35">
      <c r="A1056">
        <v>10428918</v>
      </c>
      <c r="B1056" t="s">
        <v>36</v>
      </c>
      <c r="C1056" t="s">
        <v>37</v>
      </c>
      <c r="D1056" s="6" t="s">
        <v>38</v>
      </c>
      <c r="E1056" t="s">
        <v>3226</v>
      </c>
      <c r="F1056" t="s">
        <v>40</v>
      </c>
      <c r="G1056" t="s">
        <v>41</v>
      </c>
      <c r="H1056" t="s">
        <v>3227</v>
      </c>
      <c r="I1056" t="s">
        <v>43</v>
      </c>
      <c r="J1056">
        <v>2</v>
      </c>
      <c r="K1056" t="s">
        <v>44</v>
      </c>
      <c r="L1056" t="s">
        <v>45</v>
      </c>
      <c r="M1056" t="s">
        <v>46</v>
      </c>
      <c r="N1056" s="7">
        <v>2</v>
      </c>
      <c r="O1056" s="8">
        <v>45626.619305555556</v>
      </c>
      <c r="P1056" s="9">
        <v>45631</v>
      </c>
      <c r="Q1056" t="s">
        <v>74</v>
      </c>
      <c r="R1056" t="s">
        <v>48</v>
      </c>
      <c r="S1056" t="s">
        <v>49</v>
      </c>
      <c r="T1056" t="s">
        <v>50</v>
      </c>
      <c r="U1056" t="s">
        <v>3228</v>
      </c>
      <c r="V1056">
        <v>91109</v>
      </c>
      <c r="W1056" t="s">
        <v>52</v>
      </c>
      <c r="X1056" t="s">
        <v>53</v>
      </c>
      <c r="Y1056" t="s">
        <v>54</v>
      </c>
      <c r="Z1056" s="10">
        <f>IF(N1056&lt;=1,13,IF(N1056&lt;=2,23,IF(N1056&lt;=3,35,IF(N1056&lt;=4,43,IF(N1056&lt;=5,53,IF(N1056&lt;=6,63,IF(N1056&lt;=7,71,IF(N1056&lt;=8,79,IF(N1056&lt;=9,87,IF(N1056&lt;=10,95,IF(N1056&lt;=11,105,IF(N1056&lt;=12,114,IF(N1056&lt;=13,119,IF(N1056&lt;=14,127,IF(N1056&lt;=15,135,IF(N1056&lt;=16,143,IF(N1056&lt;=17,153,IF(N1056&lt;=18,163,IF(N1056&lt;=19,171,IF(N1056&lt;=20,185,IF(N1056&lt;=21,193,IF(N1056&lt;=22,201,IF(N1056&lt;=23,210,IF(N1056&lt;=24,220,IF(N1056&lt;=25,230,IF(N1056&lt;=26,240,IF(N1056&lt;=27,250,IF(N1056&lt;=28,260,IF(N1056&lt;=29,270,IF(N1056&lt;=30,280,280+10*ROUNDUP(N1056-30,0)))))))))))))))))))))))))))))))</f>
        <v>23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f t="shared" si="48"/>
        <v>1.38</v>
      </c>
      <c r="AG1056" s="11">
        <f t="shared" si="49"/>
        <v>24.38</v>
      </c>
      <c r="AH1056" s="11">
        <v>0</v>
      </c>
      <c r="AI1056" s="11">
        <f t="shared" si="50"/>
        <v>24.38</v>
      </c>
      <c r="AJ1056" t="s">
        <v>55</v>
      </c>
    </row>
    <row r="1057" spans="1:36" ht="15" customHeight="1" x14ac:dyDescent="0.35">
      <c r="A1057">
        <v>10428918</v>
      </c>
      <c r="B1057" t="s">
        <v>36</v>
      </c>
      <c r="C1057" t="s">
        <v>37</v>
      </c>
      <c r="D1057" s="6" t="s">
        <v>38</v>
      </c>
      <c r="E1057" t="s">
        <v>3229</v>
      </c>
      <c r="F1057" t="s">
        <v>40</v>
      </c>
      <c r="G1057" t="s">
        <v>41</v>
      </c>
      <c r="H1057" t="s">
        <v>3230</v>
      </c>
      <c r="I1057" t="s">
        <v>43</v>
      </c>
      <c r="J1057">
        <v>2</v>
      </c>
      <c r="K1057" t="s">
        <v>44</v>
      </c>
      <c r="L1057" t="s">
        <v>45</v>
      </c>
      <c r="M1057" t="s">
        <v>46</v>
      </c>
      <c r="N1057" s="7">
        <v>1</v>
      </c>
      <c r="O1057" s="8">
        <v>45630.415405092594</v>
      </c>
      <c r="P1057" s="9">
        <v>45631</v>
      </c>
      <c r="Q1057" t="s">
        <v>74</v>
      </c>
      <c r="R1057" t="s">
        <v>48</v>
      </c>
      <c r="S1057" t="s">
        <v>49</v>
      </c>
      <c r="T1057" t="s">
        <v>65</v>
      </c>
      <c r="U1057" t="s">
        <v>3231</v>
      </c>
      <c r="V1057">
        <v>75460</v>
      </c>
      <c r="W1057" t="s">
        <v>48</v>
      </c>
      <c r="X1057" t="s">
        <v>167</v>
      </c>
      <c r="Y1057" t="s">
        <v>54</v>
      </c>
      <c r="Z1057" s="12">
        <f>IF(N1057&lt;=1,9,9+0.8*ROUNDUP(N1057-1,0))</f>
        <v>9</v>
      </c>
      <c r="AA1057" s="11">
        <v>-2</v>
      </c>
      <c r="AB1057" s="11">
        <v>0</v>
      </c>
      <c r="AC1057" s="11">
        <v>0</v>
      </c>
      <c r="AD1057" s="11">
        <v>0</v>
      </c>
      <c r="AE1057" s="11">
        <v>0</v>
      </c>
      <c r="AF1057" s="11">
        <f t="shared" si="48"/>
        <v>0.42</v>
      </c>
      <c r="AG1057" s="11">
        <f t="shared" si="49"/>
        <v>7.42</v>
      </c>
      <c r="AH1057" s="11">
        <v>0</v>
      </c>
      <c r="AI1057" s="11">
        <f t="shared" si="50"/>
        <v>7.42</v>
      </c>
      <c r="AJ1057" t="s">
        <v>62</v>
      </c>
    </row>
    <row r="1058" spans="1:36" ht="15" customHeight="1" x14ac:dyDescent="0.35">
      <c r="A1058">
        <v>10428918</v>
      </c>
      <c r="B1058" t="s">
        <v>36</v>
      </c>
      <c r="C1058" t="s">
        <v>37</v>
      </c>
      <c r="D1058" s="6" t="s">
        <v>38</v>
      </c>
      <c r="E1058" t="s">
        <v>3232</v>
      </c>
      <c r="F1058" t="s">
        <v>40</v>
      </c>
      <c r="G1058" t="s">
        <v>41</v>
      </c>
      <c r="H1058" t="s">
        <v>3233</v>
      </c>
      <c r="I1058" t="s">
        <v>43</v>
      </c>
      <c r="J1058">
        <v>2</v>
      </c>
      <c r="K1058" t="s">
        <v>44</v>
      </c>
      <c r="L1058" t="s">
        <v>45</v>
      </c>
      <c r="M1058" t="s">
        <v>46</v>
      </c>
      <c r="N1058" s="7">
        <v>1</v>
      </c>
      <c r="O1058" s="8">
        <v>45629.795775462961</v>
      </c>
      <c r="P1058" s="9">
        <v>45631</v>
      </c>
      <c r="Q1058" t="s">
        <v>74</v>
      </c>
      <c r="R1058" t="s">
        <v>48</v>
      </c>
      <c r="S1058" t="s">
        <v>49</v>
      </c>
      <c r="T1058" t="s">
        <v>75</v>
      </c>
      <c r="U1058" t="s">
        <v>3234</v>
      </c>
      <c r="V1058">
        <v>26080</v>
      </c>
      <c r="W1058" t="s">
        <v>48</v>
      </c>
      <c r="X1058" t="s">
        <v>77</v>
      </c>
      <c r="Y1058" t="s">
        <v>54</v>
      </c>
      <c r="Z1058" s="12">
        <f>IF(N1058&lt;=1,9,9+0.8*ROUNDUP(N1058-1,0))</f>
        <v>9</v>
      </c>
      <c r="AA1058" s="11">
        <v>-2</v>
      </c>
      <c r="AB1058" s="11">
        <v>0</v>
      </c>
      <c r="AC1058" s="11">
        <v>0</v>
      </c>
      <c r="AD1058" s="11">
        <v>0</v>
      </c>
      <c r="AE1058" s="11">
        <v>0</v>
      </c>
      <c r="AF1058" s="11">
        <f t="shared" si="48"/>
        <v>0.42</v>
      </c>
      <c r="AG1058" s="11">
        <f t="shared" si="49"/>
        <v>7.42</v>
      </c>
      <c r="AH1058" s="11">
        <v>0</v>
      </c>
      <c r="AI1058" s="11">
        <f t="shared" si="50"/>
        <v>7.42</v>
      </c>
      <c r="AJ1058" t="s">
        <v>62</v>
      </c>
    </row>
    <row r="1059" spans="1:36" ht="15" customHeight="1" x14ac:dyDescent="0.35">
      <c r="A1059">
        <v>10428918</v>
      </c>
      <c r="B1059" t="s">
        <v>36</v>
      </c>
      <c r="C1059" t="s">
        <v>37</v>
      </c>
      <c r="D1059" s="6" t="s">
        <v>38</v>
      </c>
      <c r="E1059" t="s">
        <v>3235</v>
      </c>
      <c r="F1059" t="s">
        <v>40</v>
      </c>
      <c r="G1059" t="s">
        <v>41</v>
      </c>
      <c r="H1059" t="s">
        <v>3236</v>
      </c>
      <c r="I1059" t="s">
        <v>43</v>
      </c>
      <c r="J1059">
        <v>2</v>
      </c>
      <c r="K1059" t="s">
        <v>44</v>
      </c>
      <c r="L1059" t="s">
        <v>45</v>
      </c>
      <c r="M1059" t="s">
        <v>46</v>
      </c>
      <c r="N1059" s="7">
        <v>1</v>
      </c>
      <c r="O1059" s="8">
        <v>45629.795775462961</v>
      </c>
      <c r="P1059" s="9">
        <v>45631</v>
      </c>
      <c r="Q1059" t="s">
        <v>74</v>
      </c>
      <c r="R1059" t="s">
        <v>48</v>
      </c>
      <c r="S1059" t="s">
        <v>49</v>
      </c>
      <c r="T1059" t="s">
        <v>117</v>
      </c>
      <c r="U1059" t="s">
        <v>3237</v>
      </c>
      <c r="V1059">
        <v>62300</v>
      </c>
      <c r="W1059" t="s">
        <v>48</v>
      </c>
      <c r="X1059" t="s">
        <v>53</v>
      </c>
      <c r="Y1059" t="s">
        <v>54</v>
      </c>
      <c r="Z1059" s="12">
        <f>IF(N1059&lt;=1,9,9+0.8*ROUNDUP(N1059-1,0))</f>
        <v>9</v>
      </c>
      <c r="AA1059" s="11">
        <v>-2</v>
      </c>
      <c r="AB1059" s="11">
        <v>0</v>
      </c>
      <c r="AC1059" s="11">
        <v>0</v>
      </c>
      <c r="AD1059" s="11">
        <v>0</v>
      </c>
      <c r="AE1059" s="11">
        <v>0</v>
      </c>
      <c r="AF1059" s="11">
        <f t="shared" si="48"/>
        <v>0.42</v>
      </c>
      <c r="AG1059" s="11">
        <f t="shared" si="49"/>
        <v>7.42</v>
      </c>
      <c r="AH1059" s="11">
        <v>0</v>
      </c>
      <c r="AI1059" s="11">
        <f t="shared" si="50"/>
        <v>7.42</v>
      </c>
      <c r="AJ1059" t="s">
        <v>62</v>
      </c>
    </row>
    <row r="1060" spans="1:36" ht="15" customHeight="1" x14ac:dyDescent="0.35">
      <c r="A1060">
        <v>10428918</v>
      </c>
      <c r="B1060" t="s">
        <v>36</v>
      </c>
      <c r="C1060" t="s">
        <v>37</v>
      </c>
      <c r="D1060" s="6" t="s">
        <v>38</v>
      </c>
      <c r="E1060" t="s">
        <v>3238</v>
      </c>
      <c r="F1060" t="s">
        <v>40</v>
      </c>
      <c r="G1060" t="s">
        <v>41</v>
      </c>
      <c r="H1060" t="s">
        <v>3052</v>
      </c>
      <c r="I1060" t="s">
        <v>43</v>
      </c>
      <c r="J1060">
        <v>2</v>
      </c>
      <c r="K1060" t="s">
        <v>44</v>
      </c>
      <c r="L1060" t="s">
        <v>45</v>
      </c>
      <c r="M1060" t="s">
        <v>46</v>
      </c>
      <c r="N1060" s="7">
        <v>1</v>
      </c>
      <c r="O1060" s="8">
        <v>45629.801238425927</v>
      </c>
      <c r="P1060" s="9">
        <v>45631</v>
      </c>
      <c r="Q1060" t="s">
        <v>74</v>
      </c>
      <c r="R1060" t="s">
        <v>48</v>
      </c>
      <c r="S1060" t="s">
        <v>49</v>
      </c>
      <c r="T1060" t="s">
        <v>75</v>
      </c>
      <c r="U1060" t="s">
        <v>3053</v>
      </c>
      <c r="V1060">
        <v>28000</v>
      </c>
      <c r="W1060" t="s">
        <v>48</v>
      </c>
      <c r="X1060" t="s">
        <v>77</v>
      </c>
      <c r="Y1060" t="s">
        <v>54</v>
      </c>
      <c r="Z1060" s="12">
        <f>IF(N1060&lt;=1,9,9+0.8*ROUNDUP(N1060-1,0))</f>
        <v>9</v>
      </c>
      <c r="AA1060" s="11">
        <v>-2</v>
      </c>
      <c r="AB1060" s="11">
        <v>0</v>
      </c>
      <c r="AC1060" s="11">
        <v>0</v>
      </c>
      <c r="AD1060" s="11">
        <v>0</v>
      </c>
      <c r="AE1060" s="11">
        <v>0</v>
      </c>
      <c r="AF1060" s="11">
        <f t="shared" si="48"/>
        <v>0.42</v>
      </c>
      <c r="AG1060" s="11">
        <f t="shared" si="49"/>
        <v>7.42</v>
      </c>
      <c r="AH1060" s="11">
        <v>0</v>
      </c>
      <c r="AI1060" s="11">
        <f t="shared" si="50"/>
        <v>7.42</v>
      </c>
      <c r="AJ1060" t="s">
        <v>62</v>
      </c>
    </row>
    <row r="1061" spans="1:36" ht="15" customHeight="1" x14ac:dyDescent="0.35">
      <c r="A1061">
        <v>10428918</v>
      </c>
      <c r="B1061" t="s">
        <v>36</v>
      </c>
      <c r="C1061" t="s">
        <v>37</v>
      </c>
      <c r="D1061" s="6" t="s">
        <v>38</v>
      </c>
      <c r="E1061" t="s">
        <v>3239</v>
      </c>
      <c r="F1061" t="s">
        <v>40</v>
      </c>
      <c r="G1061" t="s">
        <v>41</v>
      </c>
      <c r="H1061" t="s">
        <v>3240</v>
      </c>
      <c r="I1061" t="s">
        <v>43</v>
      </c>
      <c r="J1061">
        <v>2</v>
      </c>
      <c r="K1061" t="s">
        <v>44</v>
      </c>
      <c r="L1061" t="s">
        <v>45</v>
      </c>
      <c r="M1061" t="s">
        <v>46</v>
      </c>
      <c r="N1061" s="7">
        <v>1</v>
      </c>
      <c r="O1061" s="8">
        <v>45630.449374999997</v>
      </c>
      <c r="P1061" s="9">
        <v>45631</v>
      </c>
      <c r="Q1061" t="s">
        <v>74</v>
      </c>
      <c r="R1061" t="s">
        <v>48</v>
      </c>
      <c r="S1061" t="s">
        <v>49</v>
      </c>
      <c r="T1061" t="s">
        <v>90</v>
      </c>
      <c r="U1061" t="s">
        <v>3241</v>
      </c>
      <c r="V1061">
        <v>21070</v>
      </c>
      <c r="W1061" t="s">
        <v>48</v>
      </c>
      <c r="X1061" t="s">
        <v>92</v>
      </c>
      <c r="Y1061" t="s">
        <v>54</v>
      </c>
      <c r="Z1061" s="12">
        <f>IF(N1061&lt;=1,9,9+0.8*ROUNDUP(N1061-1,0))</f>
        <v>9</v>
      </c>
      <c r="AA1061" s="11">
        <v>-2</v>
      </c>
      <c r="AB1061" s="11">
        <v>0</v>
      </c>
      <c r="AC1061" s="11">
        <v>0</v>
      </c>
      <c r="AD1061" s="11">
        <v>0</v>
      </c>
      <c r="AE1061" s="11">
        <v>0</v>
      </c>
      <c r="AF1061" s="11">
        <f t="shared" si="48"/>
        <v>0.42</v>
      </c>
      <c r="AG1061" s="11">
        <f t="shared" si="49"/>
        <v>7.42</v>
      </c>
      <c r="AH1061" s="11">
        <v>0</v>
      </c>
      <c r="AI1061" s="11">
        <f t="shared" si="50"/>
        <v>7.42</v>
      </c>
      <c r="AJ1061" t="s">
        <v>62</v>
      </c>
    </row>
    <row r="1062" spans="1:36" ht="15" customHeight="1" x14ac:dyDescent="0.35">
      <c r="A1062">
        <v>10428918</v>
      </c>
      <c r="B1062" t="s">
        <v>36</v>
      </c>
      <c r="C1062" t="s">
        <v>37</v>
      </c>
      <c r="D1062" s="6" t="s">
        <v>38</v>
      </c>
      <c r="E1062" t="s">
        <v>3242</v>
      </c>
      <c r="F1062" t="s">
        <v>40</v>
      </c>
      <c r="G1062" t="s">
        <v>41</v>
      </c>
      <c r="H1062" t="s">
        <v>3243</v>
      </c>
      <c r="I1062" t="s">
        <v>43</v>
      </c>
      <c r="J1062">
        <v>2</v>
      </c>
      <c r="K1062" t="s">
        <v>44</v>
      </c>
      <c r="L1062" t="s">
        <v>45</v>
      </c>
      <c r="M1062" t="s">
        <v>46</v>
      </c>
      <c r="N1062" s="7">
        <v>1</v>
      </c>
      <c r="O1062" s="8">
        <v>45627.432662037034</v>
      </c>
      <c r="P1062" s="9">
        <v>45631</v>
      </c>
      <c r="Q1062" t="s">
        <v>74</v>
      </c>
      <c r="R1062" t="s">
        <v>48</v>
      </c>
      <c r="S1062" t="s">
        <v>49</v>
      </c>
      <c r="T1062" t="s">
        <v>117</v>
      </c>
      <c r="U1062" t="s">
        <v>3244</v>
      </c>
      <c r="V1062">
        <v>44300</v>
      </c>
      <c r="W1062" t="s">
        <v>48</v>
      </c>
      <c r="X1062" t="s">
        <v>1279</v>
      </c>
      <c r="Y1062" t="s">
        <v>54</v>
      </c>
      <c r="Z1062" s="12">
        <f>IF(N1062&lt;=1,9,9+0.8*ROUNDUP(N1062-1,0))</f>
        <v>9</v>
      </c>
      <c r="AA1062" s="11">
        <v>-2</v>
      </c>
      <c r="AB1062" s="11">
        <v>0</v>
      </c>
      <c r="AC1062" s="11">
        <v>0</v>
      </c>
      <c r="AD1062" s="11">
        <v>0</v>
      </c>
      <c r="AE1062" s="11">
        <v>0</v>
      </c>
      <c r="AF1062" s="11">
        <f t="shared" si="48"/>
        <v>0.42</v>
      </c>
      <c r="AG1062" s="11">
        <f t="shared" si="49"/>
        <v>7.42</v>
      </c>
      <c r="AH1062" s="11">
        <v>0</v>
      </c>
      <c r="AI1062" s="11">
        <f t="shared" si="50"/>
        <v>7.42</v>
      </c>
      <c r="AJ1062" t="s">
        <v>62</v>
      </c>
    </row>
    <row r="1063" spans="1:36" ht="15" customHeight="1" x14ac:dyDescent="0.35">
      <c r="A1063">
        <v>10428918</v>
      </c>
      <c r="B1063" t="s">
        <v>36</v>
      </c>
      <c r="C1063" t="s">
        <v>37</v>
      </c>
      <c r="D1063" s="6" t="s">
        <v>38</v>
      </c>
      <c r="E1063" t="s">
        <v>3245</v>
      </c>
      <c r="F1063" t="s">
        <v>40</v>
      </c>
      <c r="G1063" t="s">
        <v>41</v>
      </c>
      <c r="H1063" t="s">
        <v>3246</v>
      </c>
      <c r="I1063" t="s">
        <v>43</v>
      </c>
      <c r="J1063">
        <v>2</v>
      </c>
      <c r="K1063" t="s">
        <v>44</v>
      </c>
      <c r="L1063" t="s">
        <v>45</v>
      </c>
      <c r="M1063" t="s">
        <v>46</v>
      </c>
      <c r="N1063" s="7">
        <v>1</v>
      </c>
      <c r="O1063" s="8">
        <v>45630.557754629626</v>
      </c>
      <c r="P1063" s="9">
        <v>45631</v>
      </c>
      <c r="Q1063" t="s">
        <v>74</v>
      </c>
      <c r="R1063" t="s">
        <v>48</v>
      </c>
      <c r="S1063" t="s">
        <v>49</v>
      </c>
      <c r="T1063" t="s">
        <v>90</v>
      </c>
      <c r="U1063" t="s">
        <v>3247</v>
      </c>
      <c r="V1063">
        <v>21400</v>
      </c>
      <c r="W1063" t="s">
        <v>48</v>
      </c>
      <c r="X1063" t="s">
        <v>92</v>
      </c>
      <c r="Y1063" t="s">
        <v>54</v>
      </c>
      <c r="Z1063" s="12">
        <f>IF(N1063&lt;=1,9,9+0.8*ROUNDUP(N1063-1,0))</f>
        <v>9</v>
      </c>
      <c r="AA1063" s="11">
        <v>-2</v>
      </c>
      <c r="AB1063" s="11">
        <v>0</v>
      </c>
      <c r="AC1063" s="11">
        <v>0</v>
      </c>
      <c r="AD1063" s="11">
        <v>0</v>
      </c>
      <c r="AE1063" s="11">
        <v>0</v>
      </c>
      <c r="AF1063" s="11">
        <f t="shared" si="48"/>
        <v>0.42</v>
      </c>
      <c r="AG1063" s="11">
        <f t="shared" si="49"/>
        <v>7.42</v>
      </c>
      <c r="AH1063" s="11">
        <v>0</v>
      </c>
      <c r="AI1063" s="11">
        <f t="shared" si="50"/>
        <v>7.42</v>
      </c>
      <c r="AJ1063" t="s">
        <v>62</v>
      </c>
    </row>
    <row r="1064" spans="1:36" ht="15" customHeight="1" x14ac:dyDescent="0.35">
      <c r="A1064">
        <v>10428918</v>
      </c>
      <c r="B1064" t="s">
        <v>36</v>
      </c>
      <c r="C1064" t="s">
        <v>37</v>
      </c>
      <c r="D1064" s="6" t="s">
        <v>38</v>
      </c>
      <c r="E1064" t="s">
        <v>3248</v>
      </c>
      <c r="F1064" t="s">
        <v>40</v>
      </c>
      <c r="G1064" t="s">
        <v>41</v>
      </c>
      <c r="H1064" t="s">
        <v>3249</v>
      </c>
      <c r="I1064" t="s">
        <v>43</v>
      </c>
      <c r="J1064">
        <v>2</v>
      </c>
      <c r="K1064" t="s">
        <v>44</v>
      </c>
      <c r="L1064" t="s">
        <v>45</v>
      </c>
      <c r="M1064" t="s">
        <v>46</v>
      </c>
      <c r="N1064" s="7">
        <v>1</v>
      </c>
      <c r="O1064" s="8">
        <v>45629.710370370369</v>
      </c>
      <c r="P1064" s="9">
        <v>45631</v>
      </c>
      <c r="Q1064" t="s">
        <v>74</v>
      </c>
      <c r="R1064" t="s">
        <v>48</v>
      </c>
      <c r="S1064" t="s">
        <v>49</v>
      </c>
      <c r="T1064" t="s">
        <v>117</v>
      </c>
      <c r="U1064" t="s">
        <v>3250</v>
      </c>
      <c r="V1064">
        <v>43900</v>
      </c>
      <c r="W1064" t="s">
        <v>48</v>
      </c>
      <c r="X1064" t="s">
        <v>53</v>
      </c>
      <c r="Y1064" t="s">
        <v>54</v>
      </c>
      <c r="Z1064" s="12">
        <f>IF(N1064&lt;=1,9,9+0.8*ROUNDUP(N1064-1,0))</f>
        <v>9</v>
      </c>
      <c r="AA1064" s="11">
        <v>-2</v>
      </c>
      <c r="AB1064" s="11">
        <v>0</v>
      </c>
      <c r="AC1064" s="11">
        <v>0</v>
      </c>
      <c r="AD1064" s="11">
        <v>0</v>
      </c>
      <c r="AE1064" s="11">
        <v>0</v>
      </c>
      <c r="AF1064" s="11">
        <f t="shared" si="48"/>
        <v>0.42</v>
      </c>
      <c r="AG1064" s="11">
        <f t="shared" si="49"/>
        <v>7.42</v>
      </c>
      <c r="AH1064" s="11">
        <v>0</v>
      </c>
      <c r="AI1064" s="11">
        <f t="shared" si="50"/>
        <v>7.42</v>
      </c>
      <c r="AJ1064" t="s">
        <v>62</v>
      </c>
    </row>
    <row r="1065" spans="1:36" ht="15" customHeight="1" x14ac:dyDescent="0.35">
      <c r="A1065">
        <v>10428918</v>
      </c>
      <c r="B1065" t="s">
        <v>36</v>
      </c>
      <c r="C1065" t="s">
        <v>37</v>
      </c>
      <c r="D1065" s="6" t="s">
        <v>38</v>
      </c>
      <c r="E1065" t="s">
        <v>3251</v>
      </c>
      <c r="F1065" t="s">
        <v>40</v>
      </c>
      <c r="G1065" t="s">
        <v>41</v>
      </c>
      <c r="H1065" t="s">
        <v>3252</v>
      </c>
      <c r="I1065" t="s">
        <v>43</v>
      </c>
      <c r="J1065">
        <v>2</v>
      </c>
      <c r="K1065" t="s">
        <v>44</v>
      </c>
      <c r="L1065" t="s">
        <v>45</v>
      </c>
      <c r="M1065" t="s">
        <v>46</v>
      </c>
      <c r="N1065" s="7">
        <v>1</v>
      </c>
      <c r="O1065" s="8">
        <v>45630.431701388887</v>
      </c>
      <c r="P1065" s="9">
        <v>45631</v>
      </c>
      <c r="Q1065" t="s">
        <v>74</v>
      </c>
      <c r="R1065" t="s">
        <v>48</v>
      </c>
      <c r="S1065" t="s">
        <v>49</v>
      </c>
      <c r="T1065" t="s">
        <v>59</v>
      </c>
      <c r="U1065" t="s">
        <v>3253</v>
      </c>
      <c r="V1065">
        <v>16100</v>
      </c>
      <c r="W1065" t="s">
        <v>48</v>
      </c>
      <c r="X1065" t="s">
        <v>61</v>
      </c>
      <c r="Y1065" t="s">
        <v>54</v>
      </c>
      <c r="Z1065" s="12">
        <f>IF(N1065&lt;=1,9,9+0.8*ROUNDUP(N1065-1,0))</f>
        <v>9</v>
      </c>
      <c r="AA1065" s="11">
        <v>-2</v>
      </c>
      <c r="AB1065" s="11">
        <v>0</v>
      </c>
      <c r="AC1065" s="11">
        <v>0</v>
      </c>
      <c r="AD1065" s="11">
        <v>0</v>
      </c>
      <c r="AE1065" s="11">
        <v>0</v>
      </c>
      <c r="AF1065" s="11">
        <f t="shared" si="48"/>
        <v>0.42</v>
      </c>
      <c r="AG1065" s="11">
        <f t="shared" si="49"/>
        <v>7.42</v>
      </c>
      <c r="AH1065" s="11">
        <v>0</v>
      </c>
      <c r="AI1065" s="11">
        <f t="shared" si="50"/>
        <v>7.42</v>
      </c>
      <c r="AJ1065" t="s">
        <v>62</v>
      </c>
    </row>
    <row r="1066" spans="1:36" ht="15" customHeight="1" x14ac:dyDescent="0.35">
      <c r="A1066">
        <v>10428918</v>
      </c>
      <c r="B1066" t="s">
        <v>36</v>
      </c>
      <c r="C1066" t="s">
        <v>37</v>
      </c>
      <c r="D1066" s="6" t="s">
        <v>38</v>
      </c>
      <c r="E1066" t="s">
        <v>3254</v>
      </c>
      <c r="F1066" t="s">
        <v>40</v>
      </c>
      <c r="G1066" t="s">
        <v>41</v>
      </c>
      <c r="H1066" t="s">
        <v>3255</v>
      </c>
      <c r="I1066" t="s">
        <v>43</v>
      </c>
      <c r="J1066">
        <v>2</v>
      </c>
      <c r="K1066" t="s">
        <v>44</v>
      </c>
      <c r="L1066" t="s">
        <v>45</v>
      </c>
      <c r="M1066" t="s">
        <v>46</v>
      </c>
      <c r="N1066" s="7">
        <v>1</v>
      </c>
      <c r="O1066" s="8">
        <v>45629.44121527778</v>
      </c>
      <c r="P1066" s="9">
        <v>45631</v>
      </c>
      <c r="Q1066" t="s">
        <v>74</v>
      </c>
      <c r="R1066" t="s">
        <v>48</v>
      </c>
      <c r="S1066" t="s">
        <v>49</v>
      </c>
      <c r="T1066" t="s">
        <v>80</v>
      </c>
      <c r="U1066" t="s">
        <v>3256</v>
      </c>
      <c r="V1066">
        <v>6000</v>
      </c>
      <c r="W1066" t="s">
        <v>48</v>
      </c>
      <c r="X1066" t="s">
        <v>53</v>
      </c>
      <c r="Y1066" t="s">
        <v>54</v>
      </c>
      <c r="Z1066" s="12">
        <f>IF(N1066&lt;=1,9,9+0.8*ROUNDUP(N1066-1,0))</f>
        <v>9</v>
      </c>
      <c r="AA1066" s="11">
        <v>-2</v>
      </c>
      <c r="AB1066" s="11">
        <v>0</v>
      </c>
      <c r="AC1066" s="11">
        <v>0</v>
      </c>
      <c r="AD1066" s="11">
        <v>0</v>
      </c>
      <c r="AE1066" s="11">
        <v>0</v>
      </c>
      <c r="AF1066" s="11">
        <f t="shared" si="48"/>
        <v>0.42</v>
      </c>
      <c r="AG1066" s="11">
        <f t="shared" si="49"/>
        <v>7.42</v>
      </c>
      <c r="AH1066" s="11">
        <v>0</v>
      </c>
      <c r="AI1066" s="11">
        <f t="shared" si="50"/>
        <v>7.42</v>
      </c>
      <c r="AJ1066" t="s">
        <v>62</v>
      </c>
    </row>
    <row r="1067" spans="1:36" ht="15" customHeight="1" x14ac:dyDescent="0.35">
      <c r="A1067">
        <v>10428918</v>
      </c>
      <c r="B1067" t="s">
        <v>36</v>
      </c>
      <c r="C1067" t="s">
        <v>37</v>
      </c>
      <c r="D1067" s="6" t="s">
        <v>38</v>
      </c>
      <c r="E1067" t="s">
        <v>3257</v>
      </c>
      <c r="F1067" t="s">
        <v>40</v>
      </c>
      <c r="G1067" t="s">
        <v>41</v>
      </c>
      <c r="H1067" t="s">
        <v>3258</v>
      </c>
      <c r="I1067" t="s">
        <v>43</v>
      </c>
      <c r="J1067">
        <v>2</v>
      </c>
      <c r="K1067" t="s">
        <v>44</v>
      </c>
      <c r="L1067" t="s">
        <v>45</v>
      </c>
      <c r="M1067" t="s">
        <v>46</v>
      </c>
      <c r="N1067" s="7">
        <v>2</v>
      </c>
      <c r="O1067" s="8">
        <v>45629.790150462963</v>
      </c>
      <c r="P1067" s="9">
        <v>45631</v>
      </c>
      <c r="Q1067" t="s">
        <v>74</v>
      </c>
      <c r="R1067" t="s">
        <v>48</v>
      </c>
      <c r="S1067" t="s">
        <v>49</v>
      </c>
      <c r="T1067" t="s">
        <v>117</v>
      </c>
      <c r="U1067" t="s">
        <v>3259</v>
      </c>
      <c r="V1067">
        <v>52100</v>
      </c>
      <c r="W1067" t="s">
        <v>48</v>
      </c>
      <c r="X1067" t="s">
        <v>490</v>
      </c>
      <c r="Y1067" t="s">
        <v>54</v>
      </c>
      <c r="Z1067" s="12">
        <f>IF(N1067&lt;=1,9,9+0.8*ROUNDUP(N1067-1,0))</f>
        <v>9.8000000000000007</v>
      </c>
      <c r="AA1067" s="11">
        <v>-2</v>
      </c>
      <c r="AB1067" s="11">
        <v>0</v>
      </c>
      <c r="AC1067" s="11">
        <v>0</v>
      </c>
      <c r="AD1067" s="11">
        <v>0</v>
      </c>
      <c r="AE1067" s="11">
        <v>0</v>
      </c>
      <c r="AF1067" s="11">
        <f t="shared" si="48"/>
        <v>0.46800000000000003</v>
      </c>
      <c r="AG1067" s="11">
        <f t="shared" si="49"/>
        <v>8.2680000000000007</v>
      </c>
      <c r="AH1067" s="11">
        <v>0</v>
      </c>
      <c r="AI1067" s="11">
        <f t="shared" si="50"/>
        <v>8.2680000000000007</v>
      </c>
      <c r="AJ1067" t="s">
        <v>62</v>
      </c>
    </row>
    <row r="1068" spans="1:36" ht="15" customHeight="1" x14ac:dyDescent="0.35">
      <c r="A1068">
        <v>10428918</v>
      </c>
      <c r="B1068" t="s">
        <v>36</v>
      </c>
      <c r="C1068" t="s">
        <v>37</v>
      </c>
      <c r="D1068" s="6" t="s">
        <v>38</v>
      </c>
      <c r="E1068" t="s">
        <v>3260</v>
      </c>
      <c r="F1068" t="s">
        <v>40</v>
      </c>
      <c r="G1068" t="s">
        <v>41</v>
      </c>
      <c r="H1068" t="s">
        <v>3261</v>
      </c>
      <c r="I1068" t="s">
        <v>43</v>
      </c>
      <c r="J1068">
        <v>2</v>
      </c>
      <c r="K1068" t="s">
        <v>44</v>
      </c>
      <c r="L1068" t="s">
        <v>45</v>
      </c>
      <c r="M1068" t="s">
        <v>46</v>
      </c>
      <c r="N1068" s="7">
        <v>2</v>
      </c>
      <c r="O1068" s="8">
        <v>45629.617384259262</v>
      </c>
      <c r="P1068" s="9">
        <v>45631</v>
      </c>
      <c r="Q1068" t="s">
        <v>74</v>
      </c>
      <c r="R1068" t="s">
        <v>48</v>
      </c>
      <c r="S1068" t="s">
        <v>49</v>
      </c>
      <c r="T1068" t="s">
        <v>161</v>
      </c>
      <c r="U1068" t="s">
        <v>3262</v>
      </c>
      <c r="V1068">
        <v>11700</v>
      </c>
      <c r="W1068" t="s">
        <v>48</v>
      </c>
      <c r="X1068" t="s">
        <v>53</v>
      </c>
      <c r="Y1068" t="s">
        <v>54</v>
      </c>
      <c r="Z1068" s="12">
        <f>IF(N1068&lt;=1,9,9+0.8*ROUNDUP(N1068-1,0))</f>
        <v>9.8000000000000007</v>
      </c>
      <c r="AA1068" s="11">
        <v>-2</v>
      </c>
      <c r="AB1068" s="11">
        <v>0</v>
      </c>
      <c r="AC1068" s="11">
        <v>0</v>
      </c>
      <c r="AD1068" s="11">
        <v>0</v>
      </c>
      <c r="AE1068" s="11">
        <v>0</v>
      </c>
      <c r="AF1068" s="11">
        <f t="shared" si="48"/>
        <v>0.46800000000000003</v>
      </c>
      <c r="AG1068" s="11">
        <f t="shared" si="49"/>
        <v>8.2680000000000007</v>
      </c>
      <c r="AH1068" s="11">
        <v>0</v>
      </c>
      <c r="AI1068" s="11">
        <f t="shared" si="50"/>
        <v>8.2680000000000007</v>
      </c>
      <c r="AJ1068" t="s">
        <v>62</v>
      </c>
    </row>
    <row r="1069" spans="1:36" ht="15" customHeight="1" x14ac:dyDescent="0.35">
      <c r="A1069">
        <v>10428918</v>
      </c>
      <c r="B1069" t="s">
        <v>36</v>
      </c>
      <c r="C1069" t="s">
        <v>37</v>
      </c>
      <c r="D1069" s="6" t="s">
        <v>38</v>
      </c>
      <c r="E1069" t="s">
        <v>3263</v>
      </c>
      <c r="F1069" t="s">
        <v>40</v>
      </c>
      <c r="G1069" t="s">
        <v>41</v>
      </c>
      <c r="H1069" t="s">
        <v>3264</v>
      </c>
      <c r="I1069" t="s">
        <v>43</v>
      </c>
      <c r="J1069">
        <v>2</v>
      </c>
      <c r="K1069" t="s">
        <v>44</v>
      </c>
      <c r="L1069" t="s">
        <v>45</v>
      </c>
      <c r="M1069" t="s">
        <v>46</v>
      </c>
      <c r="N1069" s="7">
        <v>1</v>
      </c>
      <c r="O1069" s="8">
        <v>45629.44121527778</v>
      </c>
      <c r="P1069" s="9">
        <v>45631</v>
      </c>
      <c r="Q1069" t="s">
        <v>74</v>
      </c>
      <c r="R1069" t="s">
        <v>48</v>
      </c>
      <c r="S1069" t="s">
        <v>49</v>
      </c>
      <c r="T1069" t="s">
        <v>80</v>
      </c>
      <c r="U1069" t="s">
        <v>3265</v>
      </c>
      <c r="V1069">
        <v>6100</v>
      </c>
      <c r="W1069" t="s">
        <v>48</v>
      </c>
      <c r="X1069" t="s">
        <v>522</v>
      </c>
      <c r="Y1069" t="s">
        <v>54</v>
      </c>
      <c r="Z1069" s="12">
        <f>IF(N1069&lt;=1,9,9+0.8*ROUNDUP(N1069-1,0))</f>
        <v>9</v>
      </c>
      <c r="AA1069" s="11">
        <v>-2</v>
      </c>
      <c r="AB1069" s="11">
        <v>0</v>
      </c>
      <c r="AC1069" s="11">
        <v>0</v>
      </c>
      <c r="AD1069" s="11">
        <v>0</v>
      </c>
      <c r="AE1069" s="11">
        <v>0</v>
      </c>
      <c r="AF1069" s="11">
        <f t="shared" si="48"/>
        <v>0.42</v>
      </c>
      <c r="AG1069" s="11">
        <f t="shared" si="49"/>
        <v>7.42</v>
      </c>
      <c r="AH1069" s="11">
        <v>0</v>
      </c>
      <c r="AI1069" s="11">
        <f t="shared" si="50"/>
        <v>7.42</v>
      </c>
      <c r="AJ1069" t="s">
        <v>62</v>
      </c>
    </row>
    <row r="1070" spans="1:36" ht="15" customHeight="1" x14ac:dyDescent="0.35">
      <c r="A1070">
        <v>10428918</v>
      </c>
      <c r="B1070" t="s">
        <v>36</v>
      </c>
      <c r="C1070" t="s">
        <v>37</v>
      </c>
      <c r="D1070" s="6" t="s">
        <v>38</v>
      </c>
      <c r="E1070" t="s">
        <v>3266</v>
      </c>
      <c r="F1070" t="s">
        <v>40</v>
      </c>
      <c r="G1070" t="s">
        <v>41</v>
      </c>
      <c r="H1070" t="s">
        <v>3267</v>
      </c>
      <c r="I1070" t="s">
        <v>43</v>
      </c>
      <c r="J1070">
        <v>2</v>
      </c>
      <c r="K1070" t="s">
        <v>44</v>
      </c>
      <c r="L1070" t="s">
        <v>45</v>
      </c>
      <c r="M1070" t="s">
        <v>46</v>
      </c>
      <c r="N1070" s="7">
        <v>1</v>
      </c>
      <c r="O1070" s="8">
        <v>45630.754282407404</v>
      </c>
      <c r="P1070" s="9">
        <v>45631</v>
      </c>
      <c r="Q1070" t="s">
        <v>74</v>
      </c>
      <c r="R1070" t="s">
        <v>48</v>
      </c>
      <c r="S1070" t="s">
        <v>49</v>
      </c>
      <c r="T1070" t="s">
        <v>117</v>
      </c>
      <c r="U1070" t="s">
        <v>3268</v>
      </c>
      <c r="V1070">
        <v>47000</v>
      </c>
      <c r="W1070" t="s">
        <v>48</v>
      </c>
      <c r="X1070" t="s">
        <v>556</v>
      </c>
      <c r="Y1070" t="s">
        <v>54</v>
      </c>
      <c r="Z1070" s="12">
        <f>IF(N1070&lt;=1,9,9+0.8*ROUNDUP(N1070-1,0))</f>
        <v>9</v>
      </c>
      <c r="AA1070" s="11">
        <v>-2</v>
      </c>
      <c r="AB1070" s="11">
        <v>0</v>
      </c>
      <c r="AC1070" s="11">
        <v>0</v>
      </c>
      <c r="AD1070" s="11">
        <v>0</v>
      </c>
      <c r="AE1070" s="11">
        <v>0</v>
      </c>
      <c r="AF1070" s="11">
        <f t="shared" si="48"/>
        <v>0.42</v>
      </c>
      <c r="AG1070" s="11">
        <f t="shared" si="49"/>
        <v>7.42</v>
      </c>
      <c r="AH1070" s="11">
        <v>0</v>
      </c>
      <c r="AI1070" s="11">
        <f t="shared" si="50"/>
        <v>7.42</v>
      </c>
      <c r="AJ1070" t="s">
        <v>62</v>
      </c>
    </row>
    <row r="1071" spans="1:36" ht="15" customHeight="1" x14ac:dyDescent="0.35">
      <c r="A1071">
        <v>10428918</v>
      </c>
      <c r="B1071" t="s">
        <v>36</v>
      </c>
      <c r="C1071" t="s">
        <v>37</v>
      </c>
      <c r="D1071" s="6" t="s">
        <v>38</v>
      </c>
      <c r="E1071" t="s">
        <v>3269</v>
      </c>
      <c r="F1071" t="s">
        <v>40</v>
      </c>
      <c r="G1071" t="s">
        <v>41</v>
      </c>
      <c r="H1071" t="s">
        <v>3270</v>
      </c>
      <c r="I1071" t="s">
        <v>43</v>
      </c>
      <c r="J1071">
        <v>2</v>
      </c>
      <c r="K1071" t="s">
        <v>44</v>
      </c>
      <c r="L1071" t="s">
        <v>45</v>
      </c>
      <c r="M1071" t="s">
        <v>46</v>
      </c>
      <c r="N1071" s="7">
        <v>6</v>
      </c>
      <c r="O1071" s="8">
        <v>45628.770555555559</v>
      </c>
      <c r="P1071" s="9">
        <v>45631</v>
      </c>
      <c r="Q1071" t="s">
        <v>74</v>
      </c>
      <c r="R1071" t="s">
        <v>48</v>
      </c>
      <c r="S1071" t="s">
        <v>49</v>
      </c>
      <c r="T1071" t="s">
        <v>117</v>
      </c>
      <c r="U1071" t="s">
        <v>3271</v>
      </c>
      <c r="V1071">
        <v>42300</v>
      </c>
      <c r="W1071" t="s">
        <v>48</v>
      </c>
      <c r="X1071" t="s">
        <v>548</v>
      </c>
      <c r="Y1071" t="s">
        <v>54</v>
      </c>
      <c r="Z1071" s="12">
        <f>IF(N1071&lt;=1,9,9+0.8*ROUNDUP(N1071-1,0))</f>
        <v>13</v>
      </c>
      <c r="AA1071" s="11">
        <v>-2</v>
      </c>
      <c r="AB1071" s="11">
        <v>0</v>
      </c>
      <c r="AC1071" s="11">
        <v>0</v>
      </c>
      <c r="AD1071" s="11">
        <v>0</v>
      </c>
      <c r="AE1071" s="11">
        <v>0</v>
      </c>
      <c r="AF1071" s="11">
        <f t="shared" si="48"/>
        <v>0.65999999999999992</v>
      </c>
      <c r="AG1071" s="11">
        <f t="shared" si="49"/>
        <v>11.66</v>
      </c>
      <c r="AH1071" s="11">
        <v>0</v>
      </c>
      <c r="AI1071" s="11">
        <f t="shared" si="50"/>
        <v>11.66</v>
      </c>
      <c r="AJ1071" t="s">
        <v>62</v>
      </c>
    </row>
    <row r="1072" spans="1:36" ht="15" customHeight="1" x14ac:dyDescent="0.35">
      <c r="A1072">
        <v>10428918</v>
      </c>
      <c r="B1072" t="s">
        <v>36</v>
      </c>
      <c r="C1072" t="s">
        <v>37</v>
      </c>
      <c r="D1072" s="6" t="s">
        <v>38</v>
      </c>
      <c r="E1072" t="s">
        <v>3272</v>
      </c>
      <c r="F1072" t="s">
        <v>40</v>
      </c>
      <c r="G1072" t="s">
        <v>41</v>
      </c>
      <c r="H1072" t="s">
        <v>3273</v>
      </c>
      <c r="I1072" t="s">
        <v>43</v>
      </c>
      <c r="J1072">
        <v>2</v>
      </c>
      <c r="K1072" t="s">
        <v>44</v>
      </c>
      <c r="L1072" t="s">
        <v>45</v>
      </c>
      <c r="M1072" t="s">
        <v>46</v>
      </c>
      <c r="N1072" s="7">
        <v>1</v>
      </c>
      <c r="O1072" s="8">
        <v>45629.795775462961</v>
      </c>
      <c r="P1072" s="9">
        <v>45631</v>
      </c>
      <c r="Q1072" t="s">
        <v>74</v>
      </c>
      <c r="R1072" t="s">
        <v>48</v>
      </c>
      <c r="S1072" t="s">
        <v>49</v>
      </c>
      <c r="T1072" t="s">
        <v>59</v>
      </c>
      <c r="U1072" t="s">
        <v>3274</v>
      </c>
      <c r="V1072">
        <v>17600</v>
      </c>
      <c r="W1072" t="s">
        <v>48</v>
      </c>
      <c r="X1072" t="s">
        <v>61</v>
      </c>
      <c r="Y1072" t="s">
        <v>54</v>
      </c>
      <c r="Z1072" s="12">
        <f>IF(N1072&lt;=1,9,9+0.8*ROUNDUP(N1072-1,0))</f>
        <v>9</v>
      </c>
      <c r="AA1072" s="11">
        <v>-2</v>
      </c>
      <c r="AB1072" s="11">
        <v>0</v>
      </c>
      <c r="AC1072" s="11">
        <v>0</v>
      </c>
      <c r="AD1072" s="11">
        <v>0</v>
      </c>
      <c r="AE1072" s="11">
        <v>0</v>
      </c>
      <c r="AF1072" s="11">
        <f t="shared" si="48"/>
        <v>0.42</v>
      </c>
      <c r="AG1072" s="11">
        <f t="shared" si="49"/>
        <v>7.42</v>
      </c>
      <c r="AH1072" s="11">
        <v>0</v>
      </c>
      <c r="AI1072" s="11">
        <f t="shared" si="50"/>
        <v>7.42</v>
      </c>
      <c r="AJ1072" t="s">
        <v>62</v>
      </c>
    </row>
    <row r="1073" spans="1:36" ht="15" customHeight="1" x14ac:dyDescent="0.35">
      <c r="A1073">
        <v>10428918</v>
      </c>
      <c r="B1073" t="s">
        <v>36</v>
      </c>
      <c r="C1073" t="s">
        <v>37</v>
      </c>
      <c r="D1073" s="6" t="s">
        <v>38</v>
      </c>
      <c r="E1073" t="s">
        <v>3275</v>
      </c>
      <c r="F1073" t="s">
        <v>40</v>
      </c>
      <c r="G1073" t="s">
        <v>41</v>
      </c>
      <c r="H1073" t="s">
        <v>3276</v>
      </c>
      <c r="I1073" t="s">
        <v>43</v>
      </c>
      <c r="J1073">
        <v>2</v>
      </c>
      <c r="K1073" t="s">
        <v>44</v>
      </c>
      <c r="L1073" t="s">
        <v>45</v>
      </c>
      <c r="M1073" t="s">
        <v>46</v>
      </c>
      <c r="N1073" s="7">
        <v>2</v>
      </c>
      <c r="O1073" s="8">
        <v>45628.526446759257</v>
      </c>
      <c r="P1073" s="9">
        <v>45631</v>
      </c>
      <c r="Q1073" t="s">
        <v>74</v>
      </c>
      <c r="R1073" t="s">
        <v>48</v>
      </c>
      <c r="S1073" t="s">
        <v>49</v>
      </c>
      <c r="T1073" t="s">
        <v>170</v>
      </c>
      <c r="U1073" t="s">
        <v>3277</v>
      </c>
      <c r="V1073">
        <v>59200</v>
      </c>
      <c r="W1073" t="s">
        <v>48</v>
      </c>
      <c r="X1073" t="s">
        <v>53</v>
      </c>
      <c r="Y1073" t="s">
        <v>54</v>
      </c>
      <c r="Z1073" s="12">
        <f>IF(N1073&lt;=1,9,9+0.8*ROUNDUP(N1073-1,0))</f>
        <v>9.8000000000000007</v>
      </c>
      <c r="AA1073" s="11">
        <v>-2</v>
      </c>
      <c r="AB1073" s="11">
        <v>0</v>
      </c>
      <c r="AC1073" s="11">
        <v>0</v>
      </c>
      <c r="AD1073" s="11">
        <v>0</v>
      </c>
      <c r="AE1073" s="11">
        <v>0</v>
      </c>
      <c r="AF1073" s="11">
        <f t="shared" si="48"/>
        <v>0.46800000000000003</v>
      </c>
      <c r="AG1073" s="11">
        <f t="shared" si="49"/>
        <v>8.2680000000000007</v>
      </c>
      <c r="AH1073" s="11">
        <v>0</v>
      </c>
      <c r="AI1073" s="11">
        <f t="shared" si="50"/>
        <v>8.2680000000000007</v>
      </c>
      <c r="AJ1073" t="s">
        <v>62</v>
      </c>
    </row>
    <row r="1074" spans="1:36" ht="15" customHeight="1" x14ac:dyDescent="0.35">
      <c r="A1074">
        <v>10428918</v>
      </c>
      <c r="B1074" t="s">
        <v>36</v>
      </c>
      <c r="C1074" t="s">
        <v>37</v>
      </c>
      <c r="D1074" s="6" t="s">
        <v>38</v>
      </c>
      <c r="E1074" t="s">
        <v>3278</v>
      </c>
      <c r="F1074" t="s">
        <v>40</v>
      </c>
      <c r="G1074" t="s">
        <v>41</v>
      </c>
      <c r="H1074" t="s">
        <v>3279</v>
      </c>
      <c r="I1074" t="s">
        <v>43</v>
      </c>
      <c r="J1074">
        <v>2</v>
      </c>
      <c r="K1074" t="s">
        <v>44</v>
      </c>
      <c r="L1074" t="s">
        <v>45</v>
      </c>
      <c r="M1074" t="s">
        <v>46</v>
      </c>
      <c r="N1074" s="7">
        <v>1</v>
      </c>
      <c r="O1074" s="8">
        <v>45628.796712962961</v>
      </c>
      <c r="P1074" s="9">
        <v>45631</v>
      </c>
      <c r="Q1074" t="s">
        <v>74</v>
      </c>
      <c r="R1074" t="s">
        <v>48</v>
      </c>
      <c r="S1074" t="s">
        <v>49</v>
      </c>
      <c r="T1074" t="s">
        <v>80</v>
      </c>
      <c r="U1074" t="s">
        <v>3280</v>
      </c>
      <c r="V1074">
        <v>8200</v>
      </c>
      <c r="W1074" t="s">
        <v>48</v>
      </c>
      <c r="X1074" t="s">
        <v>53</v>
      </c>
      <c r="Y1074" t="s">
        <v>54</v>
      </c>
      <c r="Z1074" s="12">
        <f>IF(N1074&lt;=1,9,9+0.8*ROUNDUP(N1074-1,0))</f>
        <v>9</v>
      </c>
      <c r="AA1074" s="11">
        <v>-2</v>
      </c>
      <c r="AB1074" s="11">
        <v>0</v>
      </c>
      <c r="AC1074" s="11">
        <v>0</v>
      </c>
      <c r="AD1074" s="11">
        <v>0</v>
      </c>
      <c r="AE1074" s="11">
        <v>0</v>
      </c>
      <c r="AF1074" s="11">
        <f t="shared" si="48"/>
        <v>0.42</v>
      </c>
      <c r="AG1074" s="11">
        <f t="shared" si="49"/>
        <v>7.42</v>
      </c>
      <c r="AH1074" s="11">
        <v>0</v>
      </c>
      <c r="AI1074" s="11">
        <f t="shared" si="50"/>
        <v>7.42</v>
      </c>
      <c r="AJ1074" t="s">
        <v>62</v>
      </c>
    </row>
    <row r="1075" spans="1:36" ht="15" customHeight="1" x14ac:dyDescent="0.35">
      <c r="A1075">
        <v>10428918</v>
      </c>
      <c r="B1075" t="s">
        <v>36</v>
      </c>
      <c r="C1075" t="s">
        <v>37</v>
      </c>
      <c r="D1075" s="6" t="s">
        <v>38</v>
      </c>
      <c r="E1075" t="s">
        <v>3281</v>
      </c>
      <c r="F1075" t="s">
        <v>40</v>
      </c>
      <c r="G1075" t="s">
        <v>41</v>
      </c>
      <c r="H1075" t="s">
        <v>3282</v>
      </c>
      <c r="I1075" t="s">
        <v>43</v>
      </c>
      <c r="J1075">
        <v>2</v>
      </c>
      <c r="K1075" t="s">
        <v>44</v>
      </c>
      <c r="L1075" t="s">
        <v>45</v>
      </c>
      <c r="M1075" t="s">
        <v>46</v>
      </c>
      <c r="N1075" s="7">
        <v>1</v>
      </c>
      <c r="O1075" s="8">
        <v>45627.426539351851</v>
      </c>
      <c r="P1075" s="9">
        <v>45631</v>
      </c>
      <c r="Q1075" t="s">
        <v>74</v>
      </c>
      <c r="R1075" t="s">
        <v>48</v>
      </c>
      <c r="S1075" t="s">
        <v>49</v>
      </c>
      <c r="T1075" t="s">
        <v>101</v>
      </c>
      <c r="U1075" t="s">
        <v>3283</v>
      </c>
      <c r="V1075">
        <v>34900</v>
      </c>
      <c r="W1075" t="s">
        <v>48</v>
      </c>
      <c r="X1075" t="s">
        <v>754</v>
      </c>
      <c r="Y1075" t="s">
        <v>54</v>
      </c>
      <c r="Z1075" s="12">
        <f>IF(N1075&lt;=1,9,9+0.8*ROUNDUP(N1075-1,0))</f>
        <v>9</v>
      </c>
      <c r="AA1075" s="11">
        <v>-2</v>
      </c>
      <c r="AB1075" s="11">
        <v>0</v>
      </c>
      <c r="AC1075" s="11">
        <v>0</v>
      </c>
      <c r="AD1075" s="11">
        <v>0</v>
      </c>
      <c r="AE1075" s="11">
        <v>0</v>
      </c>
      <c r="AF1075" s="11">
        <f t="shared" si="48"/>
        <v>0.42</v>
      </c>
      <c r="AG1075" s="11">
        <f t="shared" si="49"/>
        <v>7.42</v>
      </c>
      <c r="AH1075" s="11">
        <v>0</v>
      </c>
      <c r="AI1075" s="11">
        <f t="shared" si="50"/>
        <v>7.42</v>
      </c>
      <c r="AJ1075" t="s">
        <v>62</v>
      </c>
    </row>
    <row r="1076" spans="1:36" ht="15" customHeight="1" x14ac:dyDescent="0.35">
      <c r="A1076">
        <v>10428918</v>
      </c>
      <c r="B1076" t="s">
        <v>36</v>
      </c>
      <c r="C1076" t="s">
        <v>37</v>
      </c>
      <c r="D1076" s="6" t="s">
        <v>38</v>
      </c>
      <c r="E1076" t="s">
        <v>3284</v>
      </c>
      <c r="F1076" t="s">
        <v>40</v>
      </c>
      <c r="G1076" t="s">
        <v>41</v>
      </c>
      <c r="H1076" t="s">
        <v>3285</v>
      </c>
      <c r="I1076" t="s">
        <v>43</v>
      </c>
      <c r="J1076">
        <v>2</v>
      </c>
      <c r="K1076" t="s">
        <v>44</v>
      </c>
      <c r="L1076" t="s">
        <v>45</v>
      </c>
      <c r="M1076" t="s">
        <v>46</v>
      </c>
      <c r="N1076" s="7">
        <v>1</v>
      </c>
      <c r="O1076" s="8">
        <v>45627.432662037034</v>
      </c>
      <c r="P1076" s="9">
        <v>45631</v>
      </c>
      <c r="Q1076" t="s">
        <v>74</v>
      </c>
      <c r="R1076" t="s">
        <v>48</v>
      </c>
      <c r="S1076" t="s">
        <v>49</v>
      </c>
      <c r="T1076" t="s">
        <v>161</v>
      </c>
      <c r="U1076" t="s">
        <v>3286</v>
      </c>
      <c r="V1076">
        <v>11700</v>
      </c>
      <c r="W1076" t="s">
        <v>48</v>
      </c>
      <c r="X1076" t="s">
        <v>1973</v>
      </c>
      <c r="Y1076" t="s">
        <v>54</v>
      </c>
      <c r="Z1076" s="12">
        <f>IF(N1076&lt;=1,9,9+0.8*ROUNDUP(N1076-1,0))</f>
        <v>9</v>
      </c>
      <c r="AA1076" s="11">
        <v>-2</v>
      </c>
      <c r="AB1076" s="11">
        <v>0</v>
      </c>
      <c r="AC1076" s="11">
        <v>0</v>
      </c>
      <c r="AD1076" s="11">
        <v>0</v>
      </c>
      <c r="AE1076" s="11">
        <v>0</v>
      </c>
      <c r="AF1076" s="11">
        <f t="shared" si="48"/>
        <v>0.42</v>
      </c>
      <c r="AG1076" s="11">
        <f t="shared" si="49"/>
        <v>7.42</v>
      </c>
      <c r="AH1076" s="11">
        <v>0</v>
      </c>
      <c r="AI1076" s="11">
        <f t="shared" si="50"/>
        <v>7.42</v>
      </c>
      <c r="AJ1076" t="s">
        <v>62</v>
      </c>
    </row>
    <row r="1077" spans="1:36" ht="15" customHeight="1" x14ac:dyDescent="0.35">
      <c r="A1077">
        <v>10428918</v>
      </c>
      <c r="B1077" t="s">
        <v>36</v>
      </c>
      <c r="C1077" t="s">
        <v>37</v>
      </c>
      <c r="D1077" s="6" t="s">
        <v>38</v>
      </c>
      <c r="E1077" t="s">
        <v>3287</v>
      </c>
      <c r="F1077" t="s">
        <v>40</v>
      </c>
      <c r="G1077" t="s">
        <v>41</v>
      </c>
      <c r="H1077" t="s">
        <v>3288</v>
      </c>
      <c r="I1077" t="s">
        <v>43</v>
      </c>
      <c r="J1077">
        <v>2</v>
      </c>
      <c r="K1077" t="s">
        <v>44</v>
      </c>
      <c r="L1077" t="s">
        <v>45</v>
      </c>
      <c r="M1077" t="s">
        <v>46</v>
      </c>
      <c r="N1077" s="7">
        <v>1</v>
      </c>
      <c r="O1077" s="8">
        <v>45629.790138888886</v>
      </c>
      <c r="P1077" s="9">
        <v>45631</v>
      </c>
      <c r="Q1077" t="s">
        <v>74</v>
      </c>
      <c r="R1077" t="s">
        <v>48</v>
      </c>
      <c r="S1077" t="s">
        <v>49</v>
      </c>
      <c r="T1077" t="s">
        <v>75</v>
      </c>
      <c r="U1077" t="s">
        <v>3289</v>
      </c>
      <c r="V1077">
        <v>22000</v>
      </c>
      <c r="W1077" t="s">
        <v>48</v>
      </c>
      <c r="X1077" t="s">
        <v>77</v>
      </c>
      <c r="Y1077" t="s">
        <v>54</v>
      </c>
      <c r="Z1077" s="12">
        <f>IF(N1077&lt;=1,9,9+0.8*ROUNDUP(N1077-1,0))</f>
        <v>9</v>
      </c>
      <c r="AA1077" s="11">
        <v>-2</v>
      </c>
      <c r="AB1077" s="11">
        <v>0</v>
      </c>
      <c r="AC1077" s="11">
        <v>0</v>
      </c>
      <c r="AD1077" s="11">
        <v>0</v>
      </c>
      <c r="AE1077" s="11">
        <v>0</v>
      </c>
      <c r="AF1077" s="11">
        <f t="shared" si="48"/>
        <v>0.42</v>
      </c>
      <c r="AG1077" s="11">
        <f t="shared" si="49"/>
        <v>7.42</v>
      </c>
      <c r="AH1077" s="11">
        <v>0</v>
      </c>
      <c r="AI1077" s="11">
        <f t="shared" si="50"/>
        <v>7.42</v>
      </c>
      <c r="AJ1077" t="s">
        <v>62</v>
      </c>
    </row>
    <row r="1078" spans="1:36" ht="15" customHeight="1" x14ac:dyDescent="0.35">
      <c r="A1078">
        <v>10428918</v>
      </c>
      <c r="B1078" t="s">
        <v>36</v>
      </c>
      <c r="C1078" t="s">
        <v>37</v>
      </c>
      <c r="D1078" s="6" t="s">
        <v>38</v>
      </c>
      <c r="E1078" t="s">
        <v>3290</v>
      </c>
      <c r="F1078" t="s">
        <v>40</v>
      </c>
      <c r="G1078" t="s">
        <v>41</v>
      </c>
      <c r="H1078" t="s">
        <v>3291</v>
      </c>
      <c r="I1078" t="s">
        <v>43</v>
      </c>
      <c r="J1078">
        <v>2</v>
      </c>
      <c r="K1078" t="s">
        <v>44</v>
      </c>
      <c r="L1078" t="s">
        <v>45</v>
      </c>
      <c r="M1078" t="s">
        <v>46</v>
      </c>
      <c r="N1078" s="7">
        <v>1</v>
      </c>
      <c r="O1078" s="8">
        <v>45629.44121527778</v>
      </c>
      <c r="P1078" s="9">
        <v>45631</v>
      </c>
      <c r="Q1078" t="s">
        <v>74</v>
      </c>
      <c r="R1078" t="s">
        <v>48</v>
      </c>
      <c r="S1078" t="s">
        <v>49</v>
      </c>
      <c r="T1078" t="s">
        <v>117</v>
      </c>
      <c r="U1078" t="s">
        <v>3292</v>
      </c>
      <c r="V1078">
        <v>47301</v>
      </c>
      <c r="W1078" t="s">
        <v>48</v>
      </c>
      <c r="X1078" t="s">
        <v>53</v>
      </c>
      <c r="Y1078" t="s">
        <v>54</v>
      </c>
      <c r="Z1078" s="12">
        <f>IF(N1078&lt;=1,9,9+0.8*ROUNDUP(N1078-1,0))</f>
        <v>9</v>
      </c>
      <c r="AA1078" s="11">
        <v>-2</v>
      </c>
      <c r="AB1078" s="11">
        <v>0</v>
      </c>
      <c r="AC1078" s="11">
        <v>0</v>
      </c>
      <c r="AD1078" s="11">
        <v>0</v>
      </c>
      <c r="AE1078" s="11">
        <v>0</v>
      </c>
      <c r="AF1078" s="11">
        <f t="shared" si="48"/>
        <v>0.42</v>
      </c>
      <c r="AG1078" s="11">
        <f t="shared" si="49"/>
        <v>7.42</v>
      </c>
      <c r="AH1078" s="11">
        <v>0</v>
      </c>
      <c r="AI1078" s="11">
        <f t="shared" si="50"/>
        <v>7.42</v>
      </c>
      <c r="AJ1078" t="s">
        <v>62</v>
      </c>
    </row>
    <row r="1079" spans="1:36" ht="15" customHeight="1" x14ac:dyDescent="0.35">
      <c r="A1079">
        <v>10428918</v>
      </c>
      <c r="B1079" t="s">
        <v>36</v>
      </c>
      <c r="C1079" t="s">
        <v>37</v>
      </c>
      <c r="D1079" s="6" t="s">
        <v>38</v>
      </c>
      <c r="E1079" t="s">
        <v>3293</v>
      </c>
      <c r="F1079" t="s">
        <v>40</v>
      </c>
      <c r="G1079" t="s">
        <v>41</v>
      </c>
      <c r="H1079" t="s">
        <v>3294</v>
      </c>
      <c r="I1079" t="s">
        <v>43</v>
      </c>
      <c r="J1079">
        <v>2</v>
      </c>
      <c r="K1079" t="s">
        <v>44</v>
      </c>
      <c r="L1079" t="s">
        <v>45</v>
      </c>
      <c r="M1079" t="s">
        <v>46</v>
      </c>
      <c r="N1079" s="7">
        <v>11</v>
      </c>
      <c r="O1079" s="8">
        <v>45631.411180555559</v>
      </c>
      <c r="P1079" s="9">
        <v>45632</v>
      </c>
      <c r="Q1079" t="s">
        <v>74</v>
      </c>
      <c r="R1079" t="s">
        <v>48</v>
      </c>
      <c r="S1079" t="s">
        <v>49</v>
      </c>
      <c r="T1079" t="s">
        <v>90</v>
      </c>
      <c r="U1079" t="s">
        <v>3295</v>
      </c>
      <c r="V1079">
        <v>24000</v>
      </c>
      <c r="W1079" t="s">
        <v>48</v>
      </c>
      <c r="X1079" t="s">
        <v>962</v>
      </c>
      <c r="Y1079" t="s">
        <v>54</v>
      </c>
      <c r="Z1079" s="12">
        <f>IF(N1079&lt;=1,9,9+0.8*ROUNDUP(N1079-1,0))</f>
        <v>17</v>
      </c>
      <c r="AA1079" s="11">
        <v>-2</v>
      </c>
      <c r="AB1079" s="11">
        <v>0</v>
      </c>
      <c r="AC1079" s="11">
        <v>0</v>
      </c>
      <c r="AD1079" s="11">
        <v>0</v>
      </c>
      <c r="AE1079" s="11">
        <v>0</v>
      </c>
      <c r="AF1079" s="11">
        <f t="shared" si="48"/>
        <v>0.89999999999999991</v>
      </c>
      <c r="AG1079" s="11">
        <f t="shared" si="49"/>
        <v>15.9</v>
      </c>
      <c r="AH1079" s="11">
        <v>0</v>
      </c>
      <c r="AI1079" s="11">
        <f t="shared" si="50"/>
        <v>15.9</v>
      </c>
      <c r="AJ1079" t="s">
        <v>62</v>
      </c>
    </row>
    <row r="1080" spans="1:36" ht="15" customHeight="1" x14ac:dyDescent="0.35">
      <c r="A1080">
        <v>10428918</v>
      </c>
      <c r="B1080" t="s">
        <v>36</v>
      </c>
      <c r="C1080" t="s">
        <v>37</v>
      </c>
      <c r="D1080" s="6" t="s">
        <v>38</v>
      </c>
      <c r="E1080" t="s">
        <v>3296</v>
      </c>
      <c r="F1080" t="s">
        <v>40</v>
      </c>
      <c r="G1080" t="s">
        <v>41</v>
      </c>
      <c r="H1080" t="s">
        <v>3297</v>
      </c>
      <c r="I1080" t="s">
        <v>43</v>
      </c>
      <c r="J1080">
        <v>2</v>
      </c>
      <c r="K1080" t="s">
        <v>44</v>
      </c>
      <c r="L1080" t="s">
        <v>45</v>
      </c>
      <c r="M1080" t="s">
        <v>46</v>
      </c>
      <c r="N1080" s="7">
        <v>1</v>
      </c>
      <c r="O1080" s="8">
        <v>45629.433564814812</v>
      </c>
      <c r="P1080" s="9">
        <v>45632</v>
      </c>
      <c r="Q1080" t="s">
        <v>74</v>
      </c>
      <c r="R1080" t="s">
        <v>48</v>
      </c>
      <c r="S1080" t="s">
        <v>49</v>
      </c>
      <c r="T1080" t="s">
        <v>50</v>
      </c>
      <c r="U1080" t="s">
        <v>3298</v>
      </c>
      <c r="V1080">
        <v>89200</v>
      </c>
      <c r="W1080" t="s">
        <v>52</v>
      </c>
      <c r="X1080" t="s">
        <v>53</v>
      </c>
      <c r="Y1080" t="s">
        <v>54</v>
      </c>
      <c r="Z1080" s="10">
        <f>IF(N1080&lt;=1,13,IF(N1080&lt;=2,23,IF(N1080&lt;=3,35,IF(N1080&lt;=4,43,IF(N1080&lt;=5,53,IF(N1080&lt;=6,63,IF(N1080&lt;=7,71,IF(N1080&lt;=8,79,IF(N1080&lt;=9,87,IF(N1080&lt;=10,95,IF(N1080&lt;=11,105,IF(N1080&lt;=12,114,IF(N1080&lt;=13,119,IF(N1080&lt;=14,127,IF(N1080&lt;=15,135,IF(N1080&lt;=16,143,IF(N1080&lt;=17,153,IF(N1080&lt;=18,163,IF(N1080&lt;=19,171,IF(N1080&lt;=20,185,IF(N1080&lt;=21,193,IF(N1080&lt;=22,201,IF(N1080&lt;=23,210,IF(N1080&lt;=24,220,IF(N1080&lt;=25,230,IF(N1080&lt;=26,240,IF(N1080&lt;=27,250,IF(N1080&lt;=28,260,IF(N1080&lt;=29,270,IF(N1080&lt;=30,280,280+10*ROUNDUP(N1080-30,0)))))))))))))))))))))))))))))))</f>
        <v>13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f t="shared" si="48"/>
        <v>0.78</v>
      </c>
      <c r="AG1080" s="11">
        <f t="shared" si="49"/>
        <v>13.78</v>
      </c>
      <c r="AH1080" s="11">
        <v>0</v>
      </c>
      <c r="AI1080" s="11">
        <f t="shared" si="50"/>
        <v>13.78</v>
      </c>
      <c r="AJ1080" t="s">
        <v>55</v>
      </c>
    </row>
    <row r="1081" spans="1:36" ht="15" customHeight="1" x14ac:dyDescent="0.35">
      <c r="A1081">
        <v>10428918</v>
      </c>
      <c r="B1081" t="s">
        <v>36</v>
      </c>
      <c r="C1081" t="s">
        <v>37</v>
      </c>
      <c r="D1081" s="6" t="s">
        <v>38</v>
      </c>
      <c r="E1081" t="s">
        <v>3299</v>
      </c>
      <c r="F1081" t="s">
        <v>40</v>
      </c>
      <c r="G1081" t="s">
        <v>41</v>
      </c>
      <c r="H1081" t="s">
        <v>3300</v>
      </c>
      <c r="I1081" t="s">
        <v>43</v>
      </c>
      <c r="J1081">
        <v>2</v>
      </c>
      <c r="K1081" t="s">
        <v>44</v>
      </c>
      <c r="L1081" t="s">
        <v>45</v>
      </c>
      <c r="M1081" t="s">
        <v>46</v>
      </c>
      <c r="N1081" s="7">
        <v>5</v>
      </c>
      <c r="O1081" s="8">
        <v>45631.758287037039</v>
      </c>
      <c r="P1081" s="9">
        <v>45632</v>
      </c>
      <c r="Q1081" t="s">
        <v>74</v>
      </c>
      <c r="R1081" t="s">
        <v>48</v>
      </c>
      <c r="S1081" t="s">
        <v>49</v>
      </c>
      <c r="T1081" t="s">
        <v>59</v>
      </c>
      <c r="U1081" t="s">
        <v>3301</v>
      </c>
      <c r="V1081">
        <v>18300</v>
      </c>
      <c r="W1081" t="s">
        <v>48</v>
      </c>
      <c r="X1081" t="s">
        <v>831</v>
      </c>
      <c r="Y1081" t="s">
        <v>54</v>
      </c>
      <c r="Z1081" s="12">
        <f>IF(N1081&lt;=1,9,9+0.8*ROUNDUP(N1081-1,0))</f>
        <v>12.2</v>
      </c>
      <c r="AA1081" s="11">
        <v>-2</v>
      </c>
      <c r="AB1081" s="11">
        <v>0</v>
      </c>
      <c r="AC1081" s="11">
        <v>0</v>
      </c>
      <c r="AD1081" s="11">
        <v>0</v>
      </c>
      <c r="AE1081" s="11">
        <v>0</v>
      </c>
      <c r="AF1081" s="11">
        <f t="shared" si="48"/>
        <v>0.61199999999999999</v>
      </c>
      <c r="AG1081" s="11">
        <f t="shared" si="49"/>
        <v>10.811999999999999</v>
      </c>
      <c r="AH1081" s="11">
        <v>0</v>
      </c>
      <c r="AI1081" s="11">
        <f t="shared" si="50"/>
        <v>10.811999999999999</v>
      </c>
      <c r="AJ1081" t="s">
        <v>62</v>
      </c>
    </row>
    <row r="1082" spans="1:36" ht="15" customHeight="1" x14ac:dyDescent="0.35">
      <c r="A1082">
        <v>10428918</v>
      </c>
      <c r="B1082" t="s">
        <v>36</v>
      </c>
      <c r="C1082" t="s">
        <v>37</v>
      </c>
      <c r="D1082" s="6" t="s">
        <v>38</v>
      </c>
      <c r="E1082" t="s">
        <v>3302</v>
      </c>
      <c r="F1082" t="s">
        <v>40</v>
      </c>
      <c r="G1082" t="s">
        <v>41</v>
      </c>
      <c r="H1082" t="s">
        <v>3303</v>
      </c>
      <c r="I1082" t="s">
        <v>43</v>
      </c>
      <c r="J1082">
        <v>2</v>
      </c>
      <c r="K1082" t="s">
        <v>44</v>
      </c>
      <c r="L1082" t="s">
        <v>45</v>
      </c>
      <c r="M1082" t="s">
        <v>46</v>
      </c>
      <c r="N1082" s="7">
        <v>1</v>
      </c>
      <c r="O1082" s="8">
        <v>45630.806354166663</v>
      </c>
      <c r="P1082" s="9">
        <v>45632</v>
      </c>
      <c r="Q1082" t="s">
        <v>74</v>
      </c>
      <c r="R1082" t="s">
        <v>48</v>
      </c>
      <c r="S1082" t="s">
        <v>49</v>
      </c>
      <c r="T1082" t="s">
        <v>90</v>
      </c>
      <c r="U1082" t="s">
        <v>3304</v>
      </c>
      <c r="V1082">
        <v>21020</v>
      </c>
      <c r="W1082" t="s">
        <v>48</v>
      </c>
      <c r="X1082" t="s">
        <v>92</v>
      </c>
      <c r="Y1082" t="s">
        <v>54</v>
      </c>
      <c r="Z1082" s="12">
        <f>IF(N1082&lt;=1,9,9+0.8*ROUNDUP(N1082-1,0))</f>
        <v>9</v>
      </c>
      <c r="AA1082" s="11">
        <v>-2</v>
      </c>
      <c r="AB1082" s="11">
        <v>0</v>
      </c>
      <c r="AC1082" s="11">
        <v>0</v>
      </c>
      <c r="AD1082" s="11">
        <v>0</v>
      </c>
      <c r="AE1082" s="11">
        <v>0</v>
      </c>
      <c r="AF1082" s="11">
        <f t="shared" si="48"/>
        <v>0.42</v>
      </c>
      <c r="AG1082" s="11">
        <f t="shared" si="49"/>
        <v>7.42</v>
      </c>
      <c r="AH1082" s="11">
        <v>0</v>
      </c>
      <c r="AI1082" s="11">
        <f t="shared" si="50"/>
        <v>7.42</v>
      </c>
      <c r="AJ1082" t="s">
        <v>62</v>
      </c>
    </row>
    <row r="1083" spans="1:36" ht="15" customHeight="1" x14ac:dyDescent="0.35">
      <c r="A1083">
        <v>10428918</v>
      </c>
      <c r="B1083" t="s">
        <v>36</v>
      </c>
      <c r="C1083" t="s">
        <v>37</v>
      </c>
      <c r="D1083" s="6" t="s">
        <v>38</v>
      </c>
      <c r="E1083" t="s">
        <v>3305</v>
      </c>
      <c r="F1083" t="s">
        <v>40</v>
      </c>
      <c r="G1083" t="s">
        <v>41</v>
      </c>
      <c r="H1083" t="s">
        <v>3306</v>
      </c>
      <c r="I1083" t="s">
        <v>43</v>
      </c>
      <c r="J1083">
        <v>2</v>
      </c>
      <c r="K1083" t="s">
        <v>44</v>
      </c>
      <c r="L1083" t="s">
        <v>45</v>
      </c>
      <c r="M1083" t="s">
        <v>46</v>
      </c>
      <c r="N1083" s="7">
        <v>1</v>
      </c>
      <c r="O1083" s="8">
        <v>45630.415405092594</v>
      </c>
      <c r="P1083" s="9">
        <v>45632</v>
      </c>
      <c r="Q1083" t="s">
        <v>74</v>
      </c>
      <c r="R1083" t="s">
        <v>48</v>
      </c>
      <c r="S1083" t="s">
        <v>49</v>
      </c>
      <c r="T1083" t="s">
        <v>117</v>
      </c>
      <c r="U1083" t="s">
        <v>3307</v>
      </c>
      <c r="V1083">
        <v>40400</v>
      </c>
      <c r="W1083" t="s">
        <v>48</v>
      </c>
      <c r="X1083" t="s">
        <v>53</v>
      </c>
      <c r="Y1083" t="s">
        <v>54</v>
      </c>
      <c r="Z1083" s="12">
        <f>IF(N1083&lt;=1,9,9+0.8*ROUNDUP(N1083-1,0))</f>
        <v>9</v>
      </c>
      <c r="AA1083" s="11">
        <v>-2</v>
      </c>
      <c r="AB1083" s="11">
        <v>0</v>
      </c>
      <c r="AC1083" s="11">
        <v>0</v>
      </c>
      <c r="AD1083" s="11">
        <v>0</v>
      </c>
      <c r="AE1083" s="11">
        <v>0</v>
      </c>
      <c r="AF1083" s="11">
        <f t="shared" si="48"/>
        <v>0.42</v>
      </c>
      <c r="AG1083" s="11">
        <f t="shared" si="49"/>
        <v>7.42</v>
      </c>
      <c r="AH1083" s="11">
        <v>0</v>
      </c>
      <c r="AI1083" s="11">
        <f t="shared" si="50"/>
        <v>7.42</v>
      </c>
      <c r="AJ1083" t="s">
        <v>62</v>
      </c>
    </row>
    <row r="1084" spans="1:36" ht="15" customHeight="1" x14ac:dyDescent="0.35">
      <c r="A1084">
        <v>10428918</v>
      </c>
      <c r="B1084" t="s">
        <v>36</v>
      </c>
      <c r="C1084" t="s">
        <v>37</v>
      </c>
      <c r="D1084" s="6" t="s">
        <v>38</v>
      </c>
      <c r="E1084" t="s">
        <v>3308</v>
      </c>
      <c r="F1084" t="s">
        <v>40</v>
      </c>
      <c r="G1084" t="s">
        <v>41</v>
      </c>
      <c r="H1084" t="s">
        <v>3309</v>
      </c>
      <c r="I1084" t="s">
        <v>43</v>
      </c>
      <c r="J1084">
        <v>2</v>
      </c>
      <c r="K1084" t="s">
        <v>44</v>
      </c>
      <c r="L1084" t="s">
        <v>45</v>
      </c>
      <c r="M1084" t="s">
        <v>46</v>
      </c>
      <c r="N1084" s="7">
        <v>2</v>
      </c>
      <c r="O1084" s="8">
        <v>45628.776747685188</v>
      </c>
      <c r="P1084" s="9">
        <v>45632</v>
      </c>
      <c r="Q1084" t="s">
        <v>74</v>
      </c>
      <c r="R1084" t="s">
        <v>48</v>
      </c>
      <c r="S1084" t="s">
        <v>49</v>
      </c>
      <c r="T1084" t="s">
        <v>50</v>
      </c>
      <c r="U1084" t="s">
        <v>3310</v>
      </c>
      <c r="V1084">
        <v>89008</v>
      </c>
      <c r="W1084" t="s">
        <v>52</v>
      </c>
      <c r="X1084" t="s">
        <v>53</v>
      </c>
      <c r="Y1084" t="s">
        <v>54</v>
      </c>
      <c r="Z1084" s="10">
        <f>IF(N1084&lt;=1,13,IF(N1084&lt;=2,23,IF(N1084&lt;=3,35,IF(N1084&lt;=4,43,IF(N1084&lt;=5,53,IF(N1084&lt;=6,63,IF(N1084&lt;=7,71,IF(N1084&lt;=8,79,IF(N1084&lt;=9,87,IF(N1084&lt;=10,95,IF(N1084&lt;=11,105,IF(N1084&lt;=12,114,IF(N1084&lt;=13,119,IF(N1084&lt;=14,127,IF(N1084&lt;=15,135,IF(N1084&lt;=16,143,IF(N1084&lt;=17,153,IF(N1084&lt;=18,163,IF(N1084&lt;=19,171,IF(N1084&lt;=20,185,IF(N1084&lt;=21,193,IF(N1084&lt;=22,201,IF(N1084&lt;=23,210,IF(N1084&lt;=24,220,IF(N1084&lt;=25,230,IF(N1084&lt;=26,240,IF(N1084&lt;=27,250,IF(N1084&lt;=28,260,IF(N1084&lt;=29,270,IF(N1084&lt;=30,280,280+10*ROUNDUP(N1084-30,0)))))))))))))))))))))))))))))))</f>
        <v>23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f t="shared" si="48"/>
        <v>1.38</v>
      </c>
      <c r="AG1084" s="11">
        <f t="shared" si="49"/>
        <v>24.38</v>
      </c>
      <c r="AH1084" s="11">
        <v>0</v>
      </c>
      <c r="AI1084" s="11">
        <f t="shared" si="50"/>
        <v>24.38</v>
      </c>
      <c r="AJ1084" t="s">
        <v>55</v>
      </c>
    </row>
    <row r="1085" spans="1:36" ht="15" customHeight="1" x14ac:dyDescent="0.35">
      <c r="A1085">
        <v>10428918</v>
      </c>
      <c r="B1085" t="s">
        <v>36</v>
      </c>
      <c r="C1085" t="s">
        <v>37</v>
      </c>
      <c r="D1085" s="6" t="s">
        <v>38</v>
      </c>
      <c r="E1085" t="s">
        <v>3311</v>
      </c>
      <c r="F1085" t="s">
        <v>40</v>
      </c>
      <c r="G1085" t="s">
        <v>41</v>
      </c>
      <c r="H1085" t="s">
        <v>1850</v>
      </c>
      <c r="I1085" t="s">
        <v>43</v>
      </c>
      <c r="J1085">
        <v>2</v>
      </c>
      <c r="K1085" t="s">
        <v>44</v>
      </c>
      <c r="L1085" t="s">
        <v>45</v>
      </c>
      <c r="M1085" t="s">
        <v>46</v>
      </c>
      <c r="N1085" s="7">
        <v>1</v>
      </c>
      <c r="O1085" s="8">
        <v>45629.808969907404</v>
      </c>
      <c r="P1085" s="9">
        <v>45632</v>
      </c>
      <c r="Q1085" t="s">
        <v>74</v>
      </c>
      <c r="R1085" t="s">
        <v>48</v>
      </c>
      <c r="S1085" t="s">
        <v>49</v>
      </c>
      <c r="T1085" t="s">
        <v>65</v>
      </c>
      <c r="U1085" t="s">
        <v>1851</v>
      </c>
      <c r="V1085">
        <v>78200</v>
      </c>
      <c r="W1085" t="s">
        <v>48</v>
      </c>
      <c r="X1085" t="s">
        <v>406</v>
      </c>
      <c r="Y1085" t="s">
        <v>54</v>
      </c>
      <c r="Z1085" s="12">
        <f>IF(N1085&lt;=1,9,9+0.8*ROUNDUP(N1085-1,0))</f>
        <v>9</v>
      </c>
      <c r="AA1085" s="11">
        <v>-2</v>
      </c>
      <c r="AB1085" s="11">
        <v>0</v>
      </c>
      <c r="AC1085" s="11">
        <v>0</v>
      </c>
      <c r="AD1085" s="11">
        <v>0</v>
      </c>
      <c r="AE1085" s="11">
        <v>0</v>
      </c>
      <c r="AF1085" s="11">
        <f t="shared" si="48"/>
        <v>0.42</v>
      </c>
      <c r="AG1085" s="11">
        <f t="shared" si="49"/>
        <v>7.42</v>
      </c>
      <c r="AH1085" s="11">
        <v>0</v>
      </c>
      <c r="AI1085" s="11">
        <f t="shared" si="50"/>
        <v>7.42</v>
      </c>
      <c r="AJ1085" t="s">
        <v>62</v>
      </c>
    </row>
    <row r="1086" spans="1:36" ht="15" customHeight="1" x14ac:dyDescent="0.35">
      <c r="A1086">
        <v>10428918</v>
      </c>
      <c r="B1086" t="s">
        <v>36</v>
      </c>
      <c r="C1086" t="s">
        <v>37</v>
      </c>
      <c r="D1086" s="6" t="s">
        <v>38</v>
      </c>
      <c r="E1086" t="s">
        <v>3312</v>
      </c>
      <c r="F1086" t="s">
        <v>40</v>
      </c>
      <c r="G1086" t="s">
        <v>41</v>
      </c>
      <c r="H1086" t="s">
        <v>3313</v>
      </c>
      <c r="I1086" t="s">
        <v>43</v>
      </c>
      <c r="J1086">
        <v>2</v>
      </c>
      <c r="K1086" t="s">
        <v>44</v>
      </c>
      <c r="L1086" t="s">
        <v>45</v>
      </c>
      <c r="M1086" t="s">
        <v>46</v>
      </c>
      <c r="N1086" s="7">
        <v>1</v>
      </c>
      <c r="O1086" s="8">
        <v>45629.808981481481</v>
      </c>
      <c r="P1086" s="9">
        <v>45632</v>
      </c>
      <c r="Q1086" t="s">
        <v>74</v>
      </c>
      <c r="R1086" t="s">
        <v>48</v>
      </c>
      <c r="S1086" t="s">
        <v>49</v>
      </c>
      <c r="T1086" t="s">
        <v>101</v>
      </c>
      <c r="U1086" t="s">
        <v>3314</v>
      </c>
      <c r="V1086">
        <v>30020</v>
      </c>
      <c r="W1086" t="s">
        <v>48</v>
      </c>
      <c r="X1086" t="s">
        <v>53</v>
      </c>
      <c r="Y1086" t="s">
        <v>54</v>
      </c>
      <c r="Z1086" s="12">
        <f>IF(N1086&lt;=1,9,9+0.8*ROUNDUP(N1086-1,0))</f>
        <v>9</v>
      </c>
      <c r="AA1086" s="11">
        <v>-2</v>
      </c>
      <c r="AB1086" s="11">
        <v>0</v>
      </c>
      <c r="AC1086" s="11">
        <v>0</v>
      </c>
      <c r="AD1086" s="11">
        <v>0</v>
      </c>
      <c r="AE1086" s="11">
        <v>0</v>
      </c>
      <c r="AF1086" s="11">
        <f t="shared" si="48"/>
        <v>0.42</v>
      </c>
      <c r="AG1086" s="11">
        <f t="shared" si="49"/>
        <v>7.42</v>
      </c>
      <c r="AH1086" s="11">
        <v>0</v>
      </c>
      <c r="AI1086" s="11">
        <f t="shared" si="50"/>
        <v>7.42</v>
      </c>
      <c r="AJ1086" t="s">
        <v>62</v>
      </c>
    </row>
    <row r="1087" spans="1:36" ht="15" customHeight="1" x14ac:dyDescent="0.35">
      <c r="A1087">
        <v>10428918</v>
      </c>
      <c r="B1087" t="s">
        <v>36</v>
      </c>
      <c r="C1087" t="s">
        <v>37</v>
      </c>
      <c r="D1087" s="6" t="s">
        <v>38</v>
      </c>
      <c r="E1087" t="s">
        <v>3315</v>
      </c>
      <c r="F1087" t="s">
        <v>40</v>
      </c>
      <c r="G1087" t="s">
        <v>41</v>
      </c>
      <c r="H1087" t="s">
        <v>3316</v>
      </c>
      <c r="I1087" t="s">
        <v>43</v>
      </c>
      <c r="J1087">
        <v>2</v>
      </c>
      <c r="K1087" t="s">
        <v>44</v>
      </c>
      <c r="L1087" t="s">
        <v>45</v>
      </c>
      <c r="M1087" t="s">
        <v>46</v>
      </c>
      <c r="N1087" s="7">
        <v>2</v>
      </c>
      <c r="O1087" s="8">
        <v>45631.499803240738</v>
      </c>
      <c r="P1087" s="9">
        <v>45632</v>
      </c>
      <c r="Q1087" t="s">
        <v>74</v>
      </c>
      <c r="R1087" t="s">
        <v>48</v>
      </c>
      <c r="S1087" t="s">
        <v>49</v>
      </c>
      <c r="T1087" t="s">
        <v>117</v>
      </c>
      <c r="U1087" t="s">
        <v>3317</v>
      </c>
      <c r="V1087">
        <v>40300</v>
      </c>
      <c r="W1087" t="s">
        <v>48</v>
      </c>
      <c r="X1087" t="s">
        <v>921</v>
      </c>
      <c r="Y1087" t="s">
        <v>54</v>
      </c>
      <c r="Z1087" s="12">
        <f>IF(N1087&lt;=1,9,9+0.8*ROUNDUP(N1087-1,0))</f>
        <v>9.8000000000000007</v>
      </c>
      <c r="AA1087" s="11">
        <v>-2</v>
      </c>
      <c r="AB1087" s="11">
        <v>0</v>
      </c>
      <c r="AC1087" s="11">
        <v>0</v>
      </c>
      <c r="AD1087" s="11">
        <v>0</v>
      </c>
      <c r="AE1087" s="11">
        <v>0</v>
      </c>
      <c r="AF1087" s="11">
        <f t="shared" si="48"/>
        <v>0.46800000000000003</v>
      </c>
      <c r="AG1087" s="11">
        <f t="shared" si="49"/>
        <v>8.2680000000000007</v>
      </c>
      <c r="AH1087" s="11">
        <v>0</v>
      </c>
      <c r="AI1087" s="11">
        <f t="shared" si="50"/>
        <v>8.2680000000000007</v>
      </c>
      <c r="AJ1087" t="s">
        <v>62</v>
      </c>
    </row>
    <row r="1088" spans="1:36" ht="15" customHeight="1" x14ac:dyDescent="0.35">
      <c r="A1088">
        <v>10428918</v>
      </c>
      <c r="B1088" t="s">
        <v>36</v>
      </c>
      <c r="C1088" t="s">
        <v>37</v>
      </c>
      <c r="D1088" s="6" t="s">
        <v>38</v>
      </c>
      <c r="E1088" t="s">
        <v>3318</v>
      </c>
      <c r="F1088" t="s">
        <v>40</v>
      </c>
      <c r="G1088" t="s">
        <v>41</v>
      </c>
      <c r="H1088" t="s">
        <v>3319</v>
      </c>
      <c r="I1088" t="s">
        <v>43</v>
      </c>
      <c r="J1088">
        <v>2</v>
      </c>
      <c r="K1088" t="s">
        <v>44</v>
      </c>
      <c r="L1088" t="s">
        <v>45</v>
      </c>
      <c r="M1088" t="s">
        <v>46</v>
      </c>
      <c r="N1088" s="7">
        <v>1</v>
      </c>
      <c r="O1088" s="8">
        <v>45630.6637962963</v>
      </c>
      <c r="P1088" s="9">
        <v>45632</v>
      </c>
      <c r="Q1088" t="s">
        <v>74</v>
      </c>
      <c r="R1088" t="s">
        <v>48</v>
      </c>
      <c r="S1088" t="s">
        <v>49</v>
      </c>
      <c r="T1088" t="s">
        <v>80</v>
      </c>
      <c r="U1088" t="s">
        <v>3320</v>
      </c>
      <c r="V1088">
        <v>6660</v>
      </c>
      <c r="W1088" t="s">
        <v>48</v>
      </c>
      <c r="X1088" t="s">
        <v>53</v>
      </c>
      <c r="Y1088" t="s">
        <v>54</v>
      </c>
      <c r="Z1088" s="12">
        <f>IF(N1088&lt;=1,9,9+0.8*ROUNDUP(N1088-1,0))</f>
        <v>9</v>
      </c>
      <c r="AA1088" s="11">
        <v>-2</v>
      </c>
      <c r="AB1088" s="11">
        <v>0</v>
      </c>
      <c r="AC1088" s="11">
        <v>0</v>
      </c>
      <c r="AD1088" s="11">
        <v>0</v>
      </c>
      <c r="AE1088" s="11">
        <v>0</v>
      </c>
      <c r="AF1088" s="11">
        <f t="shared" si="48"/>
        <v>0.42</v>
      </c>
      <c r="AG1088" s="11">
        <f t="shared" si="49"/>
        <v>7.42</v>
      </c>
      <c r="AH1088" s="11">
        <v>0</v>
      </c>
      <c r="AI1088" s="11">
        <f t="shared" si="50"/>
        <v>7.42</v>
      </c>
      <c r="AJ1088" t="s">
        <v>62</v>
      </c>
    </row>
    <row r="1089" spans="1:36" ht="15" customHeight="1" x14ac:dyDescent="0.35">
      <c r="A1089">
        <v>10428918</v>
      </c>
      <c r="B1089" t="s">
        <v>36</v>
      </c>
      <c r="C1089" t="s">
        <v>37</v>
      </c>
      <c r="D1089" s="6" t="s">
        <v>38</v>
      </c>
      <c r="E1089" t="s">
        <v>3321</v>
      </c>
      <c r="F1089" t="s">
        <v>40</v>
      </c>
      <c r="G1089" t="s">
        <v>41</v>
      </c>
      <c r="H1089" t="s">
        <v>3322</v>
      </c>
      <c r="I1089" t="s">
        <v>43</v>
      </c>
      <c r="J1089">
        <v>2</v>
      </c>
      <c r="K1089" t="s">
        <v>44</v>
      </c>
      <c r="L1089" t="s">
        <v>45</v>
      </c>
      <c r="M1089" t="s">
        <v>46</v>
      </c>
      <c r="N1089" s="7">
        <v>1</v>
      </c>
      <c r="O1089" s="8">
        <v>45630.801481481481</v>
      </c>
      <c r="P1089" s="9">
        <v>45632</v>
      </c>
      <c r="Q1089" t="s">
        <v>74</v>
      </c>
      <c r="R1089" t="s">
        <v>48</v>
      </c>
      <c r="S1089" t="s">
        <v>49</v>
      </c>
      <c r="T1089" t="s">
        <v>59</v>
      </c>
      <c r="U1089" t="s">
        <v>3323</v>
      </c>
      <c r="V1089">
        <v>18500</v>
      </c>
      <c r="W1089" t="s">
        <v>48</v>
      </c>
      <c r="X1089" t="s">
        <v>61</v>
      </c>
      <c r="Y1089" t="s">
        <v>54</v>
      </c>
      <c r="Z1089" s="12">
        <f>IF(N1089&lt;=1,9,9+0.8*ROUNDUP(N1089-1,0))</f>
        <v>9</v>
      </c>
      <c r="AA1089" s="11">
        <v>-2</v>
      </c>
      <c r="AB1089" s="11">
        <v>0</v>
      </c>
      <c r="AC1089" s="11">
        <v>0</v>
      </c>
      <c r="AD1089" s="11">
        <v>0</v>
      </c>
      <c r="AE1089" s="11">
        <v>0</v>
      </c>
      <c r="AF1089" s="11">
        <f t="shared" si="48"/>
        <v>0.42</v>
      </c>
      <c r="AG1089" s="11">
        <f t="shared" si="49"/>
        <v>7.42</v>
      </c>
      <c r="AH1089" s="11">
        <v>0</v>
      </c>
      <c r="AI1089" s="11">
        <f t="shared" si="50"/>
        <v>7.42</v>
      </c>
      <c r="AJ1089" t="s">
        <v>62</v>
      </c>
    </row>
    <row r="1090" spans="1:36" ht="15" customHeight="1" x14ac:dyDescent="0.35">
      <c r="A1090">
        <v>10428918</v>
      </c>
      <c r="B1090" t="s">
        <v>36</v>
      </c>
      <c r="C1090" t="s">
        <v>37</v>
      </c>
      <c r="D1090" s="6" t="s">
        <v>38</v>
      </c>
      <c r="E1090" t="s">
        <v>3324</v>
      </c>
      <c r="F1090" t="s">
        <v>40</v>
      </c>
      <c r="G1090" t="s">
        <v>41</v>
      </c>
      <c r="H1090" t="s">
        <v>570</v>
      </c>
      <c r="I1090" t="s">
        <v>43</v>
      </c>
      <c r="J1090">
        <v>2</v>
      </c>
      <c r="K1090" t="s">
        <v>44</v>
      </c>
      <c r="L1090" t="s">
        <v>45</v>
      </c>
      <c r="M1090" t="s">
        <v>46</v>
      </c>
      <c r="N1090" s="7">
        <v>5</v>
      </c>
      <c r="O1090" s="8">
        <v>45630.741446759261</v>
      </c>
      <c r="P1090" s="9">
        <v>45632</v>
      </c>
      <c r="Q1090" t="s">
        <v>74</v>
      </c>
      <c r="R1090" t="s">
        <v>48</v>
      </c>
      <c r="S1090" t="s">
        <v>49</v>
      </c>
      <c r="T1090" t="s">
        <v>117</v>
      </c>
      <c r="U1090" t="s">
        <v>571</v>
      </c>
      <c r="V1090">
        <v>40000</v>
      </c>
      <c r="W1090" t="s">
        <v>48</v>
      </c>
      <c r="X1090" t="s">
        <v>473</v>
      </c>
      <c r="Y1090" t="s">
        <v>54</v>
      </c>
      <c r="Z1090" s="12">
        <f>IF(N1090&lt;=1,9,9+0.8*ROUNDUP(N1090-1,0))</f>
        <v>12.2</v>
      </c>
      <c r="AA1090" s="11">
        <v>-2</v>
      </c>
      <c r="AB1090" s="11">
        <v>0</v>
      </c>
      <c r="AC1090" s="11">
        <v>0</v>
      </c>
      <c r="AD1090" s="11">
        <v>0</v>
      </c>
      <c r="AE1090" s="11">
        <v>0</v>
      </c>
      <c r="AF1090" s="11">
        <f t="shared" ref="AF1090:AF1153" si="51">(Z1090+AA1090+AC1090+AE1090)*6%</f>
        <v>0.61199999999999999</v>
      </c>
      <c r="AG1090" s="11">
        <f t="shared" ref="AG1090:AG1153" si="52">Z1090+AA1090+AC1090+AE1090+AF1090</f>
        <v>10.811999999999999</v>
      </c>
      <c r="AH1090" s="11">
        <v>0</v>
      </c>
      <c r="AI1090" s="11">
        <f t="shared" ref="AI1090:AI1153" si="53">AG1090+AH1090</f>
        <v>10.811999999999999</v>
      </c>
      <c r="AJ1090" t="s">
        <v>62</v>
      </c>
    </row>
    <row r="1091" spans="1:36" ht="15" customHeight="1" x14ac:dyDescent="0.35">
      <c r="A1091">
        <v>10428918</v>
      </c>
      <c r="B1091" t="s">
        <v>36</v>
      </c>
      <c r="C1091" t="s">
        <v>37</v>
      </c>
      <c r="D1091" s="6" t="s">
        <v>38</v>
      </c>
      <c r="E1091" t="s">
        <v>3325</v>
      </c>
      <c r="F1091" t="s">
        <v>40</v>
      </c>
      <c r="G1091" t="s">
        <v>41</v>
      </c>
      <c r="H1091" t="s">
        <v>3326</v>
      </c>
      <c r="I1091" t="s">
        <v>43</v>
      </c>
      <c r="J1091">
        <v>2</v>
      </c>
      <c r="K1091" t="s">
        <v>44</v>
      </c>
      <c r="L1091" t="s">
        <v>45</v>
      </c>
      <c r="M1091" t="s">
        <v>46</v>
      </c>
      <c r="N1091" s="7">
        <v>1</v>
      </c>
      <c r="O1091" s="8">
        <v>45629.775995370372</v>
      </c>
      <c r="P1091" s="9">
        <v>45632</v>
      </c>
      <c r="Q1091" t="s">
        <v>74</v>
      </c>
      <c r="R1091" t="s">
        <v>48</v>
      </c>
      <c r="S1091" t="s">
        <v>49</v>
      </c>
      <c r="T1091" t="s">
        <v>101</v>
      </c>
      <c r="U1091" t="s">
        <v>3327</v>
      </c>
      <c r="V1091">
        <v>31200</v>
      </c>
      <c r="W1091" t="s">
        <v>48</v>
      </c>
      <c r="X1091" t="s">
        <v>53</v>
      </c>
      <c r="Y1091" t="s">
        <v>54</v>
      </c>
      <c r="Z1091" s="12">
        <f>IF(N1091&lt;=1,9,9+0.8*ROUNDUP(N1091-1,0))</f>
        <v>9</v>
      </c>
      <c r="AA1091" s="11">
        <v>-2</v>
      </c>
      <c r="AB1091" s="11">
        <v>0</v>
      </c>
      <c r="AC1091" s="11">
        <v>0</v>
      </c>
      <c r="AD1091" s="11">
        <v>0</v>
      </c>
      <c r="AE1091" s="11">
        <v>0</v>
      </c>
      <c r="AF1091" s="11">
        <f t="shared" si="51"/>
        <v>0.42</v>
      </c>
      <c r="AG1091" s="11">
        <f t="shared" si="52"/>
        <v>7.42</v>
      </c>
      <c r="AH1091" s="11">
        <v>0</v>
      </c>
      <c r="AI1091" s="11">
        <f t="shared" si="53"/>
        <v>7.42</v>
      </c>
      <c r="AJ1091" t="s">
        <v>62</v>
      </c>
    </row>
    <row r="1092" spans="1:36" ht="15" customHeight="1" x14ac:dyDescent="0.35">
      <c r="A1092">
        <v>10428918</v>
      </c>
      <c r="B1092" t="s">
        <v>36</v>
      </c>
      <c r="C1092" t="s">
        <v>37</v>
      </c>
      <c r="D1092" s="6" t="s">
        <v>38</v>
      </c>
      <c r="E1092" t="s">
        <v>3328</v>
      </c>
      <c r="F1092" t="s">
        <v>40</v>
      </c>
      <c r="G1092" t="s">
        <v>41</v>
      </c>
      <c r="H1092" t="s">
        <v>3329</v>
      </c>
      <c r="I1092" t="s">
        <v>43</v>
      </c>
      <c r="J1092">
        <v>2</v>
      </c>
      <c r="K1092" t="s">
        <v>44</v>
      </c>
      <c r="L1092" t="s">
        <v>45</v>
      </c>
      <c r="M1092" t="s">
        <v>46</v>
      </c>
      <c r="N1092" s="7">
        <v>1</v>
      </c>
      <c r="O1092" s="8">
        <v>45629.801249999997</v>
      </c>
      <c r="P1092" s="9">
        <v>45632</v>
      </c>
      <c r="Q1092" t="s">
        <v>74</v>
      </c>
      <c r="R1092" t="s">
        <v>48</v>
      </c>
      <c r="S1092" t="s">
        <v>49</v>
      </c>
      <c r="T1092" t="s">
        <v>117</v>
      </c>
      <c r="U1092" t="s">
        <v>3330</v>
      </c>
      <c r="V1092">
        <v>48020</v>
      </c>
      <c r="W1092" t="s">
        <v>48</v>
      </c>
      <c r="X1092" t="s">
        <v>53</v>
      </c>
      <c r="Y1092" t="s">
        <v>54</v>
      </c>
      <c r="Z1092" s="12">
        <f>IF(N1092&lt;=1,9,9+0.8*ROUNDUP(N1092-1,0))</f>
        <v>9</v>
      </c>
      <c r="AA1092" s="11">
        <v>-2</v>
      </c>
      <c r="AB1092" s="11">
        <v>0</v>
      </c>
      <c r="AC1092" s="11">
        <v>0</v>
      </c>
      <c r="AD1092" s="11">
        <v>0</v>
      </c>
      <c r="AE1092" s="11">
        <v>0</v>
      </c>
      <c r="AF1092" s="11">
        <f t="shared" si="51"/>
        <v>0.42</v>
      </c>
      <c r="AG1092" s="11">
        <f t="shared" si="52"/>
        <v>7.42</v>
      </c>
      <c r="AH1092" s="11">
        <v>0</v>
      </c>
      <c r="AI1092" s="11">
        <f t="shared" si="53"/>
        <v>7.42</v>
      </c>
      <c r="AJ1092" t="s">
        <v>62</v>
      </c>
    </row>
    <row r="1093" spans="1:36" ht="15" customHeight="1" x14ac:dyDescent="0.35">
      <c r="A1093">
        <v>10428918</v>
      </c>
      <c r="B1093" t="s">
        <v>36</v>
      </c>
      <c r="C1093" t="s">
        <v>37</v>
      </c>
      <c r="D1093" s="6" t="s">
        <v>38</v>
      </c>
      <c r="E1093" t="s">
        <v>3331</v>
      </c>
      <c r="F1093" t="s">
        <v>40</v>
      </c>
      <c r="G1093" t="s">
        <v>41</v>
      </c>
      <c r="H1093" t="s">
        <v>3332</v>
      </c>
      <c r="I1093" t="s">
        <v>43</v>
      </c>
      <c r="J1093">
        <v>2</v>
      </c>
      <c r="K1093" t="s">
        <v>44</v>
      </c>
      <c r="L1093" t="s">
        <v>45</v>
      </c>
      <c r="M1093" t="s">
        <v>46</v>
      </c>
      <c r="N1093" s="7">
        <v>5</v>
      </c>
      <c r="O1093" s="8">
        <v>45623.644421296296</v>
      </c>
      <c r="P1093" s="9">
        <v>45632</v>
      </c>
      <c r="Q1093" t="s">
        <v>74</v>
      </c>
      <c r="R1093" t="s">
        <v>48</v>
      </c>
      <c r="S1093" t="s">
        <v>49</v>
      </c>
      <c r="T1093" t="s">
        <v>50</v>
      </c>
      <c r="U1093" t="s">
        <v>3333</v>
      </c>
      <c r="V1093">
        <v>89208</v>
      </c>
      <c r="W1093" t="s">
        <v>52</v>
      </c>
      <c r="X1093" t="s">
        <v>3334</v>
      </c>
      <c r="Y1093" t="s">
        <v>54</v>
      </c>
      <c r="Z1093" s="10">
        <f>IF(N1093&lt;=1,13,IF(N1093&lt;=2,23,IF(N1093&lt;=3,35,IF(N1093&lt;=4,43,IF(N1093&lt;=5,53,IF(N1093&lt;=6,63,IF(N1093&lt;=7,71,IF(N1093&lt;=8,79,IF(N1093&lt;=9,87,IF(N1093&lt;=10,95,IF(N1093&lt;=11,105,IF(N1093&lt;=12,114,IF(N1093&lt;=13,119,IF(N1093&lt;=14,127,IF(N1093&lt;=15,135,IF(N1093&lt;=16,143,IF(N1093&lt;=17,153,IF(N1093&lt;=18,163,IF(N1093&lt;=19,171,IF(N1093&lt;=20,185,IF(N1093&lt;=21,193,IF(N1093&lt;=22,201,IF(N1093&lt;=23,210,IF(N1093&lt;=24,220,IF(N1093&lt;=25,230,IF(N1093&lt;=26,240,IF(N1093&lt;=27,250,IF(N1093&lt;=28,260,IF(N1093&lt;=29,270,IF(N1093&lt;=30,280,280+10*ROUNDUP(N1093-30,0)))))))))))))))))))))))))))))))</f>
        <v>53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f t="shared" si="51"/>
        <v>3.1799999999999997</v>
      </c>
      <c r="AG1093" s="11">
        <f t="shared" si="52"/>
        <v>56.18</v>
      </c>
      <c r="AH1093" s="11">
        <v>0</v>
      </c>
      <c r="AI1093" s="11">
        <f t="shared" si="53"/>
        <v>56.18</v>
      </c>
      <c r="AJ1093" t="s">
        <v>55</v>
      </c>
    </row>
    <row r="1094" spans="1:36" ht="15" customHeight="1" x14ac:dyDescent="0.35">
      <c r="A1094">
        <v>10428918</v>
      </c>
      <c r="B1094" t="s">
        <v>36</v>
      </c>
      <c r="C1094" t="s">
        <v>37</v>
      </c>
      <c r="D1094" s="6" t="s">
        <v>38</v>
      </c>
      <c r="E1094" t="s">
        <v>3335</v>
      </c>
      <c r="F1094" t="s">
        <v>40</v>
      </c>
      <c r="G1094" t="s">
        <v>41</v>
      </c>
      <c r="H1094" t="s">
        <v>3336</v>
      </c>
      <c r="I1094" t="s">
        <v>43</v>
      </c>
      <c r="J1094">
        <v>2</v>
      </c>
      <c r="K1094" t="s">
        <v>44</v>
      </c>
      <c r="L1094" t="s">
        <v>45</v>
      </c>
      <c r="M1094" t="s">
        <v>46</v>
      </c>
      <c r="N1094" s="7">
        <v>1</v>
      </c>
      <c r="O1094" s="8">
        <v>45629.801249999997</v>
      </c>
      <c r="P1094" s="9">
        <v>45632</v>
      </c>
      <c r="Q1094" t="s">
        <v>74</v>
      </c>
      <c r="R1094" t="s">
        <v>48</v>
      </c>
      <c r="S1094" t="s">
        <v>49</v>
      </c>
      <c r="T1094" t="s">
        <v>693</v>
      </c>
      <c r="U1094" t="s">
        <v>3337</v>
      </c>
      <c r="V1094">
        <v>1000</v>
      </c>
      <c r="W1094" t="s">
        <v>48</v>
      </c>
      <c r="X1094" t="s">
        <v>695</v>
      </c>
      <c r="Y1094" t="s">
        <v>54</v>
      </c>
      <c r="Z1094" s="12">
        <f>IF(N1094&lt;=1,9,9+0.8*ROUNDUP(N1094-1,0))</f>
        <v>9</v>
      </c>
      <c r="AA1094" s="11">
        <v>-2</v>
      </c>
      <c r="AB1094" s="11">
        <v>0</v>
      </c>
      <c r="AC1094" s="11">
        <v>0</v>
      </c>
      <c r="AD1094" s="11">
        <v>0</v>
      </c>
      <c r="AE1094" s="11">
        <v>0</v>
      </c>
      <c r="AF1094" s="11">
        <f t="shared" si="51"/>
        <v>0.42</v>
      </c>
      <c r="AG1094" s="11">
        <f t="shared" si="52"/>
        <v>7.42</v>
      </c>
      <c r="AH1094" s="11">
        <v>0</v>
      </c>
      <c r="AI1094" s="11">
        <f t="shared" si="53"/>
        <v>7.42</v>
      </c>
      <c r="AJ1094" t="s">
        <v>62</v>
      </c>
    </row>
    <row r="1095" spans="1:36" ht="15" customHeight="1" x14ac:dyDescent="0.35">
      <c r="A1095">
        <v>10428918</v>
      </c>
      <c r="B1095" t="s">
        <v>36</v>
      </c>
      <c r="C1095" t="s">
        <v>37</v>
      </c>
      <c r="D1095" s="6" t="s">
        <v>38</v>
      </c>
      <c r="E1095" t="s">
        <v>3338</v>
      </c>
      <c r="F1095" t="s">
        <v>40</v>
      </c>
      <c r="G1095" t="s">
        <v>41</v>
      </c>
      <c r="H1095" t="s">
        <v>3339</v>
      </c>
      <c r="I1095" t="s">
        <v>43</v>
      </c>
      <c r="J1095">
        <v>2</v>
      </c>
      <c r="K1095" t="s">
        <v>44</v>
      </c>
      <c r="L1095" t="s">
        <v>45</v>
      </c>
      <c r="M1095" t="s">
        <v>46</v>
      </c>
      <c r="N1095" s="7">
        <v>1</v>
      </c>
      <c r="O1095" s="8">
        <v>45623.656655092593</v>
      </c>
      <c r="P1095" s="9">
        <v>45632</v>
      </c>
      <c r="Q1095" t="s">
        <v>74</v>
      </c>
      <c r="R1095" t="s">
        <v>48</v>
      </c>
      <c r="S1095" t="s">
        <v>49</v>
      </c>
      <c r="T1095" t="s">
        <v>69</v>
      </c>
      <c r="U1095" t="s">
        <v>3340</v>
      </c>
      <c r="V1095">
        <v>85100</v>
      </c>
      <c r="W1095" t="s">
        <v>48</v>
      </c>
      <c r="X1095" t="s">
        <v>53</v>
      </c>
      <c r="Y1095" t="s">
        <v>54</v>
      </c>
      <c r="Z1095" s="12">
        <f>IF(N1095&lt;=1,9,9+0.8*ROUNDUP(N1095-1,0))</f>
        <v>9</v>
      </c>
      <c r="AA1095" s="11">
        <v>-2</v>
      </c>
      <c r="AB1095" s="11">
        <v>0</v>
      </c>
      <c r="AC1095" s="11">
        <v>0</v>
      </c>
      <c r="AD1095" s="11">
        <v>0</v>
      </c>
      <c r="AE1095" s="11">
        <v>0</v>
      </c>
      <c r="AF1095" s="11">
        <f t="shared" si="51"/>
        <v>0.42</v>
      </c>
      <c r="AG1095" s="11">
        <f t="shared" si="52"/>
        <v>7.42</v>
      </c>
      <c r="AH1095" s="11">
        <v>0</v>
      </c>
      <c r="AI1095" s="11">
        <f t="shared" si="53"/>
        <v>7.42</v>
      </c>
      <c r="AJ1095" t="s">
        <v>62</v>
      </c>
    </row>
    <row r="1096" spans="1:36" ht="15" customHeight="1" x14ac:dyDescent="0.35">
      <c r="A1096">
        <v>10428918</v>
      </c>
      <c r="B1096" t="s">
        <v>36</v>
      </c>
      <c r="C1096" t="s">
        <v>37</v>
      </c>
      <c r="D1096" s="6" t="s">
        <v>38</v>
      </c>
      <c r="E1096" t="s">
        <v>3341</v>
      </c>
      <c r="F1096" t="s">
        <v>40</v>
      </c>
      <c r="G1096" t="s">
        <v>41</v>
      </c>
      <c r="H1096" t="s">
        <v>3342</v>
      </c>
      <c r="I1096" t="s">
        <v>43</v>
      </c>
      <c r="J1096">
        <v>2</v>
      </c>
      <c r="K1096" t="s">
        <v>44</v>
      </c>
      <c r="L1096" t="s">
        <v>45</v>
      </c>
      <c r="M1096" t="s">
        <v>46</v>
      </c>
      <c r="N1096" s="7">
        <v>1</v>
      </c>
      <c r="O1096" s="8">
        <v>45630.415416666663</v>
      </c>
      <c r="P1096" s="9">
        <v>45632</v>
      </c>
      <c r="Q1096" t="s">
        <v>74</v>
      </c>
      <c r="R1096" t="s">
        <v>48</v>
      </c>
      <c r="S1096" t="s">
        <v>49</v>
      </c>
      <c r="T1096" t="s">
        <v>117</v>
      </c>
      <c r="U1096" t="s">
        <v>3343</v>
      </c>
      <c r="V1096">
        <v>42920</v>
      </c>
      <c r="W1096" t="s">
        <v>48</v>
      </c>
      <c r="X1096" t="s">
        <v>53</v>
      </c>
      <c r="Y1096" t="s">
        <v>54</v>
      </c>
      <c r="Z1096" s="12">
        <f>IF(N1096&lt;=1,9,9+0.8*ROUNDUP(N1096-1,0))</f>
        <v>9</v>
      </c>
      <c r="AA1096" s="11">
        <v>-2</v>
      </c>
      <c r="AB1096" s="11">
        <v>0</v>
      </c>
      <c r="AC1096" s="11">
        <v>0</v>
      </c>
      <c r="AD1096" s="11">
        <v>0</v>
      </c>
      <c r="AE1096" s="11">
        <v>0</v>
      </c>
      <c r="AF1096" s="11">
        <f t="shared" si="51"/>
        <v>0.42</v>
      </c>
      <c r="AG1096" s="11">
        <f t="shared" si="52"/>
        <v>7.42</v>
      </c>
      <c r="AH1096" s="11">
        <v>0</v>
      </c>
      <c r="AI1096" s="11">
        <f t="shared" si="53"/>
        <v>7.42</v>
      </c>
      <c r="AJ1096" t="s">
        <v>62</v>
      </c>
    </row>
    <row r="1097" spans="1:36" ht="15" customHeight="1" x14ac:dyDescent="0.35">
      <c r="A1097">
        <v>10428918</v>
      </c>
      <c r="B1097" t="s">
        <v>36</v>
      </c>
      <c r="C1097" t="s">
        <v>37</v>
      </c>
      <c r="D1097" s="6" t="s">
        <v>38</v>
      </c>
      <c r="E1097" t="s">
        <v>3344</v>
      </c>
      <c r="F1097" t="s">
        <v>40</v>
      </c>
      <c r="G1097" t="s">
        <v>41</v>
      </c>
      <c r="H1097" t="s">
        <v>3345</v>
      </c>
      <c r="I1097" t="s">
        <v>43</v>
      </c>
      <c r="J1097">
        <v>2</v>
      </c>
      <c r="K1097" t="s">
        <v>44</v>
      </c>
      <c r="L1097" t="s">
        <v>45</v>
      </c>
      <c r="M1097" t="s">
        <v>46</v>
      </c>
      <c r="N1097" s="7">
        <v>2</v>
      </c>
      <c r="O1097" s="8">
        <v>45629.790150462963</v>
      </c>
      <c r="P1097" s="9">
        <v>45632</v>
      </c>
      <c r="Q1097" t="s">
        <v>74</v>
      </c>
      <c r="R1097" t="s">
        <v>48</v>
      </c>
      <c r="S1097" t="s">
        <v>49</v>
      </c>
      <c r="T1097" t="s">
        <v>65</v>
      </c>
      <c r="U1097" t="s">
        <v>3346</v>
      </c>
      <c r="V1097">
        <v>76450</v>
      </c>
      <c r="W1097" t="s">
        <v>48</v>
      </c>
      <c r="X1097" t="s">
        <v>406</v>
      </c>
      <c r="Y1097" t="s">
        <v>54</v>
      </c>
      <c r="Z1097" s="12">
        <f>IF(N1097&lt;=1,9,9+0.8*ROUNDUP(N1097-1,0))</f>
        <v>9.8000000000000007</v>
      </c>
      <c r="AA1097" s="11">
        <v>-2</v>
      </c>
      <c r="AB1097" s="11">
        <v>0</v>
      </c>
      <c r="AC1097" s="11">
        <v>0</v>
      </c>
      <c r="AD1097" s="11">
        <v>0</v>
      </c>
      <c r="AE1097" s="11">
        <v>0</v>
      </c>
      <c r="AF1097" s="11">
        <f t="shared" si="51"/>
        <v>0.46800000000000003</v>
      </c>
      <c r="AG1097" s="11">
        <f t="shared" si="52"/>
        <v>8.2680000000000007</v>
      </c>
      <c r="AH1097" s="11">
        <v>0</v>
      </c>
      <c r="AI1097" s="11">
        <f t="shared" si="53"/>
        <v>8.2680000000000007</v>
      </c>
      <c r="AJ1097" t="s">
        <v>62</v>
      </c>
    </row>
    <row r="1098" spans="1:36" ht="15" customHeight="1" x14ac:dyDescent="0.35">
      <c r="A1098">
        <v>10428918</v>
      </c>
      <c r="B1098" t="s">
        <v>36</v>
      </c>
      <c r="C1098" t="s">
        <v>37</v>
      </c>
      <c r="D1098" s="6" t="s">
        <v>38</v>
      </c>
      <c r="E1098" t="s">
        <v>3347</v>
      </c>
      <c r="F1098" t="s">
        <v>40</v>
      </c>
      <c r="G1098" t="s">
        <v>41</v>
      </c>
      <c r="H1098" t="s">
        <v>3348</v>
      </c>
      <c r="I1098" t="s">
        <v>43</v>
      </c>
      <c r="J1098">
        <v>2</v>
      </c>
      <c r="K1098" t="s">
        <v>44</v>
      </c>
      <c r="L1098" t="s">
        <v>45</v>
      </c>
      <c r="M1098" t="s">
        <v>46</v>
      </c>
      <c r="N1098" s="7">
        <v>1</v>
      </c>
      <c r="O1098" s="8">
        <v>45630.435069444444</v>
      </c>
      <c r="P1098" s="9">
        <v>45632</v>
      </c>
      <c r="Q1098" t="s">
        <v>74</v>
      </c>
      <c r="R1098" t="s">
        <v>48</v>
      </c>
      <c r="S1098" t="s">
        <v>49</v>
      </c>
      <c r="T1098" t="s">
        <v>80</v>
      </c>
      <c r="U1098" t="s">
        <v>3349</v>
      </c>
      <c r="V1098">
        <v>6000</v>
      </c>
      <c r="W1098" t="s">
        <v>48</v>
      </c>
      <c r="X1098" t="s">
        <v>522</v>
      </c>
      <c r="Y1098" t="s">
        <v>54</v>
      </c>
      <c r="Z1098" s="12">
        <f>IF(N1098&lt;=1,9,9+0.8*ROUNDUP(N1098-1,0))</f>
        <v>9</v>
      </c>
      <c r="AA1098" s="11">
        <v>-2</v>
      </c>
      <c r="AB1098" s="11">
        <v>0</v>
      </c>
      <c r="AC1098" s="11">
        <v>0</v>
      </c>
      <c r="AD1098" s="11">
        <v>0</v>
      </c>
      <c r="AE1098" s="11">
        <v>0</v>
      </c>
      <c r="AF1098" s="11">
        <f t="shared" si="51"/>
        <v>0.42</v>
      </c>
      <c r="AG1098" s="11">
        <f t="shared" si="52"/>
        <v>7.42</v>
      </c>
      <c r="AH1098" s="11">
        <v>0</v>
      </c>
      <c r="AI1098" s="11">
        <f t="shared" si="53"/>
        <v>7.42</v>
      </c>
      <c r="AJ1098" t="s">
        <v>62</v>
      </c>
    </row>
    <row r="1099" spans="1:36" ht="15" customHeight="1" x14ac:dyDescent="0.35">
      <c r="A1099">
        <v>10428918</v>
      </c>
      <c r="B1099" t="s">
        <v>36</v>
      </c>
      <c r="C1099" t="s">
        <v>37</v>
      </c>
      <c r="D1099" s="6" t="s">
        <v>38</v>
      </c>
      <c r="E1099" t="s">
        <v>3350</v>
      </c>
      <c r="F1099" t="s">
        <v>40</v>
      </c>
      <c r="G1099" t="s">
        <v>41</v>
      </c>
      <c r="H1099" t="s">
        <v>3351</v>
      </c>
      <c r="I1099" t="s">
        <v>43</v>
      </c>
      <c r="J1099">
        <v>2</v>
      </c>
      <c r="K1099" t="s">
        <v>44</v>
      </c>
      <c r="L1099" t="s">
        <v>45</v>
      </c>
      <c r="M1099" t="s">
        <v>46</v>
      </c>
      <c r="N1099" s="7">
        <v>1</v>
      </c>
      <c r="O1099" s="8">
        <v>45631.45039351852</v>
      </c>
      <c r="P1099" s="9">
        <v>45632</v>
      </c>
      <c r="Q1099" t="s">
        <v>74</v>
      </c>
      <c r="R1099" t="s">
        <v>48</v>
      </c>
      <c r="S1099" t="s">
        <v>49</v>
      </c>
      <c r="T1099" t="s">
        <v>75</v>
      </c>
      <c r="U1099" t="s">
        <v>3352</v>
      </c>
      <c r="V1099">
        <v>26100</v>
      </c>
      <c r="W1099" t="s">
        <v>48</v>
      </c>
      <c r="X1099" t="s">
        <v>77</v>
      </c>
      <c r="Y1099" t="s">
        <v>54</v>
      </c>
      <c r="Z1099" s="12">
        <f>IF(N1099&lt;=1,9,9+0.8*ROUNDUP(N1099-1,0))</f>
        <v>9</v>
      </c>
      <c r="AA1099" s="11">
        <v>-2</v>
      </c>
      <c r="AB1099" s="11">
        <v>0</v>
      </c>
      <c r="AC1099" s="11">
        <v>0</v>
      </c>
      <c r="AD1099" s="11">
        <v>0</v>
      </c>
      <c r="AE1099" s="11">
        <v>0</v>
      </c>
      <c r="AF1099" s="11">
        <f t="shared" si="51"/>
        <v>0.42</v>
      </c>
      <c r="AG1099" s="11">
        <f t="shared" si="52"/>
        <v>7.42</v>
      </c>
      <c r="AH1099" s="11">
        <v>0</v>
      </c>
      <c r="AI1099" s="11">
        <f t="shared" si="53"/>
        <v>7.42</v>
      </c>
      <c r="AJ1099" t="s">
        <v>62</v>
      </c>
    </row>
    <row r="1100" spans="1:36" ht="15" customHeight="1" x14ac:dyDescent="0.35">
      <c r="A1100">
        <v>10428918</v>
      </c>
      <c r="B1100" t="s">
        <v>36</v>
      </c>
      <c r="C1100" t="s">
        <v>37</v>
      </c>
      <c r="D1100" s="6" t="s">
        <v>38</v>
      </c>
      <c r="E1100" t="s">
        <v>3353</v>
      </c>
      <c r="F1100" t="s">
        <v>40</v>
      </c>
      <c r="G1100" t="s">
        <v>41</v>
      </c>
      <c r="H1100" t="s">
        <v>3354</v>
      </c>
      <c r="I1100" t="s">
        <v>43</v>
      </c>
      <c r="J1100">
        <v>2</v>
      </c>
      <c r="K1100" t="s">
        <v>44</v>
      </c>
      <c r="L1100" t="s">
        <v>45</v>
      </c>
      <c r="M1100" t="s">
        <v>46</v>
      </c>
      <c r="N1100" s="7">
        <v>1</v>
      </c>
      <c r="O1100" s="8">
        <v>45629.801238425927</v>
      </c>
      <c r="P1100" s="9">
        <v>45632</v>
      </c>
      <c r="Q1100" t="s">
        <v>74</v>
      </c>
      <c r="R1100" t="s">
        <v>48</v>
      </c>
      <c r="S1100" t="s">
        <v>49</v>
      </c>
      <c r="T1100" t="s">
        <v>101</v>
      </c>
      <c r="U1100" t="s">
        <v>3355</v>
      </c>
      <c r="V1100">
        <v>32100</v>
      </c>
      <c r="W1100" t="s">
        <v>48</v>
      </c>
      <c r="X1100" t="s">
        <v>53</v>
      </c>
      <c r="Y1100" t="s">
        <v>54</v>
      </c>
      <c r="Z1100" s="12">
        <f>IF(N1100&lt;=1,9,9+0.8*ROUNDUP(N1100-1,0))</f>
        <v>9</v>
      </c>
      <c r="AA1100" s="11">
        <v>-2</v>
      </c>
      <c r="AB1100" s="11">
        <v>0</v>
      </c>
      <c r="AC1100" s="11">
        <v>0</v>
      </c>
      <c r="AD1100" s="11">
        <v>0</v>
      </c>
      <c r="AE1100" s="11">
        <v>0</v>
      </c>
      <c r="AF1100" s="11">
        <f t="shared" si="51"/>
        <v>0.42</v>
      </c>
      <c r="AG1100" s="11">
        <f t="shared" si="52"/>
        <v>7.42</v>
      </c>
      <c r="AH1100" s="11">
        <v>0</v>
      </c>
      <c r="AI1100" s="11">
        <f t="shared" si="53"/>
        <v>7.42</v>
      </c>
      <c r="AJ1100" t="s">
        <v>62</v>
      </c>
    </row>
    <row r="1101" spans="1:36" ht="15" customHeight="1" x14ac:dyDescent="0.35">
      <c r="A1101">
        <v>10428918</v>
      </c>
      <c r="B1101" t="s">
        <v>36</v>
      </c>
      <c r="C1101" t="s">
        <v>37</v>
      </c>
      <c r="D1101" s="6" t="s">
        <v>38</v>
      </c>
      <c r="E1101" t="s">
        <v>3356</v>
      </c>
      <c r="F1101" t="s">
        <v>40</v>
      </c>
      <c r="G1101" t="s">
        <v>41</v>
      </c>
      <c r="H1101" t="s">
        <v>3357</v>
      </c>
      <c r="I1101" t="s">
        <v>43</v>
      </c>
      <c r="J1101">
        <v>2</v>
      </c>
      <c r="K1101" t="s">
        <v>44</v>
      </c>
      <c r="L1101" t="s">
        <v>45</v>
      </c>
      <c r="M1101" t="s">
        <v>46</v>
      </c>
      <c r="N1101" s="7">
        <v>2</v>
      </c>
      <c r="O1101" s="8">
        <v>45631.422800925924</v>
      </c>
      <c r="P1101" s="9">
        <v>45632</v>
      </c>
      <c r="Q1101" t="s">
        <v>74</v>
      </c>
      <c r="R1101" t="s">
        <v>48</v>
      </c>
      <c r="S1101" t="s">
        <v>49</v>
      </c>
      <c r="T1101" t="s">
        <v>117</v>
      </c>
      <c r="U1101" t="s">
        <v>3358</v>
      </c>
      <c r="V1101">
        <v>46000</v>
      </c>
      <c r="W1101" t="s">
        <v>48</v>
      </c>
      <c r="X1101" t="s">
        <v>2413</v>
      </c>
      <c r="Y1101" t="s">
        <v>54</v>
      </c>
      <c r="Z1101" s="12">
        <f>IF(N1101&lt;=1,9,9+0.8*ROUNDUP(N1101-1,0))</f>
        <v>9.8000000000000007</v>
      </c>
      <c r="AA1101" s="11">
        <v>-2</v>
      </c>
      <c r="AB1101" s="11">
        <v>0</v>
      </c>
      <c r="AC1101" s="11">
        <v>0</v>
      </c>
      <c r="AD1101" s="11">
        <v>0</v>
      </c>
      <c r="AE1101" s="11">
        <v>0</v>
      </c>
      <c r="AF1101" s="11">
        <f t="shared" si="51"/>
        <v>0.46800000000000003</v>
      </c>
      <c r="AG1101" s="11">
        <f t="shared" si="52"/>
        <v>8.2680000000000007</v>
      </c>
      <c r="AH1101" s="11">
        <v>0</v>
      </c>
      <c r="AI1101" s="11">
        <f t="shared" si="53"/>
        <v>8.2680000000000007</v>
      </c>
      <c r="AJ1101" t="s">
        <v>62</v>
      </c>
    </row>
    <row r="1102" spans="1:36" ht="15" customHeight="1" x14ac:dyDescent="0.35">
      <c r="A1102">
        <v>10428918</v>
      </c>
      <c r="B1102" t="s">
        <v>36</v>
      </c>
      <c r="C1102" t="s">
        <v>37</v>
      </c>
      <c r="D1102" s="6" t="s">
        <v>38</v>
      </c>
      <c r="E1102" t="s">
        <v>3359</v>
      </c>
      <c r="F1102" t="s">
        <v>40</v>
      </c>
      <c r="G1102" t="s">
        <v>41</v>
      </c>
      <c r="H1102" t="s">
        <v>3360</v>
      </c>
      <c r="I1102" t="s">
        <v>43</v>
      </c>
      <c r="J1102">
        <v>2</v>
      </c>
      <c r="K1102" t="s">
        <v>44</v>
      </c>
      <c r="L1102" t="s">
        <v>45</v>
      </c>
      <c r="M1102" t="s">
        <v>46</v>
      </c>
      <c r="N1102" s="7">
        <v>1</v>
      </c>
      <c r="O1102" s="8">
        <v>45630.449374999997</v>
      </c>
      <c r="P1102" s="9">
        <v>45632</v>
      </c>
      <c r="Q1102" t="s">
        <v>74</v>
      </c>
      <c r="R1102" t="s">
        <v>48</v>
      </c>
      <c r="S1102" t="s">
        <v>49</v>
      </c>
      <c r="T1102" t="s">
        <v>85</v>
      </c>
      <c r="U1102" t="s">
        <v>3361</v>
      </c>
      <c r="V1102">
        <v>70450</v>
      </c>
      <c r="W1102" t="s">
        <v>48</v>
      </c>
      <c r="X1102" t="s">
        <v>53</v>
      </c>
      <c r="Y1102" t="s">
        <v>54</v>
      </c>
      <c r="Z1102" s="12">
        <f>IF(N1102&lt;=1,9,9+0.8*ROUNDUP(N1102-1,0))</f>
        <v>9</v>
      </c>
      <c r="AA1102" s="11">
        <v>-2</v>
      </c>
      <c r="AB1102" s="11">
        <v>0</v>
      </c>
      <c r="AC1102" s="11">
        <v>0</v>
      </c>
      <c r="AD1102" s="11">
        <v>0</v>
      </c>
      <c r="AE1102" s="11">
        <v>0</v>
      </c>
      <c r="AF1102" s="11">
        <f t="shared" si="51"/>
        <v>0.42</v>
      </c>
      <c r="AG1102" s="11">
        <f t="shared" si="52"/>
        <v>7.42</v>
      </c>
      <c r="AH1102" s="11">
        <v>0</v>
      </c>
      <c r="AI1102" s="11">
        <f t="shared" si="53"/>
        <v>7.42</v>
      </c>
      <c r="AJ1102" t="s">
        <v>62</v>
      </c>
    </row>
    <row r="1103" spans="1:36" ht="15" customHeight="1" x14ac:dyDescent="0.35">
      <c r="A1103">
        <v>10428918</v>
      </c>
      <c r="B1103" t="s">
        <v>36</v>
      </c>
      <c r="C1103" t="s">
        <v>37</v>
      </c>
      <c r="D1103" s="6" t="s">
        <v>38</v>
      </c>
      <c r="E1103" t="s">
        <v>3362</v>
      </c>
      <c r="F1103" t="s">
        <v>40</v>
      </c>
      <c r="G1103" t="s">
        <v>41</v>
      </c>
      <c r="H1103" t="s">
        <v>3363</v>
      </c>
      <c r="I1103" t="s">
        <v>43</v>
      </c>
      <c r="J1103">
        <v>2</v>
      </c>
      <c r="K1103" t="s">
        <v>44</v>
      </c>
      <c r="L1103" t="s">
        <v>45</v>
      </c>
      <c r="M1103" t="s">
        <v>46</v>
      </c>
      <c r="N1103" s="7">
        <v>2</v>
      </c>
      <c r="O1103" s="8">
        <v>45631.667384259257</v>
      </c>
      <c r="P1103" s="9">
        <v>45632</v>
      </c>
      <c r="Q1103" t="s">
        <v>74</v>
      </c>
      <c r="R1103" t="s">
        <v>48</v>
      </c>
      <c r="S1103" t="s">
        <v>49</v>
      </c>
      <c r="T1103" t="s">
        <v>117</v>
      </c>
      <c r="U1103" t="s">
        <v>3364</v>
      </c>
      <c r="V1103">
        <v>43900</v>
      </c>
      <c r="W1103" t="s">
        <v>48</v>
      </c>
      <c r="X1103" t="s">
        <v>532</v>
      </c>
      <c r="Y1103" t="s">
        <v>54</v>
      </c>
      <c r="Z1103" s="12">
        <f>IF(N1103&lt;=1,9,9+0.8*ROUNDUP(N1103-1,0))</f>
        <v>9.8000000000000007</v>
      </c>
      <c r="AA1103" s="11">
        <v>-2</v>
      </c>
      <c r="AB1103" s="11">
        <v>0</v>
      </c>
      <c r="AC1103" s="11">
        <v>0</v>
      </c>
      <c r="AD1103" s="11">
        <v>0</v>
      </c>
      <c r="AE1103" s="11">
        <v>0</v>
      </c>
      <c r="AF1103" s="11">
        <f t="shared" si="51"/>
        <v>0.46800000000000003</v>
      </c>
      <c r="AG1103" s="11">
        <f t="shared" si="52"/>
        <v>8.2680000000000007</v>
      </c>
      <c r="AH1103" s="11">
        <v>0</v>
      </c>
      <c r="AI1103" s="11">
        <f t="shared" si="53"/>
        <v>8.2680000000000007</v>
      </c>
      <c r="AJ1103" t="s">
        <v>62</v>
      </c>
    </row>
    <row r="1104" spans="1:36" ht="15" customHeight="1" x14ac:dyDescent="0.35">
      <c r="A1104">
        <v>10428918</v>
      </c>
      <c r="B1104" t="s">
        <v>36</v>
      </c>
      <c r="C1104" t="s">
        <v>37</v>
      </c>
      <c r="D1104" s="6" t="s">
        <v>38</v>
      </c>
      <c r="E1104" t="s">
        <v>3365</v>
      </c>
      <c r="F1104" t="s">
        <v>40</v>
      </c>
      <c r="G1104" t="s">
        <v>41</v>
      </c>
      <c r="H1104" t="s">
        <v>3366</v>
      </c>
      <c r="I1104" t="s">
        <v>43</v>
      </c>
      <c r="J1104">
        <v>2</v>
      </c>
      <c r="K1104" t="s">
        <v>44</v>
      </c>
      <c r="L1104" t="s">
        <v>45</v>
      </c>
      <c r="M1104" t="s">
        <v>46</v>
      </c>
      <c r="N1104" s="7">
        <v>1</v>
      </c>
      <c r="O1104" s="8">
        <v>45629.801249999997</v>
      </c>
      <c r="P1104" s="9">
        <v>45632</v>
      </c>
      <c r="Q1104" t="s">
        <v>74</v>
      </c>
      <c r="R1104" t="s">
        <v>48</v>
      </c>
      <c r="S1104" t="s">
        <v>49</v>
      </c>
      <c r="T1104" t="s">
        <v>117</v>
      </c>
      <c r="U1104" t="s">
        <v>3367</v>
      </c>
      <c r="V1104">
        <v>40300</v>
      </c>
      <c r="W1104" t="s">
        <v>48</v>
      </c>
      <c r="X1104" t="s">
        <v>53</v>
      </c>
      <c r="Y1104" t="s">
        <v>54</v>
      </c>
      <c r="Z1104" s="12">
        <f>IF(N1104&lt;=1,9,9+0.8*ROUNDUP(N1104-1,0))</f>
        <v>9</v>
      </c>
      <c r="AA1104" s="11">
        <v>-2</v>
      </c>
      <c r="AB1104" s="11">
        <v>0</v>
      </c>
      <c r="AC1104" s="11">
        <v>0</v>
      </c>
      <c r="AD1104" s="11">
        <v>0</v>
      </c>
      <c r="AE1104" s="11">
        <v>0</v>
      </c>
      <c r="AF1104" s="11">
        <f t="shared" si="51"/>
        <v>0.42</v>
      </c>
      <c r="AG1104" s="11">
        <f t="shared" si="52"/>
        <v>7.42</v>
      </c>
      <c r="AH1104" s="11">
        <v>0</v>
      </c>
      <c r="AI1104" s="11">
        <f t="shared" si="53"/>
        <v>7.42</v>
      </c>
      <c r="AJ1104" t="s">
        <v>62</v>
      </c>
    </row>
    <row r="1105" spans="1:36" ht="15" customHeight="1" x14ac:dyDescent="0.35">
      <c r="A1105">
        <v>10428918</v>
      </c>
      <c r="B1105" t="s">
        <v>36</v>
      </c>
      <c r="C1105" t="s">
        <v>37</v>
      </c>
      <c r="D1105" s="6" t="s">
        <v>38</v>
      </c>
      <c r="E1105" t="s">
        <v>3368</v>
      </c>
      <c r="F1105" t="s">
        <v>40</v>
      </c>
      <c r="G1105" t="s">
        <v>41</v>
      </c>
      <c r="H1105" t="s">
        <v>3369</v>
      </c>
      <c r="I1105" t="s">
        <v>43</v>
      </c>
      <c r="J1105">
        <v>2</v>
      </c>
      <c r="K1105" t="s">
        <v>44</v>
      </c>
      <c r="L1105" t="s">
        <v>45</v>
      </c>
      <c r="M1105" t="s">
        <v>46</v>
      </c>
      <c r="N1105" s="7">
        <v>2</v>
      </c>
      <c r="O1105" s="8">
        <v>45630.419490740744</v>
      </c>
      <c r="P1105" s="9">
        <v>45632</v>
      </c>
      <c r="Q1105" t="s">
        <v>74</v>
      </c>
      <c r="R1105" t="s">
        <v>48</v>
      </c>
      <c r="S1105" t="s">
        <v>49</v>
      </c>
      <c r="T1105" t="s">
        <v>101</v>
      </c>
      <c r="U1105" t="s">
        <v>3370</v>
      </c>
      <c r="V1105">
        <v>32610</v>
      </c>
      <c r="W1105" t="s">
        <v>48</v>
      </c>
      <c r="X1105" t="s">
        <v>414</v>
      </c>
      <c r="Y1105" t="s">
        <v>54</v>
      </c>
      <c r="Z1105" s="12">
        <f>IF(N1105&lt;=1,9,9+0.8*ROUNDUP(N1105-1,0))</f>
        <v>9.8000000000000007</v>
      </c>
      <c r="AA1105" s="11">
        <v>-2</v>
      </c>
      <c r="AB1105" s="11">
        <v>0</v>
      </c>
      <c r="AC1105" s="11">
        <v>0</v>
      </c>
      <c r="AD1105" s="11">
        <v>0</v>
      </c>
      <c r="AE1105" s="11">
        <v>0</v>
      </c>
      <c r="AF1105" s="11">
        <f t="shared" si="51"/>
        <v>0.46800000000000003</v>
      </c>
      <c r="AG1105" s="11">
        <f t="shared" si="52"/>
        <v>8.2680000000000007</v>
      </c>
      <c r="AH1105" s="11">
        <v>0</v>
      </c>
      <c r="AI1105" s="11">
        <f t="shared" si="53"/>
        <v>8.2680000000000007</v>
      </c>
      <c r="AJ1105" t="s">
        <v>62</v>
      </c>
    </row>
    <row r="1106" spans="1:36" ht="15" customHeight="1" x14ac:dyDescent="0.35">
      <c r="A1106">
        <v>10428918</v>
      </c>
      <c r="B1106" t="s">
        <v>36</v>
      </c>
      <c r="C1106" t="s">
        <v>37</v>
      </c>
      <c r="D1106" s="6" t="s">
        <v>38</v>
      </c>
      <c r="E1106" t="s">
        <v>3371</v>
      </c>
      <c r="F1106" t="s">
        <v>40</v>
      </c>
      <c r="G1106" t="s">
        <v>41</v>
      </c>
      <c r="H1106" t="s">
        <v>3372</v>
      </c>
      <c r="I1106" t="s">
        <v>43</v>
      </c>
      <c r="J1106">
        <v>2</v>
      </c>
      <c r="K1106" t="s">
        <v>44</v>
      </c>
      <c r="L1106" t="s">
        <v>45</v>
      </c>
      <c r="M1106" t="s">
        <v>46</v>
      </c>
      <c r="N1106" s="7">
        <v>1</v>
      </c>
      <c r="O1106" s="8">
        <v>45629.701550925929</v>
      </c>
      <c r="P1106" s="9">
        <v>45632</v>
      </c>
      <c r="Q1106" t="s">
        <v>74</v>
      </c>
      <c r="R1106" t="s">
        <v>48</v>
      </c>
      <c r="S1106" t="s">
        <v>49</v>
      </c>
      <c r="T1106" t="s">
        <v>117</v>
      </c>
      <c r="U1106" t="s">
        <v>3373</v>
      </c>
      <c r="V1106">
        <v>40460</v>
      </c>
      <c r="W1106" t="s">
        <v>48</v>
      </c>
      <c r="X1106" t="s">
        <v>53</v>
      </c>
      <c r="Y1106" t="s">
        <v>54</v>
      </c>
      <c r="Z1106" s="12">
        <f>IF(N1106&lt;=1,9,9+0.8*ROUNDUP(N1106-1,0))</f>
        <v>9</v>
      </c>
      <c r="AA1106" s="11">
        <v>-2</v>
      </c>
      <c r="AB1106" s="11">
        <v>0</v>
      </c>
      <c r="AC1106" s="11">
        <v>0</v>
      </c>
      <c r="AD1106" s="11">
        <v>0</v>
      </c>
      <c r="AE1106" s="11">
        <v>0</v>
      </c>
      <c r="AF1106" s="11">
        <f t="shared" si="51"/>
        <v>0.42</v>
      </c>
      <c r="AG1106" s="11">
        <f t="shared" si="52"/>
        <v>7.42</v>
      </c>
      <c r="AH1106" s="11">
        <v>0</v>
      </c>
      <c r="AI1106" s="11">
        <f t="shared" si="53"/>
        <v>7.42</v>
      </c>
      <c r="AJ1106" t="s">
        <v>62</v>
      </c>
    </row>
    <row r="1107" spans="1:36" ht="15" customHeight="1" x14ac:dyDescent="0.35">
      <c r="A1107">
        <v>10428918</v>
      </c>
      <c r="B1107" t="s">
        <v>36</v>
      </c>
      <c r="C1107" t="s">
        <v>37</v>
      </c>
      <c r="D1107" s="6" t="s">
        <v>38</v>
      </c>
      <c r="E1107" t="s">
        <v>3374</v>
      </c>
      <c r="F1107" t="s">
        <v>40</v>
      </c>
      <c r="G1107" t="s">
        <v>41</v>
      </c>
      <c r="H1107" t="s">
        <v>3375</v>
      </c>
      <c r="I1107" t="s">
        <v>43</v>
      </c>
      <c r="J1107">
        <v>2</v>
      </c>
      <c r="K1107" t="s">
        <v>44</v>
      </c>
      <c r="L1107" t="s">
        <v>45</v>
      </c>
      <c r="M1107" t="s">
        <v>46</v>
      </c>
      <c r="N1107" s="7">
        <v>1</v>
      </c>
      <c r="O1107" s="8">
        <v>45629.808981481481</v>
      </c>
      <c r="P1107" s="9">
        <v>45632</v>
      </c>
      <c r="Q1107" t="s">
        <v>74</v>
      </c>
      <c r="R1107" t="s">
        <v>48</v>
      </c>
      <c r="S1107" t="s">
        <v>49</v>
      </c>
      <c r="T1107" t="s">
        <v>117</v>
      </c>
      <c r="U1107" t="s">
        <v>3376</v>
      </c>
      <c r="V1107">
        <v>43000</v>
      </c>
      <c r="W1107" t="s">
        <v>48</v>
      </c>
      <c r="X1107" t="s">
        <v>53</v>
      </c>
      <c r="Y1107" t="s">
        <v>54</v>
      </c>
      <c r="Z1107" s="12">
        <f>IF(N1107&lt;=1,9,9+0.8*ROUNDUP(N1107-1,0))</f>
        <v>9</v>
      </c>
      <c r="AA1107" s="11">
        <v>-2</v>
      </c>
      <c r="AB1107" s="11">
        <v>0</v>
      </c>
      <c r="AC1107" s="11">
        <v>0</v>
      </c>
      <c r="AD1107" s="11">
        <v>0</v>
      </c>
      <c r="AE1107" s="11">
        <v>0</v>
      </c>
      <c r="AF1107" s="11">
        <f t="shared" si="51"/>
        <v>0.42</v>
      </c>
      <c r="AG1107" s="11">
        <f t="shared" si="52"/>
        <v>7.42</v>
      </c>
      <c r="AH1107" s="11">
        <v>0</v>
      </c>
      <c r="AI1107" s="11">
        <f t="shared" si="53"/>
        <v>7.42</v>
      </c>
      <c r="AJ1107" t="s">
        <v>62</v>
      </c>
    </row>
    <row r="1108" spans="1:36" ht="15" customHeight="1" x14ac:dyDescent="0.35">
      <c r="A1108">
        <v>10428918</v>
      </c>
      <c r="B1108" t="s">
        <v>36</v>
      </c>
      <c r="C1108" t="s">
        <v>37</v>
      </c>
      <c r="D1108" s="6" t="s">
        <v>38</v>
      </c>
      <c r="E1108" t="s">
        <v>3377</v>
      </c>
      <c r="F1108" t="s">
        <v>40</v>
      </c>
      <c r="G1108" t="s">
        <v>41</v>
      </c>
      <c r="H1108" t="s">
        <v>3378</v>
      </c>
      <c r="I1108" t="s">
        <v>43</v>
      </c>
      <c r="J1108">
        <v>2</v>
      </c>
      <c r="K1108" t="s">
        <v>44</v>
      </c>
      <c r="L1108" t="s">
        <v>45</v>
      </c>
      <c r="M1108" t="s">
        <v>46</v>
      </c>
      <c r="N1108" s="7">
        <v>3</v>
      </c>
      <c r="O1108" s="8">
        <v>45630.837210648147</v>
      </c>
      <c r="P1108" s="9">
        <v>45632</v>
      </c>
      <c r="Q1108" t="s">
        <v>74</v>
      </c>
      <c r="R1108" t="s">
        <v>48</v>
      </c>
      <c r="S1108" t="s">
        <v>49</v>
      </c>
      <c r="T1108" t="s">
        <v>90</v>
      </c>
      <c r="U1108" t="s">
        <v>3379</v>
      </c>
      <c r="V1108">
        <v>22000</v>
      </c>
      <c r="W1108" t="s">
        <v>48</v>
      </c>
      <c r="X1108" t="s">
        <v>1203</v>
      </c>
      <c r="Y1108" t="s">
        <v>54</v>
      </c>
      <c r="Z1108" s="12">
        <f>IF(N1108&lt;=1,9,9+0.8*ROUNDUP(N1108-1,0))</f>
        <v>10.6</v>
      </c>
      <c r="AA1108" s="11">
        <v>-2</v>
      </c>
      <c r="AB1108" s="11">
        <v>0</v>
      </c>
      <c r="AC1108" s="11">
        <v>0</v>
      </c>
      <c r="AD1108" s="11">
        <v>0</v>
      </c>
      <c r="AE1108" s="11">
        <v>0</v>
      </c>
      <c r="AF1108" s="11">
        <f t="shared" si="51"/>
        <v>0.51600000000000001</v>
      </c>
      <c r="AG1108" s="11">
        <f t="shared" si="52"/>
        <v>9.1159999999999997</v>
      </c>
      <c r="AH1108" s="11">
        <v>0</v>
      </c>
      <c r="AI1108" s="11">
        <f t="shared" si="53"/>
        <v>9.1159999999999997</v>
      </c>
      <c r="AJ1108" t="s">
        <v>62</v>
      </c>
    </row>
    <row r="1109" spans="1:36" ht="15" customHeight="1" x14ac:dyDescent="0.35">
      <c r="A1109">
        <v>10428918</v>
      </c>
      <c r="B1109" t="s">
        <v>36</v>
      </c>
      <c r="C1109" t="s">
        <v>37</v>
      </c>
      <c r="D1109" s="6" t="s">
        <v>38</v>
      </c>
      <c r="E1109" t="s">
        <v>3380</v>
      </c>
      <c r="F1109" t="s">
        <v>40</v>
      </c>
      <c r="G1109" t="s">
        <v>41</v>
      </c>
      <c r="H1109" t="s">
        <v>3381</v>
      </c>
      <c r="I1109" t="s">
        <v>43</v>
      </c>
      <c r="J1109">
        <v>2</v>
      </c>
      <c r="K1109" t="s">
        <v>44</v>
      </c>
      <c r="L1109" t="s">
        <v>45</v>
      </c>
      <c r="M1109" t="s">
        <v>46</v>
      </c>
      <c r="N1109" s="7">
        <v>1</v>
      </c>
      <c r="O1109" s="8">
        <v>45629.775995370372</v>
      </c>
      <c r="P1109" s="9">
        <v>45632</v>
      </c>
      <c r="Q1109" t="s">
        <v>74</v>
      </c>
      <c r="R1109" t="s">
        <v>48</v>
      </c>
      <c r="S1109" t="s">
        <v>49</v>
      </c>
      <c r="T1109" t="s">
        <v>101</v>
      </c>
      <c r="U1109" t="s">
        <v>3382</v>
      </c>
      <c r="V1109">
        <v>34400</v>
      </c>
      <c r="W1109" t="s">
        <v>48</v>
      </c>
      <c r="X1109" t="s">
        <v>568</v>
      </c>
      <c r="Y1109" t="s">
        <v>54</v>
      </c>
      <c r="Z1109" s="12">
        <f>IF(N1109&lt;=1,9,9+0.8*ROUNDUP(N1109-1,0))</f>
        <v>9</v>
      </c>
      <c r="AA1109" s="11">
        <v>-2</v>
      </c>
      <c r="AB1109" s="11">
        <v>0</v>
      </c>
      <c r="AC1109" s="11">
        <v>0</v>
      </c>
      <c r="AD1109" s="11">
        <v>0</v>
      </c>
      <c r="AE1109" s="11">
        <v>0</v>
      </c>
      <c r="AF1109" s="11">
        <f t="shared" si="51"/>
        <v>0.42</v>
      </c>
      <c r="AG1109" s="11">
        <f t="shared" si="52"/>
        <v>7.42</v>
      </c>
      <c r="AH1109" s="11">
        <v>0</v>
      </c>
      <c r="AI1109" s="11">
        <f t="shared" si="53"/>
        <v>7.42</v>
      </c>
      <c r="AJ1109" t="s">
        <v>62</v>
      </c>
    </row>
    <row r="1110" spans="1:36" ht="15" customHeight="1" x14ac:dyDescent="0.35">
      <c r="A1110">
        <v>10428918</v>
      </c>
      <c r="B1110" t="s">
        <v>36</v>
      </c>
      <c r="C1110" t="s">
        <v>37</v>
      </c>
      <c r="D1110" s="6" t="s">
        <v>38</v>
      </c>
      <c r="E1110" t="s">
        <v>3383</v>
      </c>
      <c r="F1110" t="s">
        <v>40</v>
      </c>
      <c r="G1110" t="s">
        <v>41</v>
      </c>
      <c r="H1110" t="s">
        <v>3384</v>
      </c>
      <c r="I1110" t="s">
        <v>43</v>
      </c>
      <c r="J1110">
        <v>2</v>
      </c>
      <c r="K1110" t="s">
        <v>44</v>
      </c>
      <c r="L1110" t="s">
        <v>45</v>
      </c>
      <c r="M1110" t="s">
        <v>46</v>
      </c>
      <c r="N1110" s="7">
        <v>2</v>
      </c>
      <c r="O1110" s="8">
        <v>45631.408668981479</v>
      </c>
      <c r="P1110" s="9">
        <v>45632</v>
      </c>
      <c r="Q1110" t="s">
        <v>74</v>
      </c>
      <c r="R1110" t="s">
        <v>48</v>
      </c>
      <c r="S1110" t="s">
        <v>49</v>
      </c>
      <c r="T1110" t="s">
        <v>117</v>
      </c>
      <c r="U1110" t="s">
        <v>3385</v>
      </c>
      <c r="V1110">
        <v>43300</v>
      </c>
      <c r="W1110" t="s">
        <v>48</v>
      </c>
      <c r="X1110" t="s">
        <v>917</v>
      </c>
      <c r="Y1110" t="s">
        <v>54</v>
      </c>
      <c r="Z1110" s="12">
        <f>IF(N1110&lt;=1,9,9+0.8*ROUNDUP(N1110-1,0))</f>
        <v>9.8000000000000007</v>
      </c>
      <c r="AA1110" s="11">
        <v>-2</v>
      </c>
      <c r="AB1110" s="11">
        <v>0</v>
      </c>
      <c r="AC1110" s="11">
        <v>0</v>
      </c>
      <c r="AD1110" s="11">
        <v>0</v>
      </c>
      <c r="AE1110" s="11">
        <v>0</v>
      </c>
      <c r="AF1110" s="11">
        <f t="shared" si="51"/>
        <v>0.46800000000000003</v>
      </c>
      <c r="AG1110" s="11">
        <f t="shared" si="52"/>
        <v>8.2680000000000007</v>
      </c>
      <c r="AH1110" s="11">
        <v>0</v>
      </c>
      <c r="AI1110" s="11">
        <f t="shared" si="53"/>
        <v>8.2680000000000007</v>
      </c>
      <c r="AJ1110" t="s">
        <v>62</v>
      </c>
    </row>
    <row r="1111" spans="1:36" ht="15" customHeight="1" x14ac:dyDescent="0.35">
      <c r="A1111">
        <v>10428918</v>
      </c>
      <c r="B1111" t="s">
        <v>36</v>
      </c>
      <c r="C1111" t="s">
        <v>37</v>
      </c>
      <c r="D1111" s="6" t="s">
        <v>38</v>
      </c>
      <c r="E1111" t="s">
        <v>3386</v>
      </c>
      <c r="F1111" t="s">
        <v>40</v>
      </c>
      <c r="G1111" t="s">
        <v>41</v>
      </c>
      <c r="H1111" t="s">
        <v>3387</v>
      </c>
      <c r="I1111" t="s">
        <v>43</v>
      </c>
      <c r="J1111">
        <v>2</v>
      </c>
      <c r="K1111" t="s">
        <v>44</v>
      </c>
      <c r="L1111" t="s">
        <v>45</v>
      </c>
      <c r="M1111" t="s">
        <v>46</v>
      </c>
      <c r="N1111" s="7">
        <v>1</v>
      </c>
      <c r="O1111" s="8">
        <v>45630.801481481481</v>
      </c>
      <c r="P1111" s="9">
        <v>45632</v>
      </c>
      <c r="Q1111" t="s">
        <v>74</v>
      </c>
      <c r="R1111" t="s">
        <v>48</v>
      </c>
      <c r="S1111" t="s">
        <v>49</v>
      </c>
      <c r="T1111" t="s">
        <v>117</v>
      </c>
      <c r="U1111" t="s">
        <v>3388</v>
      </c>
      <c r="V1111">
        <v>43700</v>
      </c>
      <c r="W1111" t="s">
        <v>48</v>
      </c>
      <c r="X1111" t="s">
        <v>398</v>
      </c>
      <c r="Y1111" t="s">
        <v>54</v>
      </c>
      <c r="Z1111" s="12">
        <f>IF(N1111&lt;=1,9,9+0.8*ROUNDUP(N1111-1,0))</f>
        <v>9</v>
      </c>
      <c r="AA1111" s="11">
        <v>-2</v>
      </c>
      <c r="AB1111" s="11">
        <v>0</v>
      </c>
      <c r="AC1111" s="11">
        <v>0</v>
      </c>
      <c r="AD1111" s="11">
        <v>0</v>
      </c>
      <c r="AE1111" s="11">
        <v>0</v>
      </c>
      <c r="AF1111" s="11">
        <f t="shared" si="51"/>
        <v>0.42</v>
      </c>
      <c r="AG1111" s="11">
        <f t="shared" si="52"/>
        <v>7.42</v>
      </c>
      <c r="AH1111" s="11">
        <v>0</v>
      </c>
      <c r="AI1111" s="11">
        <f t="shared" si="53"/>
        <v>7.42</v>
      </c>
      <c r="AJ1111" t="s">
        <v>62</v>
      </c>
    </row>
    <row r="1112" spans="1:36" ht="15" customHeight="1" x14ac:dyDescent="0.35">
      <c r="A1112">
        <v>10428918</v>
      </c>
      <c r="B1112" t="s">
        <v>36</v>
      </c>
      <c r="C1112" t="s">
        <v>37</v>
      </c>
      <c r="D1112" s="6" t="s">
        <v>38</v>
      </c>
      <c r="E1112" t="s">
        <v>3389</v>
      </c>
      <c r="F1112" t="s">
        <v>40</v>
      </c>
      <c r="G1112" t="s">
        <v>41</v>
      </c>
      <c r="H1112" t="s">
        <v>3390</v>
      </c>
      <c r="I1112" t="s">
        <v>43</v>
      </c>
      <c r="J1112">
        <v>2</v>
      </c>
      <c r="K1112" t="s">
        <v>44</v>
      </c>
      <c r="L1112" t="s">
        <v>45</v>
      </c>
      <c r="M1112" t="s">
        <v>46</v>
      </c>
      <c r="N1112" s="7">
        <v>1</v>
      </c>
      <c r="O1112" s="8">
        <v>45630.837210648147</v>
      </c>
      <c r="P1112" s="9">
        <v>45632</v>
      </c>
      <c r="Q1112" t="s">
        <v>74</v>
      </c>
      <c r="R1112" t="s">
        <v>48</v>
      </c>
      <c r="S1112" t="s">
        <v>49</v>
      </c>
      <c r="T1112" t="s">
        <v>59</v>
      </c>
      <c r="U1112" t="s">
        <v>3391</v>
      </c>
      <c r="V1112">
        <v>22300</v>
      </c>
      <c r="W1112" t="s">
        <v>48</v>
      </c>
      <c r="X1112" t="s">
        <v>61</v>
      </c>
      <c r="Y1112" t="s">
        <v>54</v>
      </c>
      <c r="Z1112" s="12">
        <f>IF(N1112&lt;=1,9,9+0.8*ROUNDUP(N1112-1,0))</f>
        <v>9</v>
      </c>
      <c r="AA1112" s="11">
        <v>-2</v>
      </c>
      <c r="AB1112" s="11">
        <v>0</v>
      </c>
      <c r="AC1112" s="11">
        <v>0</v>
      </c>
      <c r="AD1112" s="11">
        <v>0</v>
      </c>
      <c r="AE1112" s="11">
        <v>0</v>
      </c>
      <c r="AF1112" s="11">
        <f t="shared" si="51"/>
        <v>0.42</v>
      </c>
      <c r="AG1112" s="11">
        <f t="shared" si="52"/>
        <v>7.42</v>
      </c>
      <c r="AH1112" s="11">
        <v>0</v>
      </c>
      <c r="AI1112" s="11">
        <f t="shared" si="53"/>
        <v>7.42</v>
      </c>
      <c r="AJ1112" t="s">
        <v>62</v>
      </c>
    </row>
    <row r="1113" spans="1:36" ht="15" customHeight="1" x14ac:dyDescent="0.35">
      <c r="A1113">
        <v>10428918</v>
      </c>
      <c r="B1113" t="s">
        <v>36</v>
      </c>
      <c r="C1113" t="s">
        <v>37</v>
      </c>
      <c r="D1113" s="6" t="s">
        <v>38</v>
      </c>
      <c r="E1113" t="s">
        <v>3392</v>
      </c>
      <c r="F1113" t="s">
        <v>40</v>
      </c>
      <c r="G1113" t="s">
        <v>41</v>
      </c>
      <c r="H1113" t="s">
        <v>3393</v>
      </c>
      <c r="I1113" t="s">
        <v>43</v>
      </c>
      <c r="J1113">
        <v>2</v>
      </c>
      <c r="K1113" t="s">
        <v>44</v>
      </c>
      <c r="L1113" t="s">
        <v>45</v>
      </c>
      <c r="M1113" t="s">
        <v>46</v>
      </c>
      <c r="N1113" s="7">
        <v>1</v>
      </c>
      <c r="O1113" s="8">
        <v>45630.419490740744</v>
      </c>
      <c r="P1113" s="9">
        <v>45632</v>
      </c>
      <c r="Q1113" t="s">
        <v>74</v>
      </c>
      <c r="R1113" t="s">
        <v>48</v>
      </c>
      <c r="S1113" t="s">
        <v>49</v>
      </c>
      <c r="T1113" t="s">
        <v>101</v>
      </c>
      <c r="U1113" t="s">
        <v>3394</v>
      </c>
      <c r="V1113">
        <v>32400</v>
      </c>
      <c r="W1113" t="s">
        <v>48</v>
      </c>
      <c r="X1113" t="s">
        <v>53</v>
      </c>
      <c r="Y1113" t="s">
        <v>54</v>
      </c>
      <c r="Z1113" s="12">
        <f>IF(N1113&lt;=1,9,9+0.8*ROUNDUP(N1113-1,0))</f>
        <v>9</v>
      </c>
      <c r="AA1113" s="11">
        <v>-2</v>
      </c>
      <c r="AB1113" s="11">
        <v>0</v>
      </c>
      <c r="AC1113" s="11">
        <v>0</v>
      </c>
      <c r="AD1113" s="11">
        <v>0</v>
      </c>
      <c r="AE1113" s="11">
        <v>0</v>
      </c>
      <c r="AF1113" s="11">
        <f t="shared" si="51"/>
        <v>0.42</v>
      </c>
      <c r="AG1113" s="11">
        <f t="shared" si="52"/>
        <v>7.42</v>
      </c>
      <c r="AH1113" s="11">
        <v>0</v>
      </c>
      <c r="AI1113" s="11">
        <f t="shared" si="53"/>
        <v>7.42</v>
      </c>
      <c r="AJ1113" t="s">
        <v>62</v>
      </c>
    </row>
    <row r="1114" spans="1:36" ht="15" customHeight="1" x14ac:dyDescent="0.35">
      <c r="A1114">
        <v>10428918</v>
      </c>
      <c r="B1114" t="s">
        <v>36</v>
      </c>
      <c r="C1114" t="s">
        <v>37</v>
      </c>
      <c r="D1114" s="6" t="s">
        <v>38</v>
      </c>
      <c r="E1114" t="s">
        <v>3395</v>
      </c>
      <c r="F1114" t="s">
        <v>40</v>
      </c>
      <c r="G1114" t="s">
        <v>41</v>
      </c>
      <c r="H1114" t="s">
        <v>3396</v>
      </c>
      <c r="I1114" t="s">
        <v>43</v>
      </c>
      <c r="J1114">
        <v>2</v>
      </c>
      <c r="K1114" t="s">
        <v>44</v>
      </c>
      <c r="L1114" t="s">
        <v>45</v>
      </c>
      <c r="M1114" t="s">
        <v>46</v>
      </c>
      <c r="N1114" s="7">
        <v>1</v>
      </c>
      <c r="O1114" s="8">
        <v>45630.435266203705</v>
      </c>
      <c r="P1114" s="9">
        <v>45632</v>
      </c>
      <c r="Q1114" t="s">
        <v>74</v>
      </c>
      <c r="R1114" t="s">
        <v>48</v>
      </c>
      <c r="S1114" t="s">
        <v>49</v>
      </c>
      <c r="T1114" t="s">
        <v>80</v>
      </c>
      <c r="U1114" t="s">
        <v>3397</v>
      </c>
      <c r="V1114">
        <v>6010</v>
      </c>
      <c r="W1114" t="s">
        <v>48</v>
      </c>
      <c r="X1114" t="s">
        <v>522</v>
      </c>
      <c r="Y1114" t="s">
        <v>54</v>
      </c>
      <c r="Z1114" s="12">
        <f>IF(N1114&lt;=1,9,9+0.8*ROUNDUP(N1114-1,0))</f>
        <v>9</v>
      </c>
      <c r="AA1114" s="11">
        <v>-2</v>
      </c>
      <c r="AB1114" s="11">
        <v>0</v>
      </c>
      <c r="AC1114" s="11">
        <v>0</v>
      </c>
      <c r="AD1114" s="11">
        <v>0</v>
      </c>
      <c r="AE1114" s="11">
        <v>0</v>
      </c>
      <c r="AF1114" s="11">
        <f t="shared" si="51"/>
        <v>0.42</v>
      </c>
      <c r="AG1114" s="11">
        <f t="shared" si="52"/>
        <v>7.42</v>
      </c>
      <c r="AH1114" s="11">
        <v>0</v>
      </c>
      <c r="AI1114" s="11">
        <f t="shared" si="53"/>
        <v>7.42</v>
      </c>
      <c r="AJ1114" t="s">
        <v>62</v>
      </c>
    </row>
    <row r="1115" spans="1:36" ht="15" customHeight="1" x14ac:dyDescent="0.35">
      <c r="A1115">
        <v>10428918</v>
      </c>
      <c r="B1115" t="s">
        <v>36</v>
      </c>
      <c r="C1115" t="s">
        <v>37</v>
      </c>
      <c r="D1115" s="6" t="s">
        <v>38</v>
      </c>
      <c r="E1115" t="s">
        <v>3398</v>
      </c>
      <c r="F1115" t="s">
        <v>40</v>
      </c>
      <c r="G1115" t="s">
        <v>41</v>
      </c>
      <c r="H1115" t="s">
        <v>3399</v>
      </c>
      <c r="I1115" t="s">
        <v>43</v>
      </c>
      <c r="J1115">
        <v>2</v>
      </c>
      <c r="K1115" t="s">
        <v>44</v>
      </c>
      <c r="L1115" t="s">
        <v>45</v>
      </c>
      <c r="M1115" t="s">
        <v>46</v>
      </c>
      <c r="N1115" s="7">
        <v>2</v>
      </c>
      <c r="O1115" s="8">
        <v>45631.454155092593</v>
      </c>
      <c r="P1115" s="9">
        <v>45632</v>
      </c>
      <c r="Q1115" t="s">
        <v>74</v>
      </c>
      <c r="R1115" t="s">
        <v>48</v>
      </c>
      <c r="S1115" t="s">
        <v>49</v>
      </c>
      <c r="T1115" t="s">
        <v>59</v>
      </c>
      <c r="U1115" t="s">
        <v>3400</v>
      </c>
      <c r="V1115">
        <v>16210</v>
      </c>
      <c r="W1115" t="s">
        <v>48</v>
      </c>
      <c r="X1115" t="s">
        <v>61</v>
      </c>
      <c r="Y1115" t="s">
        <v>54</v>
      </c>
      <c r="Z1115" s="12">
        <f>IF(N1115&lt;=1,9,9+0.8*ROUNDUP(N1115-1,0))</f>
        <v>9.8000000000000007</v>
      </c>
      <c r="AA1115" s="11">
        <v>-2</v>
      </c>
      <c r="AB1115" s="11">
        <v>0</v>
      </c>
      <c r="AC1115" s="11">
        <v>0</v>
      </c>
      <c r="AD1115" s="11">
        <v>0</v>
      </c>
      <c r="AE1115" s="11">
        <v>0</v>
      </c>
      <c r="AF1115" s="11">
        <f t="shared" si="51"/>
        <v>0.46800000000000003</v>
      </c>
      <c r="AG1115" s="11">
        <f t="shared" si="52"/>
        <v>8.2680000000000007</v>
      </c>
      <c r="AH1115" s="11">
        <v>0</v>
      </c>
      <c r="AI1115" s="11">
        <f t="shared" si="53"/>
        <v>8.2680000000000007</v>
      </c>
      <c r="AJ1115" t="s">
        <v>62</v>
      </c>
    </row>
    <row r="1116" spans="1:36" ht="15" customHeight="1" x14ac:dyDescent="0.35">
      <c r="A1116">
        <v>10428918</v>
      </c>
      <c r="B1116" t="s">
        <v>36</v>
      </c>
      <c r="C1116" t="s">
        <v>37</v>
      </c>
      <c r="D1116" s="6" t="s">
        <v>38</v>
      </c>
      <c r="E1116" t="s">
        <v>3401</v>
      </c>
      <c r="F1116" t="s">
        <v>40</v>
      </c>
      <c r="G1116" t="s">
        <v>41</v>
      </c>
      <c r="H1116" t="s">
        <v>3402</v>
      </c>
      <c r="I1116" t="s">
        <v>43</v>
      </c>
      <c r="J1116">
        <v>2</v>
      </c>
      <c r="K1116" t="s">
        <v>44</v>
      </c>
      <c r="L1116" t="s">
        <v>45</v>
      </c>
      <c r="M1116" t="s">
        <v>46</v>
      </c>
      <c r="N1116" s="7">
        <v>1</v>
      </c>
      <c r="O1116" s="8">
        <v>45629.775983796295</v>
      </c>
      <c r="P1116" s="9">
        <v>45632</v>
      </c>
      <c r="Q1116" t="s">
        <v>74</v>
      </c>
      <c r="R1116" t="s">
        <v>48</v>
      </c>
      <c r="S1116" t="s">
        <v>49</v>
      </c>
      <c r="T1116" t="s">
        <v>161</v>
      </c>
      <c r="U1116" t="s">
        <v>3403</v>
      </c>
      <c r="V1116">
        <v>14400</v>
      </c>
      <c r="W1116" t="s">
        <v>48</v>
      </c>
      <c r="X1116" t="s">
        <v>3404</v>
      </c>
      <c r="Y1116" t="s">
        <v>54</v>
      </c>
      <c r="Z1116" s="12">
        <f>IF(N1116&lt;=1,9,9+0.8*ROUNDUP(N1116-1,0))</f>
        <v>9</v>
      </c>
      <c r="AA1116" s="11">
        <v>-2</v>
      </c>
      <c r="AB1116" s="11">
        <v>0</v>
      </c>
      <c r="AC1116" s="11">
        <v>0</v>
      </c>
      <c r="AD1116" s="11">
        <v>0</v>
      </c>
      <c r="AE1116" s="11">
        <v>0</v>
      </c>
      <c r="AF1116" s="11">
        <f t="shared" si="51"/>
        <v>0.42</v>
      </c>
      <c r="AG1116" s="11">
        <f t="shared" si="52"/>
        <v>7.42</v>
      </c>
      <c r="AH1116" s="11">
        <v>0</v>
      </c>
      <c r="AI1116" s="11">
        <f t="shared" si="53"/>
        <v>7.42</v>
      </c>
      <c r="AJ1116" t="s">
        <v>62</v>
      </c>
    </row>
    <row r="1117" spans="1:36" ht="15" customHeight="1" x14ac:dyDescent="0.35">
      <c r="A1117">
        <v>10428918</v>
      </c>
      <c r="B1117" t="s">
        <v>36</v>
      </c>
      <c r="C1117" t="s">
        <v>37</v>
      </c>
      <c r="D1117" s="6" t="s">
        <v>38</v>
      </c>
      <c r="E1117" t="s">
        <v>3405</v>
      </c>
      <c r="F1117" t="s">
        <v>40</v>
      </c>
      <c r="G1117" t="s">
        <v>41</v>
      </c>
      <c r="H1117" t="s">
        <v>3406</v>
      </c>
      <c r="I1117" t="s">
        <v>43</v>
      </c>
      <c r="J1117">
        <v>2</v>
      </c>
      <c r="K1117" t="s">
        <v>44</v>
      </c>
      <c r="L1117" t="s">
        <v>45</v>
      </c>
      <c r="M1117" t="s">
        <v>46</v>
      </c>
      <c r="N1117" s="7">
        <v>1</v>
      </c>
      <c r="O1117" s="8">
        <v>45630.419490740744</v>
      </c>
      <c r="P1117" s="9">
        <v>45632</v>
      </c>
      <c r="Q1117" t="s">
        <v>74</v>
      </c>
      <c r="R1117" t="s">
        <v>48</v>
      </c>
      <c r="S1117" t="s">
        <v>49</v>
      </c>
      <c r="T1117" t="s">
        <v>101</v>
      </c>
      <c r="U1117" t="s">
        <v>3407</v>
      </c>
      <c r="V1117">
        <v>34300</v>
      </c>
      <c r="W1117" t="s">
        <v>48</v>
      </c>
      <c r="X1117" t="s">
        <v>568</v>
      </c>
      <c r="Y1117" t="s">
        <v>54</v>
      </c>
      <c r="Z1117" s="12">
        <f>IF(N1117&lt;=1,9,9+0.8*ROUNDUP(N1117-1,0))</f>
        <v>9</v>
      </c>
      <c r="AA1117" s="11">
        <v>-2</v>
      </c>
      <c r="AB1117" s="11">
        <v>0</v>
      </c>
      <c r="AC1117" s="11">
        <v>0</v>
      </c>
      <c r="AD1117" s="11">
        <v>0</v>
      </c>
      <c r="AE1117" s="11">
        <v>0</v>
      </c>
      <c r="AF1117" s="11">
        <f t="shared" si="51"/>
        <v>0.42</v>
      </c>
      <c r="AG1117" s="11">
        <f t="shared" si="52"/>
        <v>7.42</v>
      </c>
      <c r="AH1117" s="11">
        <v>0</v>
      </c>
      <c r="AI1117" s="11">
        <f t="shared" si="53"/>
        <v>7.42</v>
      </c>
      <c r="AJ1117" t="s">
        <v>62</v>
      </c>
    </row>
    <row r="1118" spans="1:36" ht="15" customHeight="1" x14ac:dyDescent="0.35">
      <c r="A1118">
        <v>10428918</v>
      </c>
      <c r="B1118" t="s">
        <v>36</v>
      </c>
      <c r="C1118" t="s">
        <v>37</v>
      </c>
      <c r="D1118" s="6" t="s">
        <v>38</v>
      </c>
      <c r="E1118" t="s">
        <v>3408</v>
      </c>
      <c r="F1118" t="s">
        <v>40</v>
      </c>
      <c r="G1118" t="s">
        <v>41</v>
      </c>
      <c r="H1118" t="s">
        <v>3409</v>
      </c>
      <c r="I1118" t="s">
        <v>43</v>
      </c>
      <c r="J1118">
        <v>2</v>
      </c>
      <c r="K1118" t="s">
        <v>44</v>
      </c>
      <c r="L1118" t="s">
        <v>45</v>
      </c>
      <c r="M1118" t="s">
        <v>46</v>
      </c>
      <c r="N1118" s="7">
        <v>1</v>
      </c>
      <c r="O1118" s="8">
        <v>45630.419490740744</v>
      </c>
      <c r="P1118" s="9">
        <v>45632</v>
      </c>
      <c r="Q1118" t="s">
        <v>74</v>
      </c>
      <c r="R1118" t="s">
        <v>48</v>
      </c>
      <c r="S1118" t="s">
        <v>49</v>
      </c>
      <c r="T1118" t="s">
        <v>80</v>
      </c>
      <c r="U1118" t="s">
        <v>3410</v>
      </c>
      <c r="V1118">
        <v>8000</v>
      </c>
      <c r="W1118" t="s">
        <v>48</v>
      </c>
      <c r="X1118" t="s">
        <v>141</v>
      </c>
      <c r="Y1118" t="s">
        <v>54</v>
      </c>
      <c r="Z1118" s="12">
        <f>IF(N1118&lt;=1,9,9+0.8*ROUNDUP(N1118-1,0))</f>
        <v>9</v>
      </c>
      <c r="AA1118" s="11">
        <v>-2</v>
      </c>
      <c r="AB1118" s="11">
        <v>0</v>
      </c>
      <c r="AC1118" s="11">
        <v>0</v>
      </c>
      <c r="AD1118" s="11">
        <v>0</v>
      </c>
      <c r="AE1118" s="11">
        <v>0</v>
      </c>
      <c r="AF1118" s="11">
        <f t="shared" si="51"/>
        <v>0.42</v>
      </c>
      <c r="AG1118" s="11">
        <f t="shared" si="52"/>
        <v>7.42</v>
      </c>
      <c r="AH1118" s="11">
        <v>0</v>
      </c>
      <c r="AI1118" s="11">
        <f t="shared" si="53"/>
        <v>7.42</v>
      </c>
      <c r="AJ1118" t="s">
        <v>62</v>
      </c>
    </row>
    <row r="1119" spans="1:36" ht="15" customHeight="1" x14ac:dyDescent="0.35">
      <c r="A1119">
        <v>10428918</v>
      </c>
      <c r="B1119" t="s">
        <v>36</v>
      </c>
      <c r="C1119" t="s">
        <v>37</v>
      </c>
      <c r="D1119" s="6" t="s">
        <v>38</v>
      </c>
      <c r="E1119" t="s">
        <v>3411</v>
      </c>
      <c r="F1119" t="s">
        <v>40</v>
      </c>
      <c r="G1119" t="s">
        <v>41</v>
      </c>
      <c r="H1119" t="s">
        <v>443</v>
      </c>
      <c r="I1119" t="s">
        <v>43</v>
      </c>
      <c r="J1119">
        <v>2</v>
      </c>
      <c r="K1119" t="s">
        <v>44</v>
      </c>
      <c r="L1119" t="s">
        <v>45</v>
      </c>
      <c r="M1119" t="s">
        <v>46</v>
      </c>
      <c r="N1119" s="7">
        <v>1</v>
      </c>
      <c r="O1119" s="8">
        <v>45630.806354166663</v>
      </c>
      <c r="P1119" s="9">
        <v>45632</v>
      </c>
      <c r="Q1119" t="s">
        <v>74</v>
      </c>
      <c r="R1119" t="s">
        <v>48</v>
      </c>
      <c r="S1119" t="s">
        <v>49</v>
      </c>
      <c r="T1119" t="s">
        <v>59</v>
      </c>
      <c r="U1119" t="s">
        <v>3412</v>
      </c>
      <c r="V1119">
        <v>17500</v>
      </c>
      <c r="W1119" t="s">
        <v>48</v>
      </c>
      <c r="X1119" t="s">
        <v>61</v>
      </c>
      <c r="Y1119" t="s">
        <v>54</v>
      </c>
      <c r="Z1119" s="12">
        <f>IF(N1119&lt;=1,9,9+0.8*ROUNDUP(N1119-1,0))</f>
        <v>9</v>
      </c>
      <c r="AA1119" s="11">
        <v>-2</v>
      </c>
      <c r="AB1119" s="11">
        <v>0</v>
      </c>
      <c r="AC1119" s="11">
        <v>0</v>
      </c>
      <c r="AD1119" s="11">
        <v>0</v>
      </c>
      <c r="AE1119" s="11">
        <v>0</v>
      </c>
      <c r="AF1119" s="11">
        <f t="shared" si="51"/>
        <v>0.42</v>
      </c>
      <c r="AG1119" s="11">
        <f t="shared" si="52"/>
        <v>7.42</v>
      </c>
      <c r="AH1119" s="11">
        <v>0</v>
      </c>
      <c r="AI1119" s="11">
        <f t="shared" si="53"/>
        <v>7.42</v>
      </c>
      <c r="AJ1119" t="s">
        <v>62</v>
      </c>
    </row>
    <row r="1120" spans="1:36" ht="15" customHeight="1" x14ac:dyDescent="0.35">
      <c r="A1120">
        <v>10428918</v>
      </c>
      <c r="B1120" t="s">
        <v>36</v>
      </c>
      <c r="C1120" t="s">
        <v>37</v>
      </c>
      <c r="D1120" s="6" t="s">
        <v>38</v>
      </c>
      <c r="E1120" t="s">
        <v>3413</v>
      </c>
      <c r="F1120" t="s">
        <v>40</v>
      </c>
      <c r="G1120" t="s">
        <v>41</v>
      </c>
      <c r="H1120" t="s">
        <v>3414</v>
      </c>
      <c r="I1120" t="s">
        <v>43</v>
      </c>
      <c r="J1120">
        <v>2</v>
      </c>
      <c r="K1120" t="s">
        <v>44</v>
      </c>
      <c r="L1120" t="s">
        <v>45</v>
      </c>
      <c r="M1120" t="s">
        <v>46</v>
      </c>
      <c r="N1120" s="7">
        <v>1</v>
      </c>
      <c r="O1120" s="8">
        <v>45623.78974537037</v>
      </c>
      <c r="P1120" s="9">
        <v>45632</v>
      </c>
      <c r="Q1120" t="s">
        <v>74</v>
      </c>
      <c r="R1120" t="s">
        <v>48</v>
      </c>
      <c r="S1120" t="s">
        <v>49</v>
      </c>
      <c r="T1120" t="s">
        <v>85</v>
      </c>
      <c r="U1120" t="s">
        <v>3415</v>
      </c>
      <c r="V1120">
        <v>71050</v>
      </c>
      <c r="W1120" t="s">
        <v>48</v>
      </c>
      <c r="X1120" t="s">
        <v>53</v>
      </c>
      <c r="Y1120" t="s">
        <v>54</v>
      </c>
      <c r="Z1120" s="12">
        <f>IF(N1120&lt;=1,9,9+0.8*ROUNDUP(N1120-1,0))</f>
        <v>9</v>
      </c>
      <c r="AA1120" s="11">
        <v>-2</v>
      </c>
      <c r="AB1120" s="11">
        <v>0</v>
      </c>
      <c r="AC1120" s="11">
        <v>0</v>
      </c>
      <c r="AD1120" s="11">
        <v>0</v>
      </c>
      <c r="AE1120" s="11">
        <v>0</v>
      </c>
      <c r="AF1120" s="11">
        <f t="shared" si="51"/>
        <v>0.42</v>
      </c>
      <c r="AG1120" s="11">
        <f t="shared" si="52"/>
        <v>7.42</v>
      </c>
      <c r="AH1120" s="11">
        <v>0</v>
      </c>
      <c r="AI1120" s="11">
        <f t="shared" si="53"/>
        <v>7.42</v>
      </c>
      <c r="AJ1120" t="s">
        <v>62</v>
      </c>
    </row>
    <row r="1121" spans="1:36" ht="15" customHeight="1" x14ac:dyDescent="0.35">
      <c r="A1121">
        <v>10428918</v>
      </c>
      <c r="B1121" t="s">
        <v>36</v>
      </c>
      <c r="C1121" t="s">
        <v>37</v>
      </c>
      <c r="D1121" s="6" t="s">
        <v>38</v>
      </c>
      <c r="E1121" t="s">
        <v>3416</v>
      </c>
      <c r="F1121" t="s">
        <v>40</v>
      </c>
      <c r="G1121" t="s">
        <v>41</v>
      </c>
      <c r="H1121" t="s">
        <v>3417</v>
      </c>
      <c r="I1121" t="s">
        <v>43</v>
      </c>
      <c r="J1121">
        <v>2</v>
      </c>
      <c r="K1121" t="s">
        <v>44</v>
      </c>
      <c r="L1121" t="s">
        <v>45</v>
      </c>
      <c r="M1121" t="s">
        <v>46</v>
      </c>
      <c r="N1121" s="7">
        <v>1</v>
      </c>
      <c r="O1121" s="8">
        <v>45630.449374999997</v>
      </c>
      <c r="P1121" s="9">
        <v>45632</v>
      </c>
      <c r="Q1121" t="s">
        <v>74</v>
      </c>
      <c r="R1121" t="s">
        <v>48</v>
      </c>
      <c r="S1121" t="s">
        <v>49</v>
      </c>
      <c r="T1121" t="s">
        <v>69</v>
      </c>
      <c r="U1121" t="s">
        <v>3418</v>
      </c>
      <c r="V1121">
        <v>83400</v>
      </c>
      <c r="W1121" t="s">
        <v>48</v>
      </c>
      <c r="X1121" t="s">
        <v>53</v>
      </c>
      <c r="Y1121" t="s">
        <v>54</v>
      </c>
      <c r="Z1121" s="12">
        <f>IF(N1121&lt;=1,9,9+0.8*ROUNDUP(N1121-1,0))</f>
        <v>9</v>
      </c>
      <c r="AA1121" s="11">
        <v>-2</v>
      </c>
      <c r="AB1121" s="11">
        <v>0</v>
      </c>
      <c r="AC1121" s="11">
        <v>0</v>
      </c>
      <c r="AD1121" s="11">
        <v>0</v>
      </c>
      <c r="AE1121" s="11">
        <v>0</v>
      </c>
      <c r="AF1121" s="11">
        <f t="shared" si="51"/>
        <v>0.42</v>
      </c>
      <c r="AG1121" s="11">
        <f t="shared" si="52"/>
        <v>7.42</v>
      </c>
      <c r="AH1121" s="11">
        <v>0</v>
      </c>
      <c r="AI1121" s="11">
        <f t="shared" si="53"/>
        <v>7.42</v>
      </c>
      <c r="AJ1121" t="s">
        <v>62</v>
      </c>
    </row>
    <row r="1122" spans="1:36" ht="15" customHeight="1" x14ac:dyDescent="0.35">
      <c r="A1122">
        <v>10428918</v>
      </c>
      <c r="B1122" t="s">
        <v>36</v>
      </c>
      <c r="C1122" t="s">
        <v>37</v>
      </c>
      <c r="D1122" s="6" t="s">
        <v>38</v>
      </c>
      <c r="E1122" t="s">
        <v>3419</v>
      </c>
      <c r="F1122" t="s">
        <v>40</v>
      </c>
      <c r="G1122" t="s">
        <v>41</v>
      </c>
      <c r="H1122" t="s">
        <v>3420</v>
      </c>
      <c r="I1122" t="s">
        <v>43</v>
      </c>
      <c r="J1122">
        <v>2</v>
      </c>
      <c r="K1122" t="s">
        <v>44</v>
      </c>
      <c r="L1122" t="s">
        <v>45</v>
      </c>
      <c r="M1122" t="s">
        <v>46</v>
      </c>
      <c r="N1122" s="7">
        <v>1</v>
      </c>
      <c r="O1122" s="8">
        <v>45629.790150462963</v>
      </c>
      <c r="P1122" s="9">
        <v>45632</v>
      </c>
      <c r="Q1122" t="s">
        <v>74</v>
      </c>
      <c r="R1122" t="s">
        <v>48</v>
      </c>
      <c r="S1122" t="s">
        <v>49</v>
      </c>
      <c r="T1122" t="s">
        <v>69</v>
      </c>
      <c r="U1122" t="s">
        <v>3421</v>
      </c>
      <c r="V1122">
        <v>81550</v>
      </c>
      <c r="W1122" t="s">
        <v>48</v>
      </c>
      <c r="X1122" t="s">
        <v>53</v>
      </c>
      <c r="Y1122" t="s">
        <v>54</v>
      </c>
      <c r="Z1122" s="12">
        <f>IF(N1122&lt;=1,9,9+0.8*ROUNDUP(N1122-1,0))</f>
        <v>9</v>
      </c>
      <c r="AA1122" s="11">
        <v>-2</v>
      </c>
      <c r="AB1122" s="11">
        <v>0</v>
      </c>
      <c r="AC1122" s="11">
        <v>0</v>
      </c>
      <c r="AD1122" s="11">
        <v>0</v>
      </c>
      <c r="AE1122" s="11">
        <v>0</v>
      </c>
      <c r="AF1122" s="11">
        <f t="shared" si="51"/>
        <v>0.42</v>
      </c>
      <c r="AG1122" s="11">
        <f t="shared" si="52"/>
        <v>7.42</v>
      </c>
      <c r="AH1122" s="11">
        <v>0</v>
      </c>
      <c r="AI1122" s="11">
        <f t="shared" si="53"/>
        <v>7.42</v>
      </c>
      <c r="AJ1122" t="s">
        <v>62</v>
      </c>
    </row>
    <row r="1123" spans="1:36" ht="15" customHeight="1" x14ac:dyDescent="0.35">
      <c r="A1123">
        <v>10428918</v>
      </c>
      <c r="B1123" t="s">
        <v>36</v>
      </c>
      <c r="C1123" t="s">
        <v>37</v>
      </c>
      <c r="D1123" s="6" t="s">
        <v>38</v>
      </c>
      <c r="E1123" t="s">
        <v>3422</v>
      </c>
      <c r="F1123" t="s">
        <v>40</v>
      </c>
      <c r="G1123" t="s">
        <v>41</v>
      </c>
      <c r="H1123" t="s">
        <v>3423</v>
      </c>
      <c r="I1123" t="s">
        <v>43</v>
      </c>
      <c r="J1123">
        <v>2</v>
      </c>
      <c r="K1123" t="s">
        <v>44</v>
      </c>
      <c r="L1123" t="s">
        <v>45</v>
      </c>
      <c r="M1123" t="s">
        <v>46</v>
      </c>
      <c r="N1123" s="7">
        <v>1</v>
      </c>
      <c r="O1123" s="8">
        <v>45629.795775462961</v>
      </c>
      <c r="P1123" s="9">
        <v>45632</v>
      </c>
      <c r="Q1123" t="s">
        <v>74</v>
      </c>
      <c r="R1123" t="s">
        <v>48</v>
      </c>
      <c r="S1123" t="s">
        <v>49</v>
      </c>
      <c r="T1123" t="s">
        <v>69</v>
      </c>
      <c r="U1123" t="s">
        <v>3424</v>
      </c>
      <c r="V1123">
        <v>81200</v>
      </c>
      <c r="W1123" t="s">
        <v>48</v>
      </c>
      <c r="X1123" t="s">
        <v>1040</v>
      </c>
      <c r="Y1123" t="s">
        <v>54</v>
      </c>
      <c r="Z1123" s="12">
        <f>IF(N1123&lt;=1,9,9+0.8*ROUNDUP(N1123-1,0))</f>
        <v>9</v>
      </c>
      <c r="AA1123" s="11">
        <v>-2</v>
      </c>
      <c r="AB1123" s="11">
        <v>0</v>
      </c>
      <c r="AC1123" s="11">
        <v>0</v>
      </c>
      <c r="AD1123" s="11">
        <v>0</v>
      </c>
      <c r="AE1123" s="11">
        <v>0</v>
      </c>
      <c r="AF1123" s="11">
        <f t="shared" si="51"/>
        <v>0.42</v>
      </c>
      <c r="AG1123" s="11">
        <f t="shared" si="52"/>
        <v>7.42</v>
      </c>
      <c r="AH1123" s="11">
        <v>0</v>
      </c>
      <c r="AI1123" s="11">
        <f t="shared" si="53"/>
        <v>7.42</v>
      </c>
      <c r="AJ1123" t="s">
        <v>62</v>
      </c>
    </row>
    <row r="1124" spans="1:36" ht="15" customHeight="1" x14ac:dyDescent="0.35">
      <c r="A1124">
        <v>10428918</v>
      </c>
      <c r="B1124" t="s">
        <v>36</v>
      </c>
      <c r="C1124" t="s">
        <v>37</v>
      </c>
      <c r="D1124" s="6" t="s">
        <v>38</v>
      </c>
      <c r="E1124" t="s">
        <v>3425</v>
      </c>
      <c r="F1124" t="s">
        <v>40</v>
      </c>
      <c r="G1124" t="s">
        <v>41</v>
      </c>
      <c r="H1124" t="s">
        <v>3426</v>
      </c>
      <c r="I1124" t="s">
        <v>43</v>
      </c>
      <c r="J1124">
        <v>2</v>
      </c>
      <c r="K1124" t="s">
        <v>44</v>
      </c>
      <c r="L1124" t="s">
        <v>45</v>
      </c>
      <c r="M1124" t="s">
        <v>46</v>
      </c>
      <c r="N1124" s="7">
        <v>1</v>
      </c>
      <c r="O1124" s="8">
        <v>45630.827233796299</v>
      </c>
      <c r="P1124" s="9">
        <v>45632</v>
      </c>
      <c r="Q1124" t="s">
        <v>74</v>
      </c>
      <c r="R1124" t="s">
        <v>48</v>
      </c>
      <c r="S1124" t="s">
        <v>49</v>
      </c>
      <c r="T1124" t="s">
        <v>117</v>
      </c>
      <c r="U1124" t="s">
        <v>3427</v>
      </c>
      <c r="V1124">
        <v>41000</v>
      </c>
      <c r="W1124" t="s">
        <v>48</v>
      </c>
      <c r="X1124" t="s">
        <v>662</v>
      </c>
      <c r="Y1124" t="s">
        <v>54</v>
      </c>
      <c r="Z1124" s="12">
        <f>IF(N1124&lt;=1,9,9+0.8*ROUNDUP(N1124-1,0))</f>
        <v>9</v>
      </c>
      <c r="AA1124" s="11">
        <v>-2</v>
      </c>
      <c r="AB1124" s="11">
        <v>0</v>
      </c>
      <c r="AC1124" s="11">
        <v>0</v>
      </c>
      <c r="AD1124" s="11">
        <v>0</v>
      </c>
      <c r="AE1124" s="11">
        <v>0</v>
      </c>
      <c r="AF1124" s="11">
        <f t="shared" si="51"/>
        <v>0.42</v>
      </c>
      <c r="AG1124" s="11">
        <f t="shared" si="52"/>
        <v>7.42</v>
      </c>
      <c r="AH1124" s="11">
        <v>0</v>
      </c>
      <c r="AI1124" s="11">
        <f t="shared" si="53"/>
        <v>7.42</v>
      </c>
      <c r="AJ1124" t="s">
        <v>62</v>
      </c>
    </row>
    <row r="1125" spans="1:36" ht="15" customHeight="1" x14ac:dyDescent="0.35">
      <c r="A1125">
        <v>10428918</v>
      </c>
      <c r="B1125" t="s">
        <v>36</v>
      </c>
      <c r="C1125" t="s">
        <v>37</v>
      </c>
      <c r="D1125" s="6" t="s">
        <v>38</v>
      </c>
      <c r="E1125" t="s">
        <v>3428</v>
      </c>
      <c r="F1125" t="s">
        <v>40</v>
      </c>
      <c r="G1125" t="s">
        <v>41</v>
      </c>
      <c r="H1125" t="s">
        <v>3429</v>
      </c>
      <c r="I1125" t="s">
        <v>43</v>
      </c>
      <c r="J1125">
        <v>2</v>
      </c>
      <c r="K1125" t="s">
        <v>44</v>
      </c>
      <c r="L1125" t="s">
        <v>45</v>
      </c>
      <c r="M1125" t="s">
        <v>46</v>
      </c>
      <c r="N1125" s="7">
        <v>1</v>
      </c>
      <c r="O1125" s="8">
        <v>45630.589456018519</v>
      </c>
      <c r="P1125" s="9">
        <v>45632</v>
      </c>
      <c r="Q1125" t="s">
        <v>74</v>
      </c>
      <c r="R1125" t="s">
        <v>48</v>
      </c>
      <c r="S1125" t="s">
        <v>49</v>
      </c>
      <c r="T1125" t="s">
        <v>117</v>
      </c>
      <c r="U1125" t="s">
        <v>3430</v>
      </c>
      <c r="V1125">
        <v>43400</v>
      </c>
      <c r="W1125" t="s">
        <v>48</v>
      </c>
      <c r="X1125" t="s">
        <v>53</v>
      </c>
      <c r="Y1125" t="s">
        <v>54</v>
      </c>
      <c r="Z1125" s="12">
        <f>IF(N1125&lt;=1,9,9+0.8*ROUNDUP(N1125-1,0))</f>
        <v>9</v>
      </c>
      <c r="AA1125" s="11">
        <v>-2</v>
      </c>
      <c r="AB1125" s="11">
        <v>0</v>
      </c>
      <c r="AC1125" s="11">
        <v>0</v>
      </c>
      <c r="AD1125" s="11">
        <v>0</v>
      </c>
      <c r="AE1125" s="11">
        <v>0</v>
      </c>
      <c r="AF1125" s="11">
        <f t="shared" si="51"/>
        <v>0.42</v>
      </c>
      <c r="AG1125" s="11">
        <f t="shared" si="52"/>
        <v>7.42</v>
      </c>
      <c r="AH1125" s="11">
        <v>0</v>
      </c>
      <c r="AI1125" s="11">
        <f t="shared" si="53"/>
        <v>7.42</v>
      </c>
      <c r="AJ1125" t="s">
        <v>62</v>
      </c>
    </row>
    <row r="1126" spans="1:36" ht="15" customHeight="1" x14ac:dyDescent="0.35">
      <c r="A1126">
        <v>10428918</v>
      </c>
      <c r="B1126" t="s">
        <v>36</v>
      </c>
      <c r="C1126" t="s">
        <v>37</v>
      </c>
      <c r="D1126" s="6" t="s">
        <v>38</v>
      </c>
      <c r="E1126" t="s">
        <v>3431</v>
      </c>
      <c r="F1126" t="s">
        <v>40</v>
      </c>
      <c r="G1126" t="s">
        <v>41</v>
      </c>
      <c r="H1126" t="s">
        <v>3432</v>
      </c>
      <c r="I1126" t="s">
        <v>43</v>
      </c>
      <c r="J1126">
        <v>2</v>
      </c>
      <c r="K1126" t="s">
        <v>44</v>
      </c>
      <c r="L1126" t="s">
        <v>45</v>
      </c>
      <c r="M1126" t="s">
        <v>46</v>
      </c>
      <c r="N1126" s="7">
        <v>2</v>
      </c>
      <c r="O1126" s="8">
        <v>45631.45039351852</v>
      </c>
      <c r="P1126" s="9">
        <v>45632</v>
      </c>
      <c r="Q1126" t="s">
        <v>74</v>
      </c>
      <c r="R1126" t="s">
        <v>48</v>
      </c>
      <c r="S1126" t="s">
        <v>49</v>
      </c>
      <c r="T1126" t="s">
        <v>75</v>
      </c>
      <c r="U1126" t="s">
        <v>3433</v>
      </c>
      <c r="V1126">
        <v>28340</v>
      </c>
      <c r="W1126" t="s">
        <v>48</v>
      </c>
      <c r="X1126" t="s">
        <v>77</v>
      </c>
      <c r="Y1126" t="s">
        <v>54</v>
      </c>
      <c r="Z1126" s="12">
        <f>IF(N1126&lt;=1,9,9+0.8*ROUNDUP(N1126-1,0))</f>
        <v>9.8000000000000007</v>
      </c>
      <c r="AA1126" s="11">
        <v>-2</v>
      </c>
      <c r="AB1126" s="11">
        <v>0</v>
      </c>
      <c r="AC1126" s="11">
        <v>0</v>
      </c>
      <c r="AD1126" s="11">
        <v>0</v>
      </c>
      <c r="AE1126" s="11">
        <v>0</v>
      </c>
      <c r="AF1126" s="11">
        <f t="shared" si="51"/>
        <v>0.46800000000000003</v>
      </c>
      <c r="AG1126" s="11">
        <f t="shared" si="52"/>
        <v>8.2680000000000007</v>
      </c>
      <c r="AH1126" s="11">
        <v>0</v>
      </c>
      <c r="AI1126" s="11">
        <f t="shared" si="53"/>
        <v>8.2680000000000007</v>
      </c>
      <c r="AJ1126" t="s">
        <v>62</v>
      </c>
    </row>
    <row r="1127" spans="1:36" ht="15" customHeight="1" x14ac:dyDescent="0.35">
      <c r="A1127">
        <v>10428918</v>
      </c>
      <c r="B1127" t="s">
        <v>36</v>
      </c>
      <c r="C1127" t="s">
        <v>37</v>
      </c>
      <c r="D1127" s="6" t="s">
        <v>38</v>
      </c>
      <c r="E1127" t="s">
        <v>3434</v>
      </c>
      <c r="F1127" t="s">
        <v>40</v>
      </c>
      <c r="G1127" t="s">
        <v>41</v>
      </c>
      <c r="H1127" t="s">
        <v>3435</v>
      </c>
      <c r="I1127" t="s">
        <v>43</v>
      </c>
      <c r="J1127">
        <v>2</v>
      </c>
      <c r="K1127" t="s">
        <v>44</v>
      </c>
      <c r="L1127" t="s">
        <v>45</v>
      </c>
      <c r="M1127" t="s">
        <v>46</v>
      </c>
      <c r="N1127" s="7">
        <v>2</v>
      </c>
      <c r="O1127" s="8">
        <v>45626.828414351854</v>
      </c>
      <c r="P1127" s="9">
        <v>45632</v>
      </c>
      <c r="Q1127" t="s">
        <v>74</v>
      </c>
      <c r="R1127" t="s">
        <v>48</v>
      </c>
      <c r="S1127" t="s">
        <v>49</v>
      </c>
      <c r="T1127" t="s">
        <v>101</v>
      </c>
      <c r="U1127" t="s">
        <v>3436</v>
      </c>
      <c r="V1127">
        <v>33300</v>
      </c>
      <c r="W1127" t="s">
        <v>48</v>
      </c>
      <c r="X1127" t="s">
        <v>53</v>
      </c>
      <c r="Y1127" t="s">
        <v>54</v>
      </c>
      <c r="Z1127" s="12">
        <f>IF(N1127&lt;=1,9,9+0.8*ROUNDUP(N1127-1,0))</f>
        <v>9.8000000000000007</v>
      </c>
      <c r="AA1127" s="11">
        <v>-2</v>
      </c>
      <c r="AB1127" s="11">
        <v>0</v>
      </c>
      <c r="AC1127" s="11">
        <v>0</v>
      </c>
      <c r="AD1127" s="11">
        <v>0</v>
      </c>
      <c r="AE1127" s="11">
        <v>0</v>
      </c>
      <c r="AF1127" s="11">
        <f t="shared" si="51"/>
        <v>0.46800000000000003</v>
      </c>
      <c r="AG1127" s="11">
        <f t="shared" si="52"/>
        <v>8.2680000000000007</v>
      </c>
      <c r="AH1127" s="11">
        <v>0</v>
      </c>
      <c r="AI1127" s="11">
        <f t="shared" si="53"/>
        <v>8.2680000000000007</v>
      </c>
      <c r="AJ1127" t="s">
        <v>62</v>
      </c>
    </row>
    <row r="1128" spans="1:36" ht="15" customHeight="1" x14ac:dyDescent="0.35">
      <c r="A1128">
        <v>10428918</v>
      </c>
      <c r="B1128" t="s">
        <v>36</v>
      </c>
      <c r="C1128" t="s">
        <v>37</v>
      </c>
      <c r="D1128" s="6" t="s">
        <v>38</v>
      </c>
      <c r="E1128" t="s">
        <v>3437</v>
      </c>
      <c r="F1128" t="s">
        <v>40</v>
      </c>
      <c r="G1128" t="s">
        <v>41</v>
      </c>
      <c r="H1128" t="s">
        <v>3438</v>
      </c>
      <c r="I1128" t="s">
        <v>43</v>
      </c>
      <c r="J1128">
        <v>2</v>
      </c>
      <c r="K1128" t="s">
        <v>44</v>
      </c>
      <c r="L1128" t="s">
        <v>45</v>
      </c>
      <c r="M1128" t="s">
        <v>46</v>
      </c>
      <c r="N1128" s="7">
        <v>1</v>
      </c>
      <c r="O1128" s="8">
        <v>45629.818182870367</v>
      </c>
      <c r="P1128" s="9">
        <v>45632</v>
      </c>
      <c r="Q1128" t="s">
        <v>74</v>
      </c>
      <c r="R1128" t="s">
        <v>48</v>
      </c>
      <c r="S1128" t="s">
        <v>49</v>
      </c>
      <c r="T1128" t="s">
        <v>65</v>
      </c>
      <c r="U1128" t="s">
        <v>3439</v>
      </c>
      <c r="V1128">
        <v>77300</v>
      </c>
      <c r="W1128" t="s">
        <v>48</v>
      </c>
      <c r="X1128" t="s">
        <v>361</v>
      </c>
      <c r="Y1128" t="s">
        <v>54</v>
      </c>
      <c r="Z1128" s="12">
        <f>IF(N1128&lt;=1,9,9+0.8*ROUNDUP(N1128-1,0))</f>
        <v>9</v>
      </c>
      <c r="AA1128" s="11">
        <v>-2</v>
      </c>
      <c r="AB1128" s="11">
        <v>0</v>
      </c>
      <c r="AC1128" s="11">
        <v>0</v>
      </c>
      <c r="AD1128" s="11">
        <v>0</v>
      </c>
      <c r="AE1128" s="11">
        <v>0</v>
      </c>
      <c r="AF1128" s="11">
        <f t="shared" si="51"/>
        <v>0.42</v>
      </c>
      <c r="AG1128" s="11">
        <f t="shared" si="52"/>
        <v>7.42</v>
      </c>
      <c r="AH1128" s="11">
        <v>0</v>
      </c>
      <c r="AI1128" s="11">
        <f t="shared" si="53"/>
        <v>7.42</v>
      </c>
      <c r="AJ1128" t="s">
        <v>62</v>
      </c>
    </row>
    <row r="1129" spans="1:36" ht="15" customHeight="1" x14ac:dyDescent="0.35">
      <c r="A1129">
        <v>10428918</v>
      </c>
      <c r="B1129" t="s">
        <v>36</v>
      </c>
      <c r="C1129" t="s">
        <v>37</v>
      </c>
      <c r="D1129" s="6" t="s">
        <v>38</v>
      </c>
      <c r="E1129" t="s">
        <v>3440</v>
      </c>
      <c r="F1129" t="s">
        <v>40</v>
      </c>
      <c r="G1129" t="s">
        <v>41</v>
      </c>
      <c r="H1129" t="s">
        <v>2149</v>
      </c>
      <c r="I1129" t="s">
        <v>43</v>
      </c>
      <c r="J1129">
        <v>2</v>
      </c>
      <c r="K1129" t="s">
        <v>44</v>
      </c>
      <c r="L1129" t="s">
        <v>45</v>
      </c>
      <c r="M1129" t="s">
        <v>46</v>
      </c>
      <c r="N1129" s="7">
        <v>1</v>
      </c>
      <c r="O1129" s="8">
        <v>45631.441423611112</v>
      </c>
      <c r="P1129" s="9">
        <v>45632</v>
      </c>
      <c r="Q1129" t="s">
        <v>74</v>
      </c>
      <c r="R1129" t="s">
        <v>48</v>
      </c>
      <c r="S1129" t="s">
        <v>49</v>
      </c>
      <c r="T1129" t="s">
        <v>117</v>
      </c>
      <c r="U1129" t="s">
        <v>2150</v>
      </c>
      <c r="V1129">
        <v>42920</v>
      </c>
      <c r="W1129" t="s">
        <v>48</v>
      </c>
      <c r="X1129" t="s">
        <v>149</v>
      </c>
      <c r="Y1129" t="s">
        <v>54</v>
      </c>
      <c r="Z1129" s="12">
        <f>IF(N1129&lt;=1,9,9+0.8*ROUNDUP(N1129-1,0))</f>
        <v>9</v>
      </c>
      <c r="AA1129" s="11">
        <v>-2</v>
      </c>
      <c r="AB1129" s="11">
        <v>0</v>
      </c>
      <c r="AC1129" s="11">
        <v>0</v>
      </c>
      <c r="AD1129" s="11">
        <v>0</v>
      </c>
      <c r="AE1129" s="11">
        <v>0</v>
      </c>
      <c r="AF1129" s="11">
        <f t="shared" si="51"/>
        <v>0.42</v>
      </c>
      <c r="AG1129" s="11">
        <f t="shared" si="52"/>
        <v>7.42</v>
      </c>
      <c r="AH1129" s="11">
        <v>0</v>
      </c>
      <c r="AI1129" s="11">
        <f t="shared" si="53"/>
        <v>7.42</v>
      </c>
      <c r="AJ1129" t="s">
        <v>62</v>
      </c>
    </row>
    <row r="1130" spans="1:36" ht="15" customHeight="1" x14ac:dyDescent="0.35">
      <c r="A1130">
        <v>10428918</v>
      </c>
      <c r="B1130" t="s">
        <v>36</v>
      </c>
      <c r="C1130" t="s">
        <v>37</v>
      </c>
      <c r="D1130" s="6" t="s">
        <v>38</v>
      </c>
      <c r="E1130" t="s">
        <v>3441</v>
      </c>
      <c r="F1130" t="s">
        <v>40</v>
      </c>
      <c r="G1130" t="s">
        <v>41</v>
      </c>
      <c r="H1130" t="s">
        <v>3442</v>
      </c>
      <c r="I1130" t="s">
        <v>43</v>
      </c>
      <c r="J1130">
        <v>2</v>
      </c>
      <c r="K1130" t="s">
        <v>44</v>
      </c>
      <c r="L1130" t="s">
        <v>45</v>
      </c>
      <c r="M1130" t="s">
        <v>46</v>
      </c>
      <c r="N1130" s="7">
        <v>1</v>
      </c>
      <c r="O1130" s="8">
        <v>45630.431354166663</v>
      </c>
      <c r="P1130" s="9">
        <v>45632</v>
      </c>
      <c r="Q1130" t="s">
        <v>74</v>
      </c>
      <c r="R1130" t="s">
        <v>48</v>
      </c>
      <c r="S1130" t="s">
        <v>49</v>
      </c>
      <c r="T1130" t="s">
        <v>101</v>
      </c>
      <c r="U1130" t="s">
        <v>3443</v>
      </c>
      <c r="V1130">
        <v>33300</v>
      </c>
      <c r="W1130" t="s">
        <v>48</v>
      </c>
      <c r="X1130" t="s">
        <v>53</v>
      </c>
      <c r="Y1130" t="s">
        <v>54</v>
      </c>
      <c r="Z1130" s="12">
        <f>IF(N1130&lt;=1,9,9+0.8*ROUNDUP(N1130-1,0))</f>
        <v>9</v>
      </c>
      <c r="AA1130" s="11">
        <v>-2</v>
      </c>
      <c r="AB1130" s="11">
        <v>0</v>
      </c>
      <c r="AC1130" s="11">
        <v>0</v>
      </c>
      <c r="AD1130" s="11">
        <v>0</v>
      </c>
      <c r="AE1130" s="11">
        <v>0</v>
      </c>
      <c r="AF1130" s="11">
        <f t="shared" si="51"/>
        <v>0.42</v>
      </c>
      <c r="AG1130" s="11">
        <f t="shared" si="52"/>
        <v>7.42</v>
      </c>
      <c r="AH1130" s="11">
        <v>0</v>
      </c>
      <c r="AI1130" s="11">
        <f t="shared" si="53"/>
        <v>7.42</v>
      </c>
      <c r="AJ1130" t="s">
        <v>62</v>
      </c>
    </row>
    <row r="1131" spans="1:36" ht="15" customHeight="1" x14ac:dyDescent="0.35">
      <c r="A1131">
        <v>10428918</v>
      </c>
      <c r="B1131" t="s">
        <v>36</v>
      </c>
      <c r="C1131" t="s">
        <v>37</v>
      </c>
      <c r="D1131" s="6" t="s">
        <v>38</v>
      </c>
      <c r="E1131" t="s">
        <v>3444</v>
      </c>
      <c r="F1131" t="s">
        <v>40</v>
      </c>
      <c r="G1131" t="s">
        <v>41</v>
      </c>
      <c r="H1131" t="s">
        <v>3445</v>
      </c>
      <c r="I1131" t="s">
        <v>43</v>
      </c>
      <c r="J1131">
        <v>2</v>
      </c>
      <c r="K1131" t="s">
        <v>44</v>
      </c>
      <c r="L1131" t="s">
        <v>45</v>
      </c>
      <c r="M1131" t="s">
        <v>46</v>
      </c>
      <c r="N1131" s="7">
        <v>1</v>
      </c>
      <c r="O1131" s="8">
        <v>45630.62841435185</v>
      </c>
      <c r="P1131" s="9">
        <v>45632</v>
      </c>
      <c r="Q1131" t="s">
        <v>74</v>
      </c>
      <c r="R1131" t="s">
        <v>48</v>
      </c>
      <c r="S1131" t="s">
        <v>49</v>
      </c>
      <c r="T1131" t="s">
        <v>117</v>
      </c>
      <c r="U1131" t="s">
        <v>3446</v>
      </c>
      <c r="V1131">
        <v>43500</v>
      </c>
      <c r="W1131" t="s">
        <v>48</v>
      </c>
      <c r="X1131" t="s">
        <v>53</v>
      </c>
      <c r="Y1131" t="s">
        <v>54</v>
      </c>
      <c r="Z1131" s="12">
        <f>IF(N1131&lt;=1,9,9+0.8*ROUNDUP(N1131-1,0))</f>
        <v>9</v>
      </c>
      <c r="AA1131" s="11">
        <v>-2</v>
      </c>
      <c r="AB1131" s="11">
        <v>0</v>
      </c>
      <c r="AC1131" s="11">
        <v>0</v>
      </c>
      <c r="AD1131" s="11">
        <v>0</v>
      </c>
      <c r="AE1131" s="11">
        <v>0</v>
      </c>
      <c r="AF1131" s="11">
        <f t="shared" si="51"/>
        <v>0.42</v>
      </c>
      <c r="AG1131" s="11">
        <f t="shared" si="52"/>
        <v>7.42</v>
      </c>
      <c r="AH1131" s="11">
        <v>0</v>
      </c>
      <c r="AI1131" s="11">
        <f t="shared" si="53"/>
        <v>7.42</v>
      </c>
      <c r="AJ1131" t="s">
        <v>62</v>
      </c>
    </row>
    <row r="1132" spans="1:36" ht="15" customHeight="1" x14ac:dyDescent="0.35">
      <c r="A1132">
        <v>10428918</v>
      </c>
      <c r="B1132" t="s">
        <v>36</v>
      </c>
      <c r="C1132" t="s">
        <v>37</v>
      </c>
      <c r="D1132" s="6" t="s">
        <v>38</v>
      </c>
      <c r="E1132" t="s">
        <v>3447</v>
      </c>
      <c r="F1132" t="s">
        <v>40</v>
      </c>
      <c r="G1132" t="s">
        <v>41</v>
      </c>
      <c r="H1132" t="s">
        <v>3448</v>
      </c>
      <c r="I1132" t="s">
        <v>43</v>
      </c>
      <c r="J1132">
        <v>2</v>
      </c>
      <c r="K1132" t="s">
        <v>44</v>
      </c>
      <c r="L1132" t="s">
        <v>45</v>
      </c>
      <c r="M1132" t="s">
        <v>46</v>
      </c>
      <c r="N1132" s="7">
        <v>1</v>
      </c>
      <c r="O1132" s="8">
        <v>45629.801249999997</v>
      </c>
      <c r="P1132" s="9">
        <v>45632</v>
      </c>
      <c r="Q1132" t="s">
        <v>74</v>
      </c>
      <c r="R1132" t="s">
        <v>48</v>
      </c>
      <c r="S1132" t="s">
        <v>49</v>
      </c>
      <c r="T1132" t="s">
        <v>161</v>
      </c>
      <c r="U1132" t="s">
        <v>3449</v>
      </c>
      <c r="V1132">
        <v>11500</v>
      </c>
      <c r="W1132" t="s">
        <v>48</v>
      </c>
      <c r="X1132" t="s">
        <v>1973</v>
      </c>
      <c r="Y1132" t="s">
        <v>54</v>
      </c>
      <c r="Z1132" s="12">
        <f>IF(N1132&lt;=1,9,9+0.8*ROUNDUP(N1132-1,0))</f>
        <v>9</v>
      </c>
      <c r="AA1132" s="11">
        <v>-2</v>
      </c>
      <c r="AB1132" s="11">
        <v>0</v>
      </c>
      <c r="AC1132" s="11">
        <v>0</v>
      </c>
      <c r="AD1132" s="11">
        <v>0</v>
      </c>
      <c r="AE1132" s="11">
        <v>0</v>
      </c>
      <c r="AF1132" s="11">
        <f t="shared" si="51"/>
        <v>0.42</v>
      </c>
      <c r="AG1132" s="11">
        <f t="shared" si="52"/>
        <v>7.42</v>
      </c>
      <c r="AH1132" s="11">
        <v>0</v>
      </c>
      <c r="AI1132" s="11">
        <f t="shared" si="53"/>
        <v>7.42</v>
      </c>
      <c r="AJ1132" t="s">
        <v>62</v>
      </c>
    </row>
    <row r="1133" spans="1:36" ht="15" customHeight="1" x14ac:dyDescent="0.35">
      <c r="A1133">
        <v>10428918</v>
      </c>
      <c r="B1133" t="s">
        <v>36</v>
      </c>
      <c r="C1133" t="s">
        <v>37</v>
      </c>
      <c r="D1133" s="6" t="s">
        <v>38</v>
      </c>
      <c r="E1133" t="s">
        <v>3450</v>
      </c>
      <c r="F1133" t="s">
        <v>40</v>
      </c>
      <c r="G1133" t="s">
        <v>41</v>
      </c>
      <c r="H1133" t="s">
        <v>3451</v>
      </c>
      <c r="I1133" t="s">
        <v>43</v>
      </c>
      <c r="J1133">
        <v>2</v>
      </c>
      <c r="K1133" t="s">
        <v>44</v>
      </c>
      <c r="L1133" t="s">
        <v>45</v>
      </c>
      <c r="M1133" t="s">
        <v>46</v>
      </c>
      <c r="N1133" s="7">
        <v>1</v>
      </c>
      <c r="O1133" s="8">
        <v>45629.795775462961</v>
      </c>
      <c r="P1133" s="9">
        <v>45632</v>
      </c>
      <c r="Q1133" t="s">
        <v>74</v>
      </c>
      <c r="R1133" t="s">
        <v>48</v>
      </c>
      <c r="S1133" t="s">
        <v>49</v>
      </c>
      <c r="T1133" t="s">
        <v>117</v>
      </c>
      <c r="U1133" t="s">
        <v>3452</v>
      </c>
      <c r="V1133">
        <v>43100</v>
      </c>
      <c r="W1133" t="s">
        <v>48</v>
      </c>
      <c r="X1133" t="s">
        <v>53</v>
      </c>
      <c r="Y1133" t="s">
        <v>54</v>
      </c>
      <c r="Z1133" s="12">
        <f>IF(N1133&lt;=1,9,9+0.8*ROUNDUP(N1133-1,0))</f>
        <v>9</v>
      </c>
      <c r="AA1133" s="11">
        <v>-2</v>
      </c>
      <c r="AB1133" s="11">
        <v>0</v>
      </c>
      <c r="AC1133" s="11">
        <v>0</v>
      </c>
      <c r="AD1133" s="11">
        <v>0</v>
      </c>
      <c r="AE1133" s="11">
        <v>0</v>
      </c>
      <c r="AF1133" s="11">
        <f t="shared" si="51"/>
        <v>0.42</v>
      </c>
      <c r="AG1133" s="11">
        <f t="shared" si="52"/>
        <v>7.42</v>
      </c>
      <c r="AH1133" s="11">
        <v>0</v>
      </c>
      <c r="AI1133" s="11">
        <f t="shared" si="53"/>
        <v>7.42</v>
      </c>
      <c r="AJ1133" t="s">
        <v>62</v>
      </c>
    </row>
    <row r="1134" spans="1:36" ht="15" customHeight="1" x14ac:dyDescent="0.35">
      <c r="A1134">
        <v>10428918</v>
      </c>
      <c r="B1134" t="s">
        <v>36</v>
      </c>
      <c r="C1134" t="s">
        <v>37</v>
      </c>
      <c r="D1134" s="6" t="s">
        <v>38</v>
      </c>
      <c r="E1134" t="s">
        <v>3453</v>
      </c>
      <c r="F1134" t="s">
        <v>40</v>
      </c>
      <c r="G1134" t="s">
        <v>41</v>
      </c>
      <c r="H1134" t="s">
        <v>3454</v>
      </c>
      <c r="I1134" t="s">
        <v>43</v>
      </c>
      <c r="J1134">
        <v>2</v>
      </c>
      <c r="K1134" t="s">
        <v>44</v>
      </c>
      <c r="L1134" t="s">
        <v>45</v>
      </c>
      <c r="M1134" t="s">
        <v>46</v>
      </c>
      <c r="N1134" s="7">
        <v>5</v>
      </c>
      <c r="O1134" s="8">
        <v>45631.728472222225</v>
      </c>
      <c r="P1134" s="9">
        <v>45632</v>
      </c>
      <c r="Q1134" t="s">
        <v>74</v>
      </c>
      <c r="R1134" t="s">
        <v>48</v>
      </c>
      <c r="S1134" t="s">
        <v>49</v>
      </c>
      <c r="T1134" t="s">
        <v>90</v>
      </c>
      <c r="U1134" t="s">
        <v>3455</v>
      </c>
      <c r="V1134">
        <v>21300</v>
      </c>
      <c r="W1134" t="s">
        <v>48</v>
      </c>
      <c r="X1134" t="s">
        <v>469</v>
      </c>
      <c r="Y1134" t="s">
        <v>54</v>
      </c>
      <c r="Z1134" s="12">
        <f>IF(N1134&lt;=1,9,9+0.8*ROUNDUP(N1134-1,0))</f>
        <v>12.2</v>
      </c>
      <c r="AA1134" s="11">
        <v>-2</v>
      </c>
      <c r="AB1134" s="11">
        <v>0</v>
      </c>
      <c r="AC1134" s="11">
        <v>0</v>
      </c>
      <c r="AD1134" s="11">
        <v>0</v>
      </c>
      <c r="AE1134" s="11">
        <v>0</v>
      </c>
      <c r="AF1134" s="11">
        <f t="shared" si="51"/>
        <v>0.61199999999999999</v>
      </c>
      <c r="AG1134" s="11">
        <f t="shared" si="52"/>
        <v>10.811999999999999</v>
      </c>
      <c r="AH1134" s="11">
        <v>0</v>
      </c>
      <c r="AI1134" s="11">
        <f t="shared" si="53"/>
        <v>10.811999999999999</v>
      </c>
      <c r="AJ1134" t="s">
        <v>62</v>
      </c>
    </row>
    <row r="1135" spans="1:36" ht="15" customHeight="1" x14ac:dyDescent="0.35">
      <c r="A1135">
        <v>10428918</v>
      </c>
      <c r="B1135" t="s">
        <v>36</v>
      </c>
      <c r="C1135" t="s">
        <v>37</v>
      </c>
      <c r="D1135" s="6" t="s">
        <v>38</v>
      </c>
      <c r="E1135" t="s">
        <v>3456</v>
      </c>
      <c r="F1135" t="s">
        <v>40</v>
      </c>
      <c r="G1135" t="s">
        <v>41</v>
      </c>
      <c r="H1135" t="s">
        <v>3457</v>
      </c>
      <c r="I1135" t="s">
        <v>43</v>
      </c>
      <c r="J1135">
        <v>2</v>
      </c>
      <c r="K1135" t="s">
        <v>44</v>
      </c>
      <c r="L1135" t="s">
        <v>45</v>
      </c>
      <c r="M1135" t="s">
        <v>46</v>
      </c>
      <c r="N1135" s="7">
        <v>1</v>
      </c>
      <c r="O1135" s="8">
        <v>45631.764780092592</v>
      </c>
      <c r="P1135" s="9">
        <v>45632</v>
      </c>
      <c r="Q1135" t="s">
        <v>74</v>
      </c>
      <c r="R1135" t="s">
        <v>48</v>
      </c>
      <c r="S1135" t="s">
        <v>49</v>
      </c>
      <c r="T1135" t="s">
        <v>75</v>
      </c>
      <c r="U1135" t="s">
        <v>3458</v>
      </c>
      <c r="V1135">
        <v>25150</v>
      </c>
      <c r="W1135" t="s">
        <v>48</v>
      </c>
      <c r="X1135" t="s">
        <v>77</v>
      </c>
      <c r="Y1135" t="s">
        <v>54</v>
      </c>
      <c r="Z1135" s="12">
        <f>IF(N1135&lt;=1,9,9+0.8*ROUNDUP(N1135-1,0))</f>
        <v>9</v>
      </c>
      <c r="AA1135" s="11">
        <v>-2</v>
      </c>
      <c r="AB1135" s="11">
        <v>0</v>
      </c>
      <c r="AC1135" s="11">
        <v>0</v>
      </c>
      <c r="AD1135" s="11">
        <v>0</v>
      </c>
      <c r="AE1135" s="11">
        <v>0</v>
      </c>
      <c r="AF1135" s="11">
        <f t="shared" si="51"/>
        <v>0.42</v>
      </c>
      <c r="AG1135" s="11">
        <f t="shared" si="52"/>
        <v>7.42</v>
      </c>
      <c r="AH1135" s="11">
        <v>0</v>
      </c>
      <c r="AI1135" s="11">
        <f t="shared" si="53"/>
        <v>7.42</v>
      </c>
      <c r="AJ1135" t="s">
        <v>62</v>
      </c>
    </row>
    <row r="1136" spans="1:36" ht="15" customHeight="1" x14ac:dyDescent="0.35">
      <c r="A1136">
        <v>10428918</v>
      </c>
      <c r="B1136" t="s">
        <v>36</v>
      </c>
      <c r="C1136" t="s">
        <v>37</v>
      </c>
      <c r="D1136" s="6" t="s">
        <v>38</v>
      </c>
      <c r="E1136" t="s">
        <v>3459</v>
      </c>
      <c r="F1136" t="s">
        <v>40</v>
      </c>
      <c r="G1136" t="s">
        <v>41</v>
      </c>
      <c r="H1136" t="s">
        <v>3460</v>
      </c>
      <c r="I1136" t="s">
        <v>43</v>
      </c>
      <c r="J1136">
        <v>2</v>
      </c>
      <c r="K1136" t="s">
        <v>44</v>
      </c>
      <c r="L1136" t="s">
        <v>45</v>
      </c>
      <c r="M1136" t="s">
        <v>46</v>
      </c>
      <c r="N1136" s="7">
        <v>1</v>
      </c>
      <c r="O1136" s="8">
        <v>45630.43136574074</v>
      </c>
      <c r="P1136" s="9">
        <v>45632</v>
      </c>
      <c r="Q1136" t="s">
        <v>74</v>
      </c>
      <c r="R1136" t="s">
        <v>48</v>
      </c>
      <c r="S1136" t="s">
        <v>49</v>
      </c>
      <c r="T1136" t="s">
        <v>80</v>
      </c>
      <c r="U1136" t="s">
        <v>3461</v>
      </c>
      <c r="V1136">
        <v>6700</v>
      </c>
      <c r="W1136" t="s">
        <v>48</v>
      </c>
      <c r="X1136" t="s">
        <v>53</v>
      </c>
      <c r="Y1136" t="s">
        <v>54</v>
      </c>
      <c r="Z1136" s="12">
        <f>IF(N1136&lt;=1,9,9+0.8*ROUNDUP(N1136-1,0))</f>
        <v>9</v>
      </c>
      <c r="AA1136" s="11">
        <v>-2</v>
      </c>
      <c r="AB1136" s="11">
        <v>0</v>
      </c>
      <c r="AC1136" s="11">
        <v>0</v>
      </c>
      <c r="AD1136" s="11">
        <v>0</v>
      </c>
      <c r="AE1136" s="11">
        <v>0</v>
      </c>
      <c r="AF1136" s="11">
        <f t="shared" si="51"/>
        <v>0.42</v>
      </c>
      <c r="AG1136" s="11">
        <f t="shared" si="52"/>
        <v>7.42</v>
      </c>
      <c r="AH1136" s="11">
        <v>0</v>
      </c>
      <c r="AI1136" s="11">
        <f t="shared" si="53"/>
        <v>7.42</v>
      </c>
      <c r="AJ1136" t="s">
        <v>62</v>
      </c>
    </row>
    <row r="1137" spans="1:36" ht="15" customHeight="1" x14ac:dyDescent="0.35">
      <c r="A1137">
        <v>10428918</v>
      </c>
      <c r="B1137" t="s">
        <v>36</v>
      </c>
      <c r="C1137" t="s">
        <v>37</v>
      </c>
      <c r="D1137" s="6" t="s">
        <v>38</v>
      </c>
      <c r="E1137" t="s">
        <v>3462</v>
      </c>
      <c r="F1137" t="s">
        <v>40</v>
      </c>
      <c r="G1137" t="s">
        <v>41</v>
      </c>
      <c r="H1137" t="s">
        <v>3463</v>
      </c>
      <c r="I1137" t="s">
        <v>43</v>
      </c>
      <c r="J1137">
        <v>2</v>
      </c>
      <c r="K1137" t="s">
        <v>44</v>
      </c>
      <c r="L1137" t="s">
        <v>45</v>
      </c>
      <c r="M1137" t="s">
        <v>46</v>
      </c>
      <c r="N1137" s="7">
        <v>1</v>
      </c>
      <c r="O1137" s="8">
        <v>45629.775983796295</v>
      </c>
      <c r="P1137" s="9">
        <v>45632</v>
      </c>
      <c r="Q1137" t="s">
        <v>74</v>
      </c>
      <c r="R1137" t="s">
        <v>48</v>
      </c>
      <c r="S1137" t="s">
        <v>49</v>
      </c>
      <c r="T1137" t="s">
        <v>161</v>
      </c>
      <c r="U1137" t="s">
        <v>3464</v>
      </c>
      <c r="V1137">
        <v>13300</v>
      </c>
      <c r="W1137" t="s">
        <v>48</v>
      </c>
      <c r="X1137" t="s">
        <v>53</v>
      </c>
      <c r="Y1137" t="s">
        <v>54</v>
      </c>
      <c r="Z1137" s="12">
        <f>IF(N1137&lt;=1,9,9+0.8*ROUNDUP(N1137-1,0))</f>
        <v>9</v>
      </c>
      <c r="AA1137" s="11">
        <v>-2</v>
      </c>
      <c r="AB1137" s="11">
        <v>0</v>
      </c>
      <c r="AC1137" s="11">
        <v>0</v>
      </c>
      <c r="AD1137" s="11">
        <v>0</v>
      </c>
      <c r="AE1137" s="11">
        <v>0</v>
      </c>
      <c r="AF1137" s="11">
        <f t="shared" si="51"/>
        <v>0.42</v>
      </c>
      <c r="AG1137" s="11">
        <f t="shared" si="52"/>
        <v>7.42</v>
      </c>
      <c r="AH1137" s="11">
        <v>0</v>
      </c>
      <c r="AI1137" s="11">
        <f t="shared" si="53"/>
        <v>7.42</v>
      </c>
      <c r="AJ1137" t="s">
        <v>62</v>
      </c>
    </row>
    <row r="1138" spans="1:36" ht="15" customHeight="1" x14ac:dyDescent="0.35">
      <c r="A1138">
        <v>10428918</v>
      </c>
      <c r="B1138" t="s">
        <v>36</v>
      </c>
      <c r="C1138" t="s">
        <v>37</v>
      </c>
      <c r="D1138" s="6" t="s">
        <v>38</v>
      </c>
      <c r="E1138" t="s">
        <v>3465</v>
      </c>
      <c r="F1138" t="s">
        <v>40</v>
      </c>
      <c r="G1138" t="s">
        <v>41</v>
      </c>
      <c r="H1138" t="s">
        <v>3466</v>
      </c>
      <c r="I1138" t="s">
        <v>43</v>
      </c>
      <c r="J1138">
        <v>2</v>
      </c>
      <c r="K1138" t="s">
        <v>44</v>
      </c>
      <c r="L1138" t="s">
        <v>45</v>
      </c>
      <c r="M1138" t="s">
        <v>46</v>
      </c>
      <c r="N1138" s="7">
        <v>1</v>
      </c>
      <c r="O1138" s="8">
        <v>45631.542546296296</v>
      </c>
      <c r="P1138" s="9">
        <v>45632</v>
      </c>
      <c r="Q1138" t="s">
        <v>74</v>
      </c>
      <c r="R1138" t="s">
        <v>48</v>
      </c>
      <c r="S1138" t="s">
        <v>49</v>
      </c>
      <c r="T1138" t="s">
        <v>90</v>
      </c>
      <c r="U1138" t="s">
        <v>3467</v>
      </c>
      <c r="V1138">
        <v>22200</v>
      </c>
      <c r="W1138" t="s">
        <v>48</v>
      </c>
      <c r="X1138" t="s">
        <v>61</v>
      </c>
      <c r="Y1138" t="s">
        <v>54</v>
      </c>
      <c r="Z1138" s="12">
        <f>IF(N1138&lt;=1,9,9+0.8*ROUNDUP(N1138-1,0))</f>
        <v>9</v>
      </c>
      <c r="AA1138" s="11">
        <v>-2</v>
      </c>
      <c r="AB1138" s="11">
        <v>0</v>
      </c>
      <c r="AC1138" s="11">
        <v>0</v>
      </c>
      <c r="AD1138" s="11">
        <v>0</v>
      </c>
      <c r="AE1138" s="11">
        <v>0</v>
      </c>
      <c r="AF1138" s="11">
        <f t="shared" si="51"/>
        <v>0.42</v>
      </c>
      <c r="AG1138" s="11">
        <f t="shared" si="52"/>
        <v>7.42</v>
      </c>
      <c r="AH1138" s="11">
        <v>0</v>
      </c>
      <c r="AI1138" s="11">
        <f t="shared" si="53"/>
        <v>7.42</v>
      </c>
      <c r="AJ1138" t="s">
        <v>62</v>
      </c>
    </row>
    <row r="1139" spans="1:36" ht="15" customHeight="1" x14ac:dyDescent="0.35">
      <c r="A1139">
        <v>10428918</v>
      </c>
      <c r="B1139" t="s">
        <v>36</v>
      </c>
      <c r="C1139" t="s">
        <v>37</v>
      </c>
      <c r="D1139" s="6" t="s">
        <v>38</v>
      </c>
      <c r="E1139" t="s">
        <v>3468</v>
      </c>
      <c r="F1139" t="s">
        <v>40</v>
      </c>
      <c r="G1139" t="s">
        <v>41</v>
      </c>
      <c r="H1139" t="s">
        <v>3469</v>
      </c>
      <c r="I1139" t="s">
        <v>43</v>
      </c>
      <c r="J1139">
        <v>2</v>
      </c>
      <c r="K1139" t="s">
        <v>44</v>
      </c>
      <c r="L1139" t="s">
        <v>45</v>
      </c>
      <c r="M1139" t="s">
        <v>46</v>
      </c>
      <c r="N1139" s="7">
        <v>1</v>
      </c>
      <c r="O1139" s="8">
        <v>45629.795775462961</v>
      </c>
      <c r="P1139" s="9">
        <v>45632</v>
      </c>
      <c r="Q1139" t="s">
        <v>74</v>
      </c>
      <c r="R1139" t="s">
        <v>48</v>
      </c>
      <c r="S1139" t="s">
        <v>49</v>
      </c>
      <c r="T1139" t="s">
        <v>161</v>
      </c>
      <c r="U1139" t="s">
        <v>3470</v>
      </c>
      <c r="V1139">
        <v>13200</v>
      </c>
      <c r="W1139" t="s">
        <v>48</v>
      </c>
      <c r="X1139" t="s">
        <v>812</v>
      </c>
      <c r="Y1139" t="s">
        <v>54</v>
      </c>
      <c r="Z1139" s="12">
        <f>IF(N1139&lt;=1,9,9+0.8*ROUNDUP(N1139-1,0))</f>
        <v>9</v>
      </c>
      <c r="AA1139" s="11">
        <v>-2</v>
      </c>
      <c r="AB1139" s="11">
        <v>0</v>
      </c>
      <c r="AC1139" s="11">
        <v>0</v>
      </c>
      <c r="AD1139" s="11">
        <v>0</v>
      </c>
      <c r="AE1139" s="11">
        <v>0</v>
      </c>
      <c r="AF1139" s="11">
        <f t="shared" si="51"/>
        <v>0.42</v>
      </c>
      <c r="AG1139" s="11">
        <f t="shared" si="52"/>
        <v>7.42</v>
      </c>
      <c r="AH1139" s="11">
        <v>0</v>
      </c>
      <c r="AI1139" s="11">
        <f t="shared" si="53"/>
        <v>7.42</v>
      </c>
      <c r="AJ1139" t="s">
        <v>62</v>
      </c>
    </row>
    <row r="1140" spans="1:36" ht="15" customHeight="1" x14ac:dyDescent="0.35">
      <c r="A1140">
        <v>10428918</v>
      </c>
      <c r="B1140" t="s">
        <v>36</v>
      </c>
      <c r="C1140" t="s">
        <v>37</v>
      </c>
      <c r="D1140" s="6" t="s">
        <v>38</v>
      </c>
      <c r="E1140" t="s">
        <v>3471</v>
      </c>
      <c r="F1140" t="s">
        <v>40</v>
      </c>
      <c r="G1140" t="s">
        <v>41</v>
      </c>
      <c r="H1140" t="s">
        <v>3472</v>
      </c>
      <c r="I1140" t="s">
        <v>43</v>
      </c>
      <c r="J1140">
        <v>2</v>
      </c>
      <c r="K1140" t="s">
        <v>44</v>
      </c>
      <c r="L1140" t="s">
        <v>45</v>
      </c>
      <c r="M1140" t="s">
        <v>46</v>
      </c>
      <c r="N1140" s="7">
        <v>1</v>
      </c>
      <c r="O1140" s="8">
        <v>45629.808981481481</v>
      </c>
      <c r="P1140" s="9">
        <v>45632</v>
      </c>
      <c r="Q1140" t="s">
        <v>74</v>
      </c>
      <c r="R1140" t="s">
        <v>48</v>
      </c>
      <c r="S1140" t="s">
        <v>49</v>
      </c>
      <c r="T1140" t="s">
        <v>85</v>
      </c>
      <c r="U1140" t="s">
        <v>3473</v>
      </c>
      <c r="V1140">
        <v>71800</v>
      </c>
      <c r="W1140" t="s">
        <v>48</v>
      </c>
      <c r="X1140" t="s">
        <v>53</v>
      </c>
      <c r="Y1140" t="s">
        <v>54</v>
      </c>
      <c r="Z1140" s="12">
        <f>IF(N1140&lt;=1,9,9+0.8*ROUNDUP(N1140-1,0))</f>
        <v>9</v>
      </c>
      <c r="AA1140" s="11">
        <v>-2</v>
      </c>
      <c r="AB1140" s="11">
        <v>0</v>
      </c>
      <c r="AC1140" s="11">
        <v>0</v>
      </c>
      <c r="AD1140" s="11">
        <v>0</v>
      </c>
      <c r="AE1140" s="11">
        <v>0</v>
      </c>
      <c r="AF1140" s="11">
        <f t="shared" si="51"/>
        <v>0.42</v>
      </c>
      <c r="AG1140" s="11">
        <f t="shared" si="52"/>
        <v>7.42</v>
      </c>
      <c r="AH1140" s="11">
        <v>0</v>
      </c>
      <c r="AI1140" s="11">
        <f t="shared" si="53"/>
        <v>7.42</v>
      </c>
      <c r="AJ1140" t="s">
        <v>62</v>
      </c>
    </row>
    <row r="1141" spans="1:36" ht="15" customHeight="1" x14ac:dyDescent="0.35">
      <c r="A1141">
        <v>10428918</v>
      </c>
      <c r="B1141" t="s">
        <v>36</v>
      </c>
      <c r="C1141" t="s">
        <v>37</v>
      </c>
      <c r="D1141" s="6" t="s">
        <v>38</v>
      </c>
      <c r="E1141" t="s">
        <v>3474</v>
      </c>
      <c r="F1141" t="s">
        <v>40</v>
      </c>
      <c r="G1141" t="s">
        <v>41</v>
      </c>
      <c r="H1141" t="s">
        <v>3475</v>
      </c>
      <c r="I1141" t="s">
        <v>43</v>
      </c>
      <c r="J1141">
        <v>2</v>
      </c>
      <c r="K1141" t="s">
        <v>44</v>
      </c>
      <c r="L1141" t="s">
        <v>45</v>
      </c>
      <c r="M1141" t="s">
        <v>46</v>
      </c>
      <c r="N1141" s="7">
        <v>1</v>
      </c>
      <c r="O1141" s="8">
        <v>45630.449374999997</v>
      </c>
      <c r="P1141" s="9">
        <v>45632</v>
      </c>
      <c r="Q1141" t="s">
        <v>74</v>
      </c>
      <c r="R1141" t="s">
        <v>48</v>
      </c>
      <c r="S1141" t="s">
        <v>49</v>
      </c>
      <c r="T1141" t="s">
        <v>161</v>
      </c>
      <c r="U1141" t="s">
        <v>3476</v>
      </c>
      <c r="V1141">
        <v>13500</v>
      </c>
      <c r="W1141" t="s">
        <v>48</v>
      </c>
      <c r="X1141" t="s">
        <v>418</v>
      </c>
      <c r="Y1141" t="s">
        <v>54</v>
      </c>
      <c r="Z1141" s="12">
        <f>IF(N1141&lt;=1,9,9+0.8*ROUNDUP(N1141-1,0))</f>
        <v>9</v>
      </c>
      <c r="AA1141" s="11">
        <v>-2</v>
      </c>
      <c r="AB1141" s="11">
        <v>0</v>
      </c>
      <c r="AC1141" s="11">
        <v>0</v>
      </c>
      <c r="AD1141" s="11">
        <v>0</v>
      </c>
      <c r="AE1141" s="11">
        <v>0</v>
      </c>
      <c r="AF1141" s="11">
        <f t="shared" si="51"/>
        <v>0.42</v>
      </c>
      <c r="AG1141" s="11">
        <f t="shared" si="52"/>
        <v>7.42</v>
      </c>
      <c r="AH1141" s="11">
        <v>0</v>
      </c>
      <c r="AI1141" s="11">
        <f t="shared" si="53"/>
        <v>7.42</v>
      </c>
      <c r="AJ1141" t="s">
        <v>62</v>
      </c>
    </row>
    <row r="1142" spans="1:36" ht="15" customHeight="1" x14ac:dyDescent="0.35">
      <c r="A1142">
        <v>10428918</v>
      </c>
      <c r="B1142" t="s">
        <v>36</v>
      </c>
      <c r="C1142" t="s">
        <v>37</v>
      </c>
      <c r="D1142" s="6" t="s">
        <v>38</v>
      </c>
      <c r="E1142" t="s">
        <v>3477</v>
      </c>
      <c r="F1142" t="s">
        <v>40</v>
      </c>
      <c r="G1142" t="s">
        <v>41</v>
      </c>
      <c r="H1142" t="s">
        <v>3478</v>
      </c>
      <c r="I1142" t="s">
        <v>43</v>
      </c>
      <c r="J1142">
        <v>2</v>
      </c>
      <c r="K1142" t="s">
        <v>44</v>
      </c>
      <c r="L1142" t="s">
        <v>45</v>
      </c>
      <c r="M1142" t="s">
        <v>46</v>
      </c>
      <c r="N1142" s="7">
        <v>1</v>
      </c>
      <c r="O1142" s="8">
        <v>45631.441423611112</v>
      </c>
      <c r="P1142" s="9">
        <v>45632</v>
      </c>
      <c r="Q1142" t="s">
        <v>74</v>
      </c>
      <c r="R1142" t="s">
        <v>48</v>
      </c>
      <c r="S1142" t="s">
        <v>49</v>
      </c>
      <c r="T1142" t="s">
        <v>75</v>
      </c>
      <c r="U1142" t="s">
        <v>3479</v>
      </c>
      <c r="V1142">
        <v>28200</v>
      </c>
      <c r="W1142" t="s">
        <v>48</v>
      </c>
      <c r="X1142" t="s">
        <v>77</v>
      </c>
      <c r="Y1142" t="s">
        <v>54</v>
      </c>
      <c r="Z1142" s="12">
        <f>IF(N1142&lt;=1,9,9+0.8*ROUNDUP(N1142-1,0))</f>
        <v>9</v>
      </c>
      <c r="AA1142" s="11">
        <v>-2</v>
      </c>
      <c r="AB1142" s="11">
        <v>0</v>
      </c>
      <c r="AC1142" s="11">
        <v>0</v>
      </c>
      <c r="AD1142" s="11">
        <v>0</v>
      </c>
      <c r="AE1142" s="11">
        <v>0</v>
      </c>
      <c r="AF1142" s="11">
        <f t="shared" si="51"/>
        <v>0.42</v>
      </c>
      <c r="AG1142" s="11">
        <f t="shared" si="52"/>
        <v>7.42</v>
      </c>
      <c r="AH1142" s="11">
        <v>0</v>
      </c>
      <c r="AI1142" s="11">
        <f t="shared" si="53"/>
        <v>7.42</v>
      </c>
      <c r="AJ1142" t="s">
        <v>62</v>
      </c>
    </row>
    <row r="1143" spans="1:36" ht="15" customHeight="1" x14ac:dyDescent="0.35">
      <c r="A1143">
        <v>10428918</v>
      </c>
      <c r="B1143" t="s">
        <v>36</v>
      </c>
      <c r="C1143" t="s">
        <v>37</v>
      </c>
      <c r="D1143" s="6" t="s">
        <v>38</v>
      </c>
      <c r="E1143" t="s">
        <v>3480</v>
      </c>
      <c r="F1143" t="s">
        <v>40</v>
      </c>
      <c r="G1143" t="s">
        <v>41</v>
      </c>
      <c r="H1143" t="s">
        <v>1031</v>
      </c>
      <c r="I1143" t="s">
        <v>43</v>
      </c>
      <c r="J1143">
        <v>2</v>
      </c>
      <c r="K1143" t="s">
        <v>44</v>
      </c>
      <c r="L1143" t="s">
        <v>45</v>
      </c>
      <c r="M1143" t="s">
        <v>46</v>
      </c>
      <c r="N1143" s="7">
        <v>2</v>
      </c>
      <c r="O1143" s="8">
        <v>45631.45039351852</v>
      </c>
      <c r="P1143" s="9">
        <v>45632</v>
      </c>
      <c r="Q1143" t="s">
        <v>74</v>
      </c>
      <c r="R1143" t="s">
        <v>48</v>
      </c>
      <c r="S1143" t="s">
        <v>49</v>
      </c>
      <c r="T1143" t="s">
        <v>59</v>
      </c>
      <c r="U1143" t="s">
        <v>1032</v>
      </c>
      <c r="V1143">
        <v>17040</v>
      </c>
      <c r="W1143" t="s">
        <v>48</v>
      </c>
      <c r="X1143" t="s">
        <v>61</v>
      </c>
      <c r="Y1143" t="s">
        <v>54</v>
      </c>
      <c r="Z1143" s="12">
        <f>IF(N1143&lt;=1,9,9+0.8*ROUNDUP(N1143-1,0))</f>
        <v>9.8000000000000007</v>
      </c>
      <c r="AA1143" s="11">
        <v>-2</v>
      </c>
      <c r="AB1143" s="11">
        <v>0</v>
      </c>
      <c r="AC1143" s="11">
        <v>0</v>
      </c>
      <c r="AD1143" s="11">
        <v>0</v>
      </c>
      <c r="AE1143" s="11">
        <v>0</v>
      </c>
      <c r="AF1143" s="11">
        <f t="shared" si="51"/>
        <v>0.46800000000000003</v>
      </c>
      <c r="AG1143" s="11">
        <f t="shared" si="52"/>
        <v>8.2680000000000007</v>
      </c>
      <c r="AH1143" s="11">
        <v>0</v>
      </c>
      <c r="AI1143" s="11">
        <f t="shared" si="53"/>
        <v>8.2680000000000007</v>
      </c>
      <c r="AJ1143" t="s">
        <v>62</v>
      </c>
    </row>
    <row r="1144" spans="1:36" ht="15" customHeight="1" x14ac:dyDescent="0.35">
      <c r="A1144">
        <v>10428918</v>
      </c>
      <c r="B1144" t="s">
        <v>36</v>
      </c>
      <c r="C1144" t="s">
        <v>37</v>
      </c>
      <c r="D1144" s="6" t="s">
        <v>38</v>
      </c>
      <c r="E1144" t="s">
        <v>3481</v>
      </c>
      <c r="F1144" t="s">
        <v>40</v>
      </c>
      <c r="G1144" t="s">
        <v>41</v>
      </c>
      <c r="H1144" t="s">
        <v>3482</v>
      </c>
      <c r="I1144" t="s">
        <v>43</v>
      </c>
      <c r="J1144">
        <v>2</v>
      </c>
      <c r="K1144" t="s">
        <v>44</v>
      </c>
      <c r="L1144" t="s">
        <v>45</v>
      </c>
      <c r="M1144" t="s">
        <v>46</v>
      </c>
      <c r="N1144" s="7">
        <v>1</v>
      </c>
      <c r="O1144" s="8">
        <v>45629.801238425927</v>
      </c>
      <c r="P1144" s="9">
        <v>45632</v>
      </c>
      <c r="Q1144" t="s">
        <v>74</v>
      </c>
      <c r="R1144" t="s">
        <v>48</v>
      </c>
      <c r="S1144" t="s">
        <v>49</v>
      </c>
      <c r="T1144" t="s">
        <v>69</v>
      </c>
      <c r="U1144" t="s">
        <v>3483</v>
      </c>
      <c r="V1144">
        <v>81300</v>
      </c>
      <c r="W1144" t="s">
        <v>48</v>
      </c>
      <c r="X1144" t="s">
        <v>53</v>
      </c>
      <c r="Y1144" t="s">
        <v>54</v>
      </c>
      <c r="Z1144" s="12">
        <f>IF(N1144&lt;=1,9,9+0.8*ROUNDUP(N1144-1,0))</f>
        <v>9</v>
      </c>
      <c r="AA1144" s="11">
        <v>-2</v>
      </c>
      <c r="AB1144" s="11">
        <v>0</v>
      </c>
      <c r="AC1144" s="11">
        <v>0</v>
      </c>
      <c r="AD1144" s="11">
        <v>0</v>
      </c>
      <c r="AE1144" s="11">
        <v>0</v>
      </c>
      <c r="AF1144" s="11">
        <f t="shared" si="51"/>
        <v>0.42</v>
      </c>
      <c r="AG1144" s="11">
        <f t="shared" si="52"/>
        <v>7.42</v>
      </c>
      <c r="AH1144" s="11">
        <v>0</v>
      </c>
      <c r="AI1144" s="11">
        <f t="shared" si="53"/>
        <v>7.42</v>
      </c>
      <c r="AJ1144" t="s">
        <v>62</v>
      </c>
    </row>
    <row r="1145" spans="1:36" ht="15" customHeight="1" x14ac:dyDescent="0.35">
      <c r="A1145">
        <v>10428918</v>
      </c>
      <c r="B1145" t="s">
        <v>36</v>
      </c>
      <c r="C1145" t="s">
        <v>37</v>
      </c>
      <c r="D1145" s="6" t="s">
        <v>38</v>
      </c>
      <c r="E1145" t="s">
        <v>3484</v>
      </c>
      <c r="F1145" t="s">
        <v>40</v>
      </c>
      <c r="G1145" t="s">
        <v>41</v>
      </c>
      <c r="H1145" t="s">
        <v>3485</v>
      </c>
      <c r="I1145" t="s">
        <v>43</v>
      </c>
      <c r="J1145">
        <v>2</v>
      </c>
      <c r="K1145" t="s">
        <v>44</v>
      </c>
      <c r="L1145" t="s">
        <v>45</v>
      </c>
      <c r="M1145" t="s">
        <v>46</v>
      </c>
      <c r="N1145" s="7">
        <v>14</v>
      </c>
      <c r="O1145" s="8">
        <v>45630.410208333335</v>
      </c>
      <c r="P1145" s="9">
        <v>45632</v>
      </c>
      <c r="Q1145" t="s">
        <v>74</v>
      </c>
      <c r="R1145" t="s">
        <v>48</v>
      </c>
      <c r="S1145" t="s">
        <v>49</v>
      </c>
      <c r="T1145" t="s">
        <v>161</v>
      </c>
      <c r="U1145" t="s">
        <v>3486</v>
      </c>
      <c r="V1145">
        <v>14300</v>
      </c>
      <c r="W1145" t="s">
        <v>48</v>
      </c>
      <c r="X1145" t="s">
        <v>666</v>
      </c>
      <c r="Y1145" t="s">
        <v>54</v>
      </c>
      <c r="Z1145" s="12">
        <f>IF(N1145&lt;=1,9,9+0.8*ROUNDUP(N1145-1,0))</f>
        <v>19.399999999999999</v>
      </c>
      <c r="AA1145" s="11">
        <v>-2</v>
      </c>
      <c r="AB1145" s="11">
        <v>0</v>
      </c>
      <c r="AC1145" s="11">
        <v>0</v>
      </c>
      <c r="AD1145" s="11">
        <v>0</v>
      </c>
      <c r="AE1145" s="11">
        <v>0</v>
      </c>
      <c r="AF1145" s="11">
        <f t="shared" si="51"/>
        <v>1.0439999999999998</v>
      </c>
      <c r="AG1145" s="11">
        <f t="shared" si="52"/>
        <v>18.443999999999999</v>
      </c>
      <c r="AH1145" s="11">
        <v>0</v>
      </c>
      <c r="AI1145" s="11">
        <f t="shared" si="53"/>
        <v>18.443999999999999</v>
      </c>
      <c r="AJ1145" t="s">
        <v>62</v>
      </c>
    </row>
    <row r="1146" spans="1:36" ht="15" customHeight="1" x14ac:dyDescent="0.35">
      <c r="A1146">
        <v>10428918</v>
      </c>
      <c r="B1146" t="s">
        <v>36</v>
      </c>
      <c r="C1146" t="s">
        <v>37</v>
      </c>
      <c r="D1146" s="6" t="s">
        <v>38</v>
      </c>
      <c r="E1146" t="s">
        <v>3487</v>
      </c>
      <c r="F1146" t="s">
        <v>40</v>
      </c>
      <c r="G1146" t="s">
        <v>41</v>
      </c>
      <c r="H1146" t="s">
        <v>3488</v>
      </c>
      <c r="I1146" t="s">
        <v>43</v>
      </c>
      <c r="J1146">
        <v>2</v>
      </c>
      <c r="K1146" t="s">
        <v>44</v>
      </c>
      <c r="L1146" t="s">
        <v>45</v>
      </c>
      <c r="M1146" t="s">
        <v>46</v>
      </c>
      <c r="N1146" s="7">
        <v>1</v>
      </c>
      <c r="O1146" s="8">
        <v>45630.415405092594</v>
      </c>
      <c r="P1146" s="9">
        <v>45632</v>
      </c>
      <c r="Q1146" t="s">
        <v>74</v>
      </c>
      <c r="R1146" t="s">
        <v>48</v>
      </c>
      <c r="S1146" t="s">
        <v>49</v>
      </c>
      <c r="T1146" t="s">
        <v>65</v>
      </c>
      <c r="U1146" t="s">
        <v>3489</v>
      </c>
      <c r="V1146">
        <v>75350</v>
      </c>
      <c r="W1146" t="s">
        <v>48</v>
      </c>
      <c r="X1146" t="s">
        <v>53</v>
      </c>
      <c r="Y1146" t="s">
        <v>54</v>
      </c>
      <c r="Z1146" s="12">
        <f>IF(N1146&lt;=1,9,9+0.8*ROUNDUP(N1146-1,0))</f>
        <v>9</v>
      </c>
      <c r="AA1146" s="11">
        <v>-2</v>
      </c>
      <c r="AB1146" s="11">
        <v>0</v>
      </c>
      <c r="AC1146" s="11">
        <v>0</v>
      </c>
      <c r="AD1146" s="11">
        <v>0</v>
      </c>
      <c r="AE1146" s="11">
        <v>0</v>
      </c>
      <c r="AF1146" s="11">
        <f t="shared" si="51"/>
        <v>0.42</v>
      </c>
      <c r="AG1146" s="11">
        <f t="shared" si="52"/>
        <v>7.42</v>
      </c>
      <c r="AH1146" s="11">
        <v>0</v>
      </c>
      <c r="AI1146" s="11">
        <f t="shared" si="53"/>
        <v>7.42</v>
      </c>
      <c r="AJ1146" t="s">
        <v>62</v>
      </c>
    </row>
    <row r="1147" spans="1:36" ht="15" customHeight="1" x14ac:dyDescent="0.35">
      <c r="A1147">
        <v>10428918</v>
      </c>
      <c r="B1147" t="s">
        <v>36</v>
      </c>
      <c r="C1147" t="s">
        <v>37</v>
      </c>
      <c r="D1147" s="6" t="s">
        <v>38</v>
      </c>
      <c r="E1147" t="s">
        <v>3490</v>
      </c>
      <c r="F1147" t="s">
        <v>40</v>
      </c>
      <c r="G1147" t="s">
        <v>41</v>
      </c>
      <c r="H1147" t="s">
        <v>3491</v>
      </c>
      <c r="I1147" t="s">
        <v>43</v>
      </c>
      <c r="J1147">
        <v>2</v>
      </c>
      <c r="K1147" t="s">
        <v>44</v>
      </c>
      <c r="L1147" t="s">
        <v>45</v>
      </c>
      <c r="M1147" t="s">
        <v>46</v>
      </c>
      <c r="N1147" s="7">
        <v>1</v>
      </c>
      <c r="O1147" s="8">
        <v>45631.601689814815</v>
      </c>
      <c r="P1147" s="9">
        <v>45632</v>
      </c>
      <c r="Q1147" t="s">
        <v>74</v>
      </c>
      <c r="R1147" t="s">
        <v>48</v>
      </c>
      <c r="S1147" t="s">
        <v>49</v>
      </c>
      <c r="T1147" t="s">
        <v>170</v>
      </c>
      <c r="U1147" t="s">
        <v>3492</v>
      </c>
      <c r="V1147">
        <v>54200</v>
      </c>
      <c r="W1147" t="s">
        <v>48</v>
      </c>
      <c r="X1147" t="s">
        <v>1329</v>
      </c>
      <c r="Y1147" t="s">
        <v>54</v>
      </c>
      <c r="Z1147" s="12">
        <f>IF(N1147&lt;=1,9,9+0.8*ROUNDUP(N1147-1,0))</f>
        <v>9</v>
      </c>
      <c r="AA1147" s="11">
        <v>-2</v>
      </c>
      <c r="AB1147" s="11">
        <v>0</v>
      </c>
      <c r="AC1147" s="11">
        <v>0</v>
      </c>
      <c r="AD1147" s="11">
        <v>0</v>
      </c>
      <c r="AE1147" s="11">
        <v>0</v>
      </c>
      <c r="AF1147" s="11">
        <f t="shared" si="51"/>
        <v>0.42</v>
      </c>
      <c r="AG1147" s="11">
        <f t="shared" si="52"/>
        <v>7.42</v>
      </c>
      <c r="AH1147" s="11">
        <v>0</v>
      </c>
      <c r="AI1147" s="11">
        <f t="shared" si="53"/>
        <v>7.42</v>
      </c>
      <c r="AJ1147" t="s">
        <v>62</v>
      </c>
    </row>
    <row r="1148" spans="1:36" ht="15" customHeight="1" x14ac:dyDescent="0.35">
      <c r="A1148">
        <v>10428918</v>
      </c>
      <c r="B1148" t="s">
        <v>36</v>
      </c>
      <c r="C1148" t="s">
        <v>37</v>
      </c>
      <c r="D1148" s="6" t="s">
        <v>38</v>
      </c>
      <c r="E1148" t="s">
        <v>3493</v>
      </c>
      <c r="F1148" t="s">
        <v>40</v>
      </c>
      <c r="G1148" t="s">
        <v>41</v>
      </c>
      <c r="H1148" t="s">
        <v>3494</v>
      </c>
      <c r="I1148" t="s">
        <v>43</v>
      </c>
      <c r="J1148">
        <v>2</v>
      </c>
      <c r="K1148" t="s">
        <v>44</v>
      </c>
      <c r="L1148" t="s">
        <v>45</v>
      </c>
      <c r="M1148" t="s">
        <v>46</v>
      </c>
      <c r="N1148" s="7">
        <v>2</v>
      </c>
      <c r="O1148" s="8">
        <v>45631.454155092593</v>
      </c>
      <c r="P1148" s="9">
        <v>45632</v>
      </c>
      <c r="Q1148" t="s">
        <v>74</v>
      </c>
      <c r="R1148" t="s">
        <v>48</v>
      </c>
      <c r="S1148" t="s">
        <v>49</v>
      </c>
      <c r="T1148" t="s">
        <v>117</v>
      </c>
      <c r="U1148" t="s">
        <v>3495</v>
      </c>
      <c r="V1148">
        <v>42920</v>
      </c>
      <c r="W1148" t="s">
        <v>48</v>
      </c>
      <c r="X1148" t="s">
        <v>149</v>
      </c>
      <c r="Y1148" t="s">
        <v>54</v>
      </c>
      <c r="Z1148" s="12">
        <f>IF(N1148&lt;=1,9,9+0.8*ROUNDUP(N1148-1,0))</f>
        <v>9.8000000000000007</v>
      </c>
      <c r="AA1148" s="11">
        <v>-2</v>
      </c>
      <c r="AB1148" s="11">
        <v>0</v>
      </c>
      <c r="AC1148" s="11">
        <v>0</v>
      </c>
      <c r="AD1148" s="11">
        <v>0</v>
      </c>
      <c r="AE1148" s="11">
        <v>0</v>
      </c>
      <c r="AF1148" s="11">
        <f t="shared" si="51"/>
        <v>0.46800000000000003</v>
      </c>
      <c r="AG1148" s="11">
        <f t="shared" si="52"/>
        <v>8.2680000000000007</v>
      </c>
      <c r="AH1148" s="11">
        <v>0</v>
      </c>
      <c r="AI1148" s="11">
        <f t="shared" si="53"/>
        <v>8.2680000000000007</v>
      </c>
      <c r="AJ1148" t="s">
        <v>62</v>
      </c>
    </row>
    <row r="1149" spans="1:36" ht="15" customHeight="1" x14ac:dyDescent="0.35">
      <c r="A1149">
        <v>10428918</v>
      </c>
      <c r="B1149" t="s">
        <v>36</v>
      </c>
      <c r="C1149" t="s">
        <v>37</v>
      </c>
      <c r="D1149" s="6" t="s">
        <v>38</v>
      </c>
      <c r="E1149" t="s">
        <v>3496</v>
      </c>
      <c r="F1149" t="s">
        <v>40</v>
      </c>
      <c r="G1149" t="s">
        <v>41</v>
      </c>
      <c r="H1149" t="s">
        <v>3497</v>
      </c>
      <c r="I1149" t="s">
        <v>43</v>
      </c>
      <c r="J1149">
        <v>2</v>
      </c>
      <c r="K1149" t="s">
        <v>44</v>
      </c>
      <c r="L1149" t="s">
        <v>45</v>
      </c>
      <c r="M1149" t="s">
        <v>46</v>
      </c>
      <c r="N1149" s="7">
        <v>1</v>
      </c>
      <c r="O1149" s="8">
        <v>45630.449374999997</v>
      </c>
      <c r="P1149" s="9">
        <v>45632</v>
      </c>
      <c r="Q1149" t="s">
        <v>74</v>
      </c>
      <c r="R1149" t="s">
        <v>48</v>
      </c>
      <c r="S1149" t="s">
        <v>49</v>
      </c>
      <c r="T1149" t="s">
        <v>69</v>
      </c>
      <c r="U1149" t="s">
        <v>3498</v>
      </c>
      <c r="V1149">
        <v>81200</v>
      </c>
      <c r="W1149" t="s">
        <v>48</v>
      </c>
      <c r="X1149" t="s">
        <v>771</v>
      </c>
      <c r="Y1149" t="s">
        <v>54</v>
      </c>
      <c r="Z1149" s="12">
        <f>IF(N1149&lt;=1,9,9+0.8*ROUNDUP(N1149-1,0))</f>
        <v>9</v>
      </c>
      <c r="AA1149" s="11">
        <v>-2</v>
      </c>
      <c r="AB1149" s="11">
        <v>0</v>
      </c>
      <c r="AC1149" s="11">
        <v>0</v>
      </c>
      <c r="AD1149" s="11">
        <v>0</v>
      </c>
      <c r="AE1149" s="11">
        <v>0</v>
      </c>
      <c r="AF1149" s="11">
        <f t="shared" si="51"/>
        <v>0.42</v>
      </c>
      <c r="AG1149" s="11">
        <f t="shared" si="52"/>
        <v>7.42</v>
      </c>
      <c r="AH1149" s="11">
        <v>0</v>
      </c>
      <c r="AI1149" s="11">
        <f t="shared" si="53"/>
        <v>7.42</v>
      </c>
      <c r="AJ1149" t="s">
        <v>62</v>
      </c>
    </row>
    <row r="1150" spans="1:36" ht="15" customHeight="1" x14ac:dyDescent="0.35">
      <c r="A1150">
        <v>10428918</v>
      </c>
      <c r="B1150" t="s">
        <v>36</v>
      </c>
      <c r="C1150" t="s">
        <v>37</v>
      </c>
      <c r="D1150" s="6" t="s">
        <v>38</v>
      </c>
      <c r="E1150" t="s">
        <v>3499</v>
      </c>
      <c r="F1150" t="s">
        <v>40</v>
      </c>
      <c r="G1150" t="s">
        <v>41</v>
      </c>
      <c r="H1150" t="s">
        <v>3500</v>
      </c>
      <c r="I1150" t="s">
        <v>43</v>
      </c>
      <c r="J1150">
        <v>2</v>
      </c>
      <c r="K1150" t="s">
        <v>44</v>
      </c>
      <c r="L1150" t="s">
        <v>45</v>
      </c>
      <c r="M1150" t="s">
        <v>46</v>
      </c>
      <c r="N1150" s="7">
        <v>1</v>
      </c>
      <c r="O1150" s="8">
        <v>45629.775995370372</v>
      </c>
      <c r="P1150" s="9">
        <v>45632</v>
      </c>
      <c r="Q1150" t="s">
        <v>74</v>
      </c>
      <c r="R1150" t="s">
        <v>48</v>
      </c>
      <c r="S1150" t="s">
        <v>49</v>
      </c>
      <c r="T1150" t="s">
        <v>80</v>
      </c>
      <c r="U1150" t="s">
        <v>3501</v>
      </c>
      <c r="V1150">
        <v>9300</v>
      </c>
      <c r="W1150" t="s">
        <v>48</v>
      </c>
      <c r="X1150" t="s">
        <v>1388</v>
      </c>
      <c r="Y1150" t="s">
        <v>54</v>
      </c>
      <c r="Z1150" s="12">
        <f>IF(N1150&lt;=1,9,9+0.8*ROUNDUP(N1150-1,0))</f>
        <v>9</v>
      </c>
      <c r="AA1150" s="11">
        <v>-2</v>
      </c>
      <c r="AB1150" s="11">
        <v>0</v>
      </c>
      <c r="AC1150" s="11">
        <v>0</v>
      </c>
      <c r="AD1150" s="11">
        <v>0</v>
      </c>
      <c r="AE1150" s="11">
        <v>0</v>
      </c>
      <c r="AF1150" s="11">
        <f t="shared" si="51"/>
        <v>0.42</v>
      </c>
      <c r="AG1150" s="11">
        <f t="shared" si="52"/>
        <v>7.42</v>
      </c>
      <c r="AH1150" s="11">
        <v>0</v>
      </c>
      <c r="AI1150" s="11">
        <f t="shared" si="53"/>
        <v>7.42</v>
      </c>
      <c r="AJ1150" t="s">
        <v>62</v>
      </c>
    </row>
    <row r="1151" spans="1:36" ht="15" customHeight="1" x14ac:dyDescent="0.35">
      <c r="A1151">
        <v>10428918</v>
      </c>
      <c r="B1151" t="s">
        <v>36</v>
      </c>
      <c r="C1151" t="s">
        <v>37</v>
      </c>
      <c r="D1151" s="6" t="s">
        <v>38</v>
      </c>
      <c r="E1151" t="s">
        <v>3502</v>
      </c>
      <c r="F1151" t="s">
        <v>40</v>
      </c>
      <c r="G1151" t="s">
        <v>41</v>
      </c>
      <c r="H1151" t="s">
        <v>2877</v>
      </c>
      <c r="I1151" t="s">
        <v>43</v>
      </c>
      <c r="J1151">
        <v>2</v>
      </c>
      <c r="K1151" t="s">
        <v>44</v>
      </c>
      <c r="L1151" t="s">
        <v>45</v>
      </c>
      <c r="M1151" t="s">
        <v>46</v>
      </c>
      <c r="N1151" s="7">
        <v>1</v>
      </c>
      <c r="O1151" s="8">
        <v>45631.410937499997</v>
      </c>
      <c r="P1151" s="9">
        <v>45632</v>
      </c>
      <c r="Q1151" t="s">
        <v>74</v>
      </c>
      <c r="R1151" t="s">
        <v>48</v>
      </c>
      <c r="S1151" t="s">
        <v>49</v>
      </c>
      <c r="T1151" t="s">
        <v>75</v>
      </c>
      <c r="U1151" t="s">
        <v>2878</v>
      </c>
      <c r="V1151">
        <v>28000</v>
      </c>
      <c r="W1151" t="s">
        <v>48</v>
      </c>
      <c r="X1151" t="s">
        <v>77</v>
      </c>
      <c r="Y1151" t="s">
        <v>54</v>
      </c>
      <c r="Z1151" s="12">
        <f>IF(N1151&lt;=1,9,9+0.8*ROUNDUP(N1151-1,0))</f>
        <v>9</v>
      </c>
      <c r="AA1151" s="11">
        <v>-2</v>
      </c>
      <c r="AB1151" s="11">
        <v>0</v>
      </c>
      <c r="AC1151" s="11">
        <v>0</v>
      </c>
      <c r="AD1151" s="11">
        <v>0</v>
      </c>
      <c r="AE1151" s="11">
        <v>0</v>
      </c>
      <c r="AF1151" s="11">
        <f t="shared" si="51"/>
        <v>0.42</v>
      </c>
      <c r="AG1151" s="11">
        <f t="shared" si="52"/>
        <v>7.42</v>
      </c>
      <c r="AH1151" s="11">
        <v>0</v>
      </c>
      <c r="AI1151" s="11">
        <f t="shared" si="53"/>
        <v>7.42</v>
      </c>
      <c r="AJ1151" t="s">
        <v>62</v>
      </c>
    </row>
    <row r="1152" spans="1:36" ht="15" customHeight="1" x14ac:dyDescent="0.35">
      <c r="A1152">
        <v>10428918</v>
      </c>
      <c r="B1152" t="s">
        <v>36</v>
      </c>
      <c r="C1152" t="s">
        <v>37</v>
      </c>
      <c r="D1152" s="6" t="s">
        <v>38</v>
      </c>
      <c r="E1152" t="s">
        <v>3503</v>
      </c>
      <c r="F1152" t="s">
        <v>40</v>
      </c>
      <c r="G1152" t="s">
        <v>41</v>
      </c>
      <c r="H1152" t="s">
        <v>3504</v>
      </c>
      <c r="I1152" t="s">
        <v>43</v>
      </c>
      <c r="J1152">
        <v>2</v>
      </c>
      <c r="K1152" t="s">
        <v>44</v>
      </c>
      <c r="L1152" t="s">
        <v>45</v>
      </c>
      <c r="M1152" t="s">
        <v>46</v>
      </c>
      <c r="N1152" s="7">
        <v>1</v>
      </c>
      <c r="O1152" s="8">
        <v>45630.557766203703</v>
      </c>
      <c r="P1152" s="9">
        <v>45632</v>
      </c>
      <c r="Q1152" t="s">
        <v>74</v>
      </c>
      <c r="R1152" t="s">
        <v>48</v>
      </c>
      <c r="S1152" t="s">
        <v>49</v>
      </c>
      <c r="T1152" t="s">
        <v>59</v>
      </c>
      <c r="U1152" t="s">
        <v>3505</v>
      </c>
      <c r="V1152">
        <v>16250</v>
      </c>
      <c r="W1152" t="s">
        <v>48</v>
      </c>
      <c r="X1152" t="s">
        <v>61</v>
      </c>
      <c r="Y1152" t="s">
        <v>54</v>
      </c>
      <c r="Z1152" s="12">
        <f>IF(N1152&lt;=1,9,9+0.8*ROUNDUP(N1152-1,0))</f>
        <v>9</v>
      </c>
      <c r="AA1152" s="11">
        <v>-2</v>
      </c>
      <c r="AB1152" s="11">
        <v>0</v>
      </c>
      <c r="AC1152" s="11">
        <v>0</v>
      </c>
      <c r="AD1152" s="11">
        <v>0</v>
      </c>
      <c r="AE1152" s="11">
        <v>0</v>
      </c>
      <c r="AF1152" s="11">
        <f t="shared" si="51"/>
        <v>0.42</v>
      </c>
      <c r="AG1152" s="11">
        <f t="shared" si="52"/>
        <v>7.42</v>
      </c>
      <c r="AH1152" s="11">
        <v>0</v>
      </c>
      <c r="AI1152" s="11">
        <f t="shared" si="53"/>
        <v>7.42</v>
      </c>
      <c r="AJ1152" t="s">
        <v>62</v>
      </c>
    </row>
    <row r="1153" spans="1:36" ht="15" customHeight="1" x14ac:dyDescent="0.35">
      <c r="A1153">
        <v>10428918</v>
      </c>
      <c r="B1153" t="s">
        <v>36</v>
      </c>
      <c r="C1153" t="s">
        <v>37</v>
      </c>
      <c r="D1153" s="6" t="s">
        <v>38</v>
      </c>
      <c r="E1153" t="s">
        <v>3506</v>
      </c>
      <c r="F1153" t="s">
        <v>40</v>
      </c>
      <c r="G1153" t="s">
        <v>41</v>
      </c>
      <c r="H1153" t="s">
        <v>3507</v>
      </c>
      <c r="I1153" t="s">
        <v>43</v>
      </c>
      <c r="J1153">
        <v>2</v>
      </c>
      <c r="K1153" t="s">
        <v>44</v>
      </c>
      <c r="L1153" t="s">
        <v>45</v>
      </c>
      <c r="M1153" t="s">
        <v>46</v>
      </c>
      <c r="N1153" s="7">
        <v>1</v>
      </c>
      <c r="O1153" s="8">
        <v>45630.435069444444</v>
      </c>
      <c r="P1153" s="9">
        <v>45632</v>
      </c>
      <c r="Q1153" t="s">
        <v>74</v>
      </c>
      <c r="R1153" t="s">
        <v>48</v>
      </c>
      <c r="S1153" t="s">
        <v>49</v>
      </c>
      <c r="T1153" t="s">
        <v>80</v>
      </c>
      <c r="U1153" t="s">
        <v>3508</v>
      </c>
      <c r="V1153">
        <v>6100</v>
      </c>
      <c r="W1153" t="s">
        <v>48</v>
      </c>
      <c r="X1153" t="s">
        <v>522</v>
      </c>
      <c r="Y1153" t="s">
        <v>54</v>
      </c>
      <c r="Z1153" s="12">
        <f>IF(N1153&lt;=1,9,9+0.8*ROUNDUP(N1153-1,0))</f>
        <v>9</v>
      </c>
      <c r="AA1153" s="11">
        <v>-2</v>
      </c>
      <c r="AB1153" s="11">
        <v>0</v>
      </c>
      <c r="AC1153" s="11">
        <v>0</v>
      </c>
      <c r="AD1153" s="11">
        <v>0</v>
      </c>
      <c r="AE1153" s="11">
        <v>0</v>
      </c>
      <c r="AF1153" s="11">
        <f t="shared" si="51"/>
        <v>0.42</v>
      </c>
      <c r="AG1153" s="11">
        <f t="shared" si="52"/>
        <v>7.42</v>
      </c>
      <c r="AH1153" s="11">
        <v>0</v>
      </c>
      <c r="AI1153" s="11">
        <f t="shared" si="53"/>
        <v>7.42</v>
      </c>
      <c r="AJ1153" t="s">
        <v>62</v>
      </c>
    </row>
    <row r="1154" spans="1:36" ht="15" customHeight="1" x14ac:dyDescent="0.35">
      <c r="A1154">
        <v>10428918</v>
      </c>
      <c r="B1154" t="s">
        <v>36</v>
      </c>
      <c r="C1154" t="s">
        <v>37</v>
      </c>
      <c r="D1154" s="6" t="s">
        <v>38</v>
      </c>
      <c r="E1154" t="s">
        <v>3509</v>
      </c>
      <c r="F1154" t="s">
        <v>40</v>
      </c>
      <c r="G1154" t="s">
        <v>41</v>
      </c>
      <c r="H1154" t="s">
        <v>3510</v>
      </c>
      <c r="I1154" t="s">
        <v>43</v>
      </c>
      <c r="J1154">
        <v>2</v>
      </c>
      <c r="K1154" t="s">
        <v>44</v>
      </c>
      <c r="L1154" t="s">
        <v>45</v>
      </c>
      <c r="M1154" t="s">
        <v>46</v>
      </c>
      <c r="N1154" s="7">
        <v>1</v>
      </c>
      <c r="O1154" s="8">
        <v>45631.432824074072</v>
      </c>
      <c r="P1154" s="9">
        <v>45632</v>
      </c>
      <c r="Q1154" t="s">
        <v>74</v>
      </c>
      <c r="R1154" t="s">
        <v>48</v>
      </c>
      <c r="S1154" t="s">
        <v>49</v>
      </c>
      <c r="T1154" t="s">
        <v>59</v>
      </c>
      <c r="U1154" t="s">
        <v>3511</v>
      </c>
      <c r="V1154">
        <v>15050</v>
      </c>
      <c r="W1154" t="s">
        <v>48</v>
      </c>
      <c r="X1154" t="s">
        <v>61</v>
      </c>
      <c r="Y1154" t="s">
        <v>54</v>
      </c>
      <c r="Z1154" s="12">
        <f>IF(N1154&lt;=1,9,9+0.8*ROUNDUP(N1154-1,0))</f>
        <v>9</v>
      </c>
      <c r="AA1154" s="11">
        <v>-2</v>
      </c>
      <c r="AB1154" s="11">
        <v>0</v>
      </c>
      <c r="AC1154" s="11">
        <v>0</v>
      </c>
      <c r="AD1154" s="11">
        <v>0</v>
      </c>
      <c r="AE1154" s="11">
        <v>0</v>
      </c>
      <c r="AF1154" s="11">
        <f t="shared" ref="AF1154:AF1217" si="54">(Z1154+AA1154+AC1154+AE1154)*6%</f>
        <v>0.42</v>
      </c>
      <c r="AG1154" s="11">
        <f t="shared" ref="AG1154:AG1217" si="55">Z1154+AA1154+AC1154+AE1154+AF1154</f>
        <v>7.42</v>
      </c>
      <c r="AH1154" s="11">
        <v>0</v>
      </c>
      <c r="AI1154" s="11">
        <f t="shared" ref="AI1154:AI1217" si="56">AG1154+AH1154</f>
        <v>7.42</v>
      </c>
      <c r="AJ1154" t="s">
        <v>62</v>
      </c>
    </row>
    <row r="1155" spans="1:36" ht="15" customHeight="1" x14ac:dyDescent="0.35">
      <c r="A1155">
        <v>10428918</v>
      </c>
      <c r="B1155" t="s">
        <v>36</v>
      </c>
      <c r="C1155" t="s">
        <v>37</v>
      </c>
      <c r="D1155" s="6" t="s">
        <v>38</v>
      </c>
      <c r="E1155" t="s">
        <v>3512</v>
      </c>
      <c r="F1155" t="s">
        <v>40</v>
      </c>
      <c r="G1155" t="s">
        <v>41</v>
      </c>
      <c r="H1155" t="s">
        <v>3513</v>
      </c>
      <c r="I1155" t="s">
        <v>43</v>
      </c>
      <c r="J1155">
        <v>2</v>
      </c>
      <c r="K1155" t="s">
        <v>44</v>
      </c>
      <c r="L1155" t="s">
        <v>45</v>
      </c>
      <c r="M1155" t="s">
        <v>46</v>
      </c>
      <c r="N1155" s="7">
        <v>1</v>
      </c>
      <c r="O1155" s="8">
        <v>45631.499803240738</v>
      </c>
      <c r="P1155" s="9">
        <v>45632</v>
      </c>
      <c r="Q1155" t="s">
        <v>74</v>
      </c>
      <c r="R1155" t="s">
        <v>48</v>
      </c>
      <c r="S1155" t="s">
        <v>49</v>
      </c>
      <c r="T1155" t="s">
        <v>65</v>
      </c>
      <c r="U1155" t="s">
        <v>3514</v>
      </c>
      <c r="V1155">
        <v>78300</v>
      </c>
      <c r="W1155" t="s">
        <v>48</v>
      </c>
      <c r="X1155" t="s">
        <v>406</v>
      </c>
      <c r="Y1155" t="s">
        <v>54</v>
      </c>
      <c r="Z1155" s="12">
        <f>IF(N1155&lt;=1,9,9+0.8*ROUNDUP(N1155-1,0))</f>
        <v>9</v>
      </c>
      <c r="AA1155" s="11">
        <v>-2</v>
      </c>
      <c r="AB1155" s="11">
        <v>0</v>
      </c>
      <c r="AC1155" s="11">
        <v>0</v>
      </c>
      <c r="AD1155" s="11">
        <v>0</v>
      </c>
      <c r="AE1155" s="11">
        <v>0</v>
      </c>
      <c r="AF1155" s="11">
        <f t="shared" si="54"/>
        <v>0.42</v>
      </c>
      <c r="AG1155" s="11">
        <f t="shared" si="55"/>
        <v>7.42</v>
      </c>
      <c r="AH1155" s="11">
        <v>0</v>
      </c>
      <c r="AI1155" s="11">
        <f t="shared" si="56"/>
        <v>7.42</v>
      </c>
      <c r="AJ1155" t="s">
        <v>62</v>
      </c>
    </row>
    <row r="1156" spans="1:36" ht="15" customHeight="1" x14ac:dyDescent="0.35">
      <c r="A1156">
        <v>10428918</v>
      </c>
      <c r="B1156" t="s">
        <v>36</v>
      </c>
      <c r="C1156" t="s">
        <v>37</v>
      </c>
      <c r="D1156" s="6" t="s">
        <v>38</v>
      </c>
      <c r="E1156" t="s">
        <v>3515</v>
      </c>
      <c r="F1156" t="s">
        <v>40</v>
      </c>
      <c r="G1156" t="s">
        <v>41</v>
      </c>
      <c r="H1156" t="s">
        <v>3516</v>
      </c>
      <c r="I1156" t="s">
        <v>43</v>
      </c>
      <c r="J1156">
        <v>2</v>
      </c>
      <c r="K1156" t="s">
        <v>44</v>
      </c>
      <c r="L1156" t="s">
        <v>45</v>
      </c>
      <c r="M1156" t="s">
        <v>46</v>
      </c>
      <c r="N1156" s="7">
        <v>2</v>
      </c>
      <c r="O1156" s="8">
        <v>45629.705092592594</v>
      </c>
      <c r="P1156" s="9">
        <v>45632</v>
      </c>
      <c r="Q1156" t="s">
        <v>74</v>
      </c>
      <c r="R1156" t="s">
        <v>48</v>
      </c>
      <c r="S1156" t="s">
        <v>49</v>
      </c>
      <c r="T1156" t="s">
        <v>117</v>
      </c>
      <c r="U1156" t="s">
        <v>3517</v>
      </c>
      <c r="V1156">
        <v>68100</v>
      </c>
      <c r="W1156" t="s">
        <v>48</v>
      </c>
      <c r="X1156" t="s">
        <v>1329</v>
      </c>
      <c r="Y1156" t="s">
        <v>54</v>
      </c>
      <c r="Z1156" s="12">
        <f>IF(N1156&lt;=1,9,9+0.8*ROUNDUP(N1156-1,0))</f>
        <v>9.8000000000000007</v>
      </c>
      <c r="AA1156" s="11">
        <v>-2</v>
      </c>
      <c r="AB1156" s="11">
        <v>0</v>
      </c>
      <c r="AC1156" s="11">
        <v>0</v>
      </c>
      <c r="AD1156" s="11">
        <v>0</v>
      </c>
      <c r="AE1156" s="11">
        <v>0</v>
      </c>
      <c r="AF1156" s="11">
        <f t="shared" si="54"/>
        <v>0.46800000000000003</v>
      </c>
      <c r="AG1156" s="11">
        <f t="shared" si="55"/>
        <v>8.2680000000000007</v>
      </c>
      <c r="AH1156" s="11">
        <v>0</v>
      </c>
      <c r="AI1156" s="11">
        <f t="shared" si="56"/>
        <v>8.2680000000000007</v>
      </c>
      <c r="AJ1156" t="s">
        <v>62</v>
      </c>
    </row>
    <row r="1157" spans="1:36" ht="15" customHeight="1" x14ac:dyDescent="0.35">
      <c r="A1157">
        <v>10428918</v>
      </c>
      <c r="B1157" t="s">
        <v>36</v>
      </c>
      <c r="C1157" t="s">
        <v>37</v>
      </c>
      <c r="D1157" s="6" t="s">
        <v>38</v>
      </c>
      <c r="E1157" t="s">
        <v>3518</v>
      </c>
      <c r="F1157" t="s">
        <v>40</v>
      </c>
      <c r="G1157" t="s">
        <v>41</v>
      </c>
      <c r="H1157" t="s">
        <v>1365</v>
      </c>
      <c r="I1157" t="s">
        <v>43</v>
      </c>
      <c r="J1157">
        <v>2</v>
      </c>
      <c r="K1157" t="s">
        <v>44</v>
      </c>
      <c r="L1157" t="s">
        <v>45</v>
      </c>
      <c r="M1157" t="s">
        <v>46</v>
      </c>
      <c r="N1157" s="7">
        <v>1</v>
      </c>
      <c r="O1157" s="8">
        <v>45631.586435185185</v>
      </c>
      <c r="P1157" s="9">
        <v>45632</v>
      </c>
      <c r="Q1157" t="s">
        <v>74</v>
      </c>
      <c r="R1157" t="s">
        <v>48</v>
      </c>
      <c r="S1157" t="s">
        <v>49</v>
      </c>
      <c r="T1157" t="s">
        <v>117</v>
      </c>
      <c r="U1157" t="s">
        <v>1366</v>
      </c>
      <c r="V1157">
        <v>47600</v>
      </c>
      <c r="W1157" t="s">
        <v>48</v>
      </c>
      <c r="X1157" t="s">
        <v>473</v>
      </c>
      <c r="Y1157" t="s">
        <v>54</v>
      </c>
      <c r="Z1157" s="12">
        <f>IF(N1157&lt;=1,9,9+0.8*ROUNDUP(N1157-1,0))</f>
        <v>9</v>
      </c>
      <c r="AA1157" s="11">
        <v>-2</v>
      </c>
      <c r="AB1157" s="11">
        <v>0</v>
      </c>
      <c r="AC1157" s="11">
        <v>0</v>
      </c>
      <c r="AD1157" s="11">
        <v>0</v>
      </c>
      <c r="AE1157" s="11">
        <v>0</v>
      </c>
      <c r="AF1157" s="11">
        <f t="shared" si="54"/>
        <v>0.42</v>
      </c>
      <c r="AG1157" s="11">
        <f t="shared" si="55"/>
        <v>7.42</v>
      </c>
      <c r="AH1157" s="11">
        <v>0</v>
      </c>
      <c r="AI1157" s="11">
        <f t="shared" si="56"/>
        <v>7.42</v>
      </c>
      <c r="AJ1157" t="s">
        <v>62</v>
      </c>
    </row>
    <row r="1158" spans="1:36" ht="15" customHeight="1" x14ac:dyDescent="0.35">
      <c r="A1158">
        <v>10428918</v>
      </c>
      <c r="B1158" t="s">
        <v>36</v>
      </c>
      <c r="C1158" t="s">
        <v>37</v>
      </c>
      <c r="D1158" s="6" t="s">
        <v>38</v>
      </c>
      <c r="E1158" t="s">
        <v>3519</v>
      </c>
      <c r="F1158" t="s">
        <v>40</v>
      </c>
      <c r="G1158" t="s">
        <v>41</v>
      </c>
      <c r="H1158" t="s">
        <v>3520</v>
      </c>
      <c r="I1158" t="s">
        <v>43</v>
      </c>
      <c r="J1158">
        <v>2</v>
      </c>
      <c r="K1158" t="s">
        <v>44</v>
      </c>
      <c r="L1158" t="s">
        <v>45</v>
      </c>
      <c r="M1158" t="s">
        <v>46</v>
      </c>
      <c r="N1158" s="7">
        <v>1</v>
      </c>
      <c r="O1158" s="8">
        <v>45630.449374999997</v>
      </c>
      <c r="P1158" s="9">
        <v>45632</v>
      </c>
      <c r="Q1158" t="s">
        <v>74</v>
      </c>
      <c r="R1158" t="s">
        <v>48</v>
      </c>
      <c r="S1158" t="s">
        <v>49</v>
      </c>
      <c r="T1158" t="s">
        <v>69</v>
      </c>
      <c r="U1158" t="s">
        <v>3521</v>
      </c>
      <c r="V1158">
        <v>80350</v>
      </c>
      <c r="W1158" t="s">
        <v>48</v>
      </c>
      <c r="X1158" t="s">
        <v>211</v>
      </c>
      <c r="Y1158" t="s">
        <v>54</v>
      </c>
      <c r="Z1158" s="12">
        <f>IF(N1158&lt;=1,9,9+0.8*ROUNDUP(N1158-1,0))</f>
        <v>9</v>
      </c>
      <c r="AA1158" s="11">
        <v>-2</v>
      </c>
      <c r="AB1158" s="11">
        <v>0</v>
      </c>
      <c r="AC1158" s="11">
        <v>0</v>
      </c>
      <c r="AD1158" s="11">
        <v>0</v>
      </c>
      <c r="AE1158" s="11">
        <v>0</v>
      </c>
      <c r="AF1158" s="11">
        <f t="shared" si="54"/>
        <v>0.42</v>
      </c>
      <c r="AG1158" s="11">
        <f t="shared" si="55"/>
        <v>7.42</v>
      </c>
      <c r="AH1158" s="11">
        <v>0</v>
      </c>
      <c r="AI1158" s="11">
        <f t="shared" si="56"/>
        <v>7.42</v>
      </c>
      <c r="AJ1158" t="s">
        <v>62</v>
      </c>
    </row>
    <row r="1159" spans="1:36" ht="15" customHeight="1" x14ac:dyDescent="0.35">
      <c r="A1159">
        <v>10428918</v>
      </c>
      <c r="B1159" t="s">
        <v>36</v>
      </c>
      <c r="C1159" t="s">
        <v>37</v>
      </c>
      <c r="D1159" s="6" t="s">
        <v>38</v>
      </c>
      <c r="E1159" t="s">
        <v>3522</v>
      </c>
      <c r="F1159" t="s">
        <v>40</v>
      </c>
      <c r="G1159" t="s">
        <v>41</v>
      </c>
      <c r="H1159" t="s">
        <v>3523</v>
      </c>
      <c r="I1159" t="s">
        <v>43</v>
      </c>
      <c r="J1159">
        <v>2</v>
      </c>
      <c r="K1159" t="s">
        <v>44</v>
      </c>
      <c r="L1159" t="s">
        <v>45</v>
      </c>
      <c r="M1159" t="s">
        <v>46</v>
      </c>
      <c r="N1159" s="7">
        <v>1</v>
      </c>
      <c r="O1159" s="8">
        <v>45629.795763888891</v>
      </c>
      <c r="P1159" s="9">
        <v>45632</v>
      </c>
      <c r="Q1159" t="s">
        <v>74</v>
      </c>
      <c r="R1159" t="s">
        <v>48</v>
      </c>
      <c r="S1159" t="s">
        <v>49</v>
      </c>
      <c r="T1159" t="s">
        <v>80</v>
      </c>
      <c r="U1159" t="s">
        <v>3524</v>
      </c>
      <c r="V1159">
        <v>8210</v>
      </c>
      <c r="W1159" t="s">
        <v>48</v>
      </c>
      <c r="X1159" t="s">
        <v>53</v>
      </c>
      <c r="Y1159" t="s">
        <v>54</v>
      </c>
      <c r="Z1159" s="12">
        <f>IF(N1159&lt;=1,9,9+0.8*ROUNDUP(N1159-1,0))</f>
        <v>9</v>
      </c>
      <c r="AA1159" s="11">
        <v>-2</v>
      </c>
      <c r="AB1159" s="11">
        <v>0</v>
      </c>
      <c r="AC1159" s="11">
        <v>0</v>
      </c>
      <c r="AD1159" s="11">
        <v>0</v>
      </c>
      <c r="AE1159" s="11">
        <v>0</v>
      </c>
      <c r="AF1159" s="11">
        <f t="shared" si="54"/>
        <v>0.42</v>
      </c>
      <c r="AG1159" s="11">
        <f t="shared" si="55"/>
        <v>7.42</v>
      </c>
      <c r="AH1159" s="11">
        <v>0</v>
      </c>
      <c r="AI1159" s="11">
        <f t="shared" si="56"/>
        <v>7.42</v>
      </c>
      <c r="AJ1159" t="s">
        <v>62</v>
      </c>
    </row>
    <row r="1160" spans="1:36" ht="15" customHeight="1" x14ac:dyDescent="0.35">
      <c r="A1160">
        <v>10428918</v>
      </c>
      <c r="B1160" t="s">
        <v>36</v>
      </c>
      <c r="C1160" t="s">
        <v>37</v>
      </c>
      <c r="D1160" s="6" t="s">
        <v>38</v>
      </c>
      <c r="E1160" t="s">
        <v>3525</v>
      </c>
      <c r="F1160" t="s">
        <v>40</v>
      </c>
      <c r="G1160" t="s">
        <v>41</v>
      </c>
      <c r="H1160" t="s">
        <v>3526</v>
      </c>
      <c r="I1160" t="s">
        <v>43</v>
      </c>
      <c r="J1160">
        <v>2</v>
      </c>
      <c r="K1160" t="s">
        <v>44</v>
      </c>
      <c r="L1160" t="s">
        <v>45</v>
      </c>
      <c r="M1160" t="s">
        <v>46</v>
      </c>
      <c r="N1160" s="7">
        <v>1</v>
      </c>
      <c r="O1160" s="8">
        <v>45630.801481481481</v>
      </c>
      <c r="P1160" s="9">
        <v>45632</v>
      </c>
      <c r="Q1160" t="s">
        <v>74</v>
      </c>
      <c r="R1160" t="s">
        <v>48</v>
      </c>
      <c r="S1160" t="s">
        <v>49</v>
      </c>
      <c r="T1160" t="s">
        <v>75</v>
      </c>
      <c r="U1160" t="s">
        <v>3527</v>
      </c>
      <c r="V1160">
        <v>26060</v>
      </c>
      <c r="W1160" t="s">
        <v>48</v>
      </c>
      <c r="X1160" t="s">
        <v>77</v>
      </c>
      <c r="Y1160" t="s">
        <v>54</v>
      </c>
      <c r="Z1160" s="12">
        <f>IF(N1160&lt;=1,9,9+0.8*ROUNDUP(N1160-1,0))</f>
        <v>9</v>
      </c>
      <c r="AA1160" s="11">
        <v>-2</v>
      </c>
      <c r="AB1160" s="11">
        <v>0</v>
      </c>
      <c r="AC1160" s="11">
        <v>0</v>
      </c>
      <c r="AD1160" s="11">
        <v>0</v>
      </c>
      <c r="AE1160" s="11">
        <v>0</v>
      </c>
      <c r="AF1160" s="11">
        <f t="shared" si="54"/>
        <v>0.42</v>
      </c>
      <c r="AG1160" s="11">
        <f t="shared" si="55"/>
        <v>7.42</v>
      </c>
      <c r="AH1160" s="11">
        <v>0</v>
      </c>
      <c r="AI1160" s="11">
        <f t="shared" si="56"/>
        <v>7.42</v>
      </c>
      <c r="AJ1160" t="s">
        <v>62</v>
      </c>
    </row>
    <row r="1161" spans="1:36" ht="15" customHeight="1" x14ac:dyDescent="0.35">
      <c r="A1161">
        <v>10428918</v>
      </c>
      <c r="B1161" t="s">
        <v>36</v>
      </c>
      <c r="C1161" t="s">
        <v>37</v>
      </c>
      <c r="D1161" s="6" t="s">
        <v>38</v>
      </c>
      <c r="E1161" t="s">
        <v>3528</v>
      </c>
      <c r="F1161" t="s">
        <v>40</v>
      </c>
      <c r="G1161" t="s">
        <v>41</v>
      </c>
      <c r="H1161" t="s">
        <v>3529</v>
      </c>
      <c r="I1161" t="s">
        <v>43</v>
      </c>
      <c r="J1161">
        <v>2</v>
      </c>
      <c r="K1161" t="s">
        <v>44</v>
      </c>
      <c r="L1161" t="s">
        <v>45</v>
      </c>
      <c r="M1161" t="s">
        <v>46</v>
      </c>
      <c r="N1161" s="7">
        <v>1</v>
      </c>
      <c r="O1161" s="8">
        <v>45629.790150462963</v>
      </c>
      <c r="P1161" s="9">
        <v>45632</v>
      </c>
      <c r="Q1161" t="s">
        <v>74</v>
      </c>
      <c r="R1161" t="s">
        <v>48</v>
      </c>
      <c r="S1161" t="s">
        <v>49</v>
      </c>
      <c r="T1161" t="s">
        <v>101</v>
      </c>
      <c r="U1161" t="s">
        <v>3530</v>
      </c>
      <c r="V1161">
        <v>34400</v>
      </c>
      <c r="W1161" t="s">
        <v>48</v>
      </c>
      <c r="X1161" t="s">
        <v>53</v>
      </c>
      <c r="Y1161" t="s">
        <v>54</v>
      </c>
      <c r="Z1161" s="12">
        <f>IF(N1161&lt;=1,9,9+0.8*ROUNDUP(N1161-1,0))</f>
        <v>9</v>
      </c>
      <c r="AA1161" s="11">
        <v>-2</v>
      </c>
      <c r="AB1161" s="11">
        <v>0</v>
      </c>
      <c r="AC1161" s="11">
        <v>0</v>
      </c>
      <c r="AD1161" s="11">
        <v>0</v>
      </c>
      <c r="AE1161" s="11">
        <v>0</v>
      </c>
      <c r="AF1161" s="11">
        <f t="shared" si="54"/>
        <v>0.42</v>
      </c>
      <c r="AG1161" s="11">
        <f t="shared" si="55"/>
        <v>7.42</v>
      </c>
      <c r="AH1161" s="11">
        <v>0</v>
      </c>
      <c r="AI1161" s="11">
        <f t="shared" si="56"/>
        <v>7.42</v>
      </c>
      <c r="AJ1161" t="s">
        <v>62</v>
      </c>
    </row>
    <row r="1162" spans="1:36" ht="15" customHeight="1" x14ac:dyDescent="0.35">
      <c r="A1162">
        <v>10428918</v>
      </c>
      <c r="B1162" t="s">
        <v>36</v>
      </c>
      <c r="C1162" t="s">
        <v>37</v>
      </c>
      <c r="D1162" s="6" t="s">
        <v>38</v>
      </c>
      <c r="E1162" t="s">
        <v>3531</v>
      </c>
      <c r="F1162" t="s">
        <v>40</v>
      </c>
      <c r="G1162" t="s">
        <v>41</v>
      </c>
      <c r="H1162" t="s">
        <v>3532</v>
      </c>
      <c r="I1162" t="s">
        <v>43</v>
      </c>
      <c r="J1162">
        <v>2</v>
      </c>
      <c r="K1162" t="s">
        <v>44</v>
      </c>
      <c r="L1162" t="s">
        <v>45</v>
      </c>
      <c r="M1162" t="s">
        <v>46</v>
      </c>
      <c r="N1162" s="7">
        <v>1</v>
      </c>
      <c r="O1162" s="8">
        <v>45629.808969907404</v>
      </c>
      <c r="P1162" s="9">
        <v>45632</v>
      </c>
      <c r="Q1162" t="s">
        <v>74</v>
      </c>
      <c r="R1162" t="s">
        <v>48</v>
      </c>
      <c r="S1162" t="s">
        <v>49</v>
      </c>
      <c r="T1162" t="s">
        <v>69</v>
      </c>
      <c r="U1162" t="s">
        <v>3533</v>
      </c>
      <c r="V1162">
        <v>81200</v>
      </c>
      <c r="W1162" t="s">
        <v>48</v>
      </c>
      <c r="X1162" t="s">
        <v>53</v>
      </c>
      <c r="Y1162" t="s">
        <v>54</v>
      </c>
      <c r="Z1162" s="12">
        <f>IF(N1162&lt;=1,9,9+0.8*ROUNDUP(N1162-1,0))</f>
        <v>9</v>
      </c>
      <c r="AA1162" s="11">
        <v>-2</v>
      </c>
      <c r="AB1162" s="11">
        <v>0</v>
      </c>
      <c r="AC1162" s="11">
        <v>0</v>
      </c>
      <c r="AD1162" s="11">
        <v>0</v>
      </c>
      <c r="AE1162" s="11">
        <v>0</v>
      </c>
      <c r="AF1162" s="11">
        <f t="shared" si="54"/>
        <v>0.42</v>
      </c>
      <c r="AG1162" s="11">
        <f t="shared" si="55"/>
        <v>7.42</v>
      </c>
      <c r="AH1162" s="11">
        <v>0</v>
      </c>
      <c r="AI1162" s="11">
        <f t="shared" si="56"/>
        <v>7.42</v>
      </c>
      <c r="AJ1162" t="s">
        <v>62</v>
      </c>
    </row>
    <row r="1163" spans="1:36" ht="15" customHeight="1" x14ac:dyDescent="0.35">
      <c r="A1163">
        <v>10428918</v>
      </c>
      <c r="B1163" t="s">
        <v>36</v>
      </c>
      <c r="C1163" t="s">
        <v>37</v>
      </c>
      <c r="D1163" s="6" t="s">
        <v>38</v>
      </c>
      <c r="E1163" t="s">
        <v>3534</v>
      </c>
      <c r="F1163" t="s">
        <v>40</v>
      </c>
      <c r="G1163" t="s">
        <v>41</v>
      </c>
      <c r="H1163" t="s">
        <v>3535</v>
      </c>
      <c r="I1163" t="s">
        <v>43</v>
      </c>
      <c r="J1163">
        <v>2</v>
      </c>
      <c r="K1163" t="s">
        <v>44</v>
      </c>
      <c r="L1163" t="s">
        <v>45</v>
      </c>
      <c r="M1163" t="s">
        <v>46</v>
      </c>
      <c r="N1163" s="7">
        <v>2</v>
      </c>
      <c r="O1163" s="8">
        <v>45627.422326388885</v>
      </c>
      <c r="P1163" s="9">
        <v>45632</v>
      </c>
      <c r="Q1163" t="s">
        <v>74</v>
      </c>
      <c r="R1163" t="s">
        <v>48</v>
      </c>
      <c r="S1163" t="s">
        <v>49</v>
      </c>
      <c r="T1163" t="s">
        <v>278</v>
      </c>
      <c r="U1163" t="s">
        <v>3536</v>
      </c>
      <c r="V1163">
        <v>94800</v>
      </c>
      <c r="W1163" t="s">
        <v>52</v>
      </c>
      <c r="X1163" t="s">
        <v>53</v>
      </c>
      <c r="Y1163" t="s">
        <v>54</v>
      </c>
      <c r="Z1163" s="10">
        <f>IF(N1163&lt;=1,13,IF(N1163&lt;=2,23,IF(N1163&lt;=3,35,IF(N1163&lt;=4,43,IF(N1163&lt;=5,53,IF(N1163&lt;=6,63,IF(N1163&lt;=7,71,IF(N1163&lt;=8,79,IF(N1163&lt;=9,87,IF(N1163&lt;=10,95,IF(N1163&lt;=11,105,IF(N1163&lt;=12,114,IF(N1163&lt;=13,119,IF(N1163&lt;=14,127,IF(N1163&lt;=15,135,IF(N1163&lt;=16,143,IF(N1163&lt;=17,153,IF(N1163&lt;=18,163,IF(N1163&lt;=19,171,IF(N1163&lt;=20,185,IF(N1163&lt;=21,193,IF(N1163&lt;=22,201,IF(N1163&lt;=23,210,IF(N1163&lt;=24,220,IF(N1163&lt;=25,230,IF(N1163&lt;=26,240,IF(N1163&lt;=27,250,IF(N1163&lt;=28,260,IF(N1163&lt;=29,270,IF(N1163&lt;=30,280,280+10*ROUNDUP(N1163-30,0)))))))))))))))))))))))))))))))</f>
        <v>23</v>
      </c>
      <c r="AA1163" s="11">
        <v>0</v>
      </c>
      <c r="AB1163" s="11">
        <v>0</v>
      </c>
      <c r="AC1163" s="11">
        <v>0</v>
      </c>
      <c r="AD1163" s="11">
        <v>0</v>
      </c>
      <c r="AE1163" s="11">
        <v>0</v>
      </c>
      <c r="AF1163" s="11">
        <f t="shared" si="54"/>
        <v>1.38</v>
      </c>
      <c r="AG1163" s="11">
        <f t="shared" si="55"/>
        <v>24.38</v>
      </c>
      <c r="AH1163" s="11">
        <v>0</v>
      </c>
      <c r="AI1163" s="11">
        <f t="shared" si="56"/>
        <v>24.38</v>
      </c>
      <c r="AJ1163" t="s">
        <v>55</v>
      </c>
    </row>
    <row r="1164" spans="1:36" ht="15" customHeight="1" x14ac:dyDescent="0.35">
      <c r="A1164">
        <v>10428918</v>
      </c>
      <c r="B1164" t="s">
        <v>36</v>
      </c>
      <c r="C1164" t="s">
        <v>37</v>
      </c>
      <c r="D1164" s="6" t="s">
        <v>38</v>
      </c>
      <c r="E1164" t="s">
        <v>3537</v>
      </c>
      <c r="F1164" t="s">
        <v>40</v>
      </c>
      <c r="G1164" t="s">
        <v>41</v>
      </c>
      <c r="H1164" t="s">
        <v>3538</v>
      </c>
      <c r="I1164" t="s">
        <v>43</v>
      </c>
      <c r="J1164">
        <v>2</v>
      </c>
      <c r="K1164" t="s">
        <v>44</v>
      </c>
      <c r="L1164" t="s">
        <v>45</v>
      </c>
      <c r="M1164" t="s">
        <v>46</v>
      </c>
      <c r="N1164" s="7">
        <v>1</v>
      </c>
      <c r="O1164" s="8">
        <v>45630.812407407408</v>
      </c>
      <c r="P1164" s="9">
        <v>45632</v>
      </c>
      <c r="Q1164" t="s">
        <v>74</v>
      </c>
      <c r="R1164" t="s">
        <v>48</v>
      </c>
      <c r="S1164" t="s">
        <v>49</v>
      </c>
      <c r="T1164" t="s">
        <v>59</v>
      </c>
      <c r="U1164" t="s">
        <v>3539</v>
      </c>
      <c r="V1164">
        <v>16200</v>
      </c>
      <c r="W1164" t="s">
        <v>48</v>
      </c>
      <c r="X1164" t="s">
        <v>61</v>
      </c>
      <c r="Y1164" t="s">
        <v>54</v>
      </c>
      <c r="Z1164" s="12">
        <f>IF(N1164&lt;=1,9,9+0.8*ROUNDUP(N1164-1,0))</f>
        <v>9</v>
      </c>
      <c r="AA1164" s="11">
        <v>-2</v>
      </c>
      <c r="AB1164" s="11">
        <v>0</v>
      </c>
      <c r="AC1164" s="11">
        <v>0</v>
      </c>
      <c r="AD1164" s="11">
        <v>0</v>
      </c>
      <c r="AE1164" s="11">
        <v>0</v>
      </c>
      <c r="AF1164" s="11">
        <f t="shared" si="54"/>
        <v>0.42</v>
      </c>
      <c r="AG1164" s="11">
        <f t="shared" si="55"/>
        <v>7.42</v>
      </c>
      <c r="AH1164" s="11">
        <v>0</v>
      </c>
      <c r="AI1164" s="11">
        <f t="shared" si="56"/>
        <v>7.42</v>
      </c>
      <c r="AJ1164" t="s">
        <v>62</v>
      </c>
    </row>
    <row r="1165" spans="1:36" ht="15" customHeight="1" x14ac:dyDescent="0.35">
      <c r="A1165">
        <v>10428918</v>
      </c>
      <c r="B1165" t="s">
        <v>36</v>
      </c>
      <c r="C1165" t="s">
        <v>37</v>
      </c>
      <c r="D1165" s="6" t="s">
        <v>38</v>
      </c>
      <c r="E1165" t="s">
        <v>3540</v>
      </c>
      <c r="F1165" t="s">
        <v>40</v>
      </c>
      <c r="G1165" t="s">
        <v>41</v>
      </c>
      <c r="H1165" t="s">
        <v>3541</v>
      </c>
      <c r="I1165" t="s">
        <v>43</v>
      </c>
      <c r="J1165">
        <v>2</v>
      </c>
      <c r="K1165" t="s">
        <v>44</v>
      </c>
      <c r="L1165" t="s">
        <v>45</v>
      </c>
      <c r="M1165" t="s">
        <v>46</v>
      </c>
      <c r="N1165" s="7">
        <v>1</v>
      </c>
      <c r="O1165" s="8">
        <v>45630.419490740744</v>
      </c>
      <c r="P1165" s="9">
        <v>45632</v>
      </c>
      <c r="Q1165" t="s">
        <v>74</v>
      </c>
      <c r="R1165" t="s">
        <v>48</v>
      </c>
      <c r="S1165" t="s">
        <v>49</v>
      </c>
      <c r="T1165" t="s">
        <v>117</v>
      </c>
      <c r="U1165" t="s">
        <v>3542</v>
      </c>
      <c r="V1165">
        <v>48000</v>
      </c>
      <c r="W1165" t="s">
        <v>48</v>
      </c>
      <c r="X1165" t="s">
        <v>53</v>
      </c>
      <c r="Y1165" t="s">
        <v>54</v>
      </c>
      <c r="Z1165" s="12">
        <f>IF(N1165&lt;=1,9,9+0.8*ROUNDUP(N1165-1,0))</f>
        <v>9</v>
      </c>
      <c r="AA1165" s="11">
        <v>-2</v>
      </c>
      <c r="AB1165" s="11">
        <v>0</v>
      </c>
      <c r="AC1165" s="11">
        <v>0</v>
      </c>
      <c r="AD1165" s="11">
        <v>0</v>
      </c>
      <c r="AE1165" s="11">
        <v>0</v>
      </c>
      <c r="AF1165" s="11">
        <f t="shared" si="54"/>
        <v>0.42</v>
      </c>
      <c r="AG1165" s="11">
        <f t="shared" si="55"/>
        <v>7.42</v>
      </c>
      <c r="AH1165" s="11">
        <v>0</v>
      </c>
      <c r="AI1165" s="11">
        <f t="shared" si="56"/>
        <v>7.42</v>
      </c>
      <c r="AJ1165" t="s">
        <v>62</v>
      </c>
    </row>
    <row r="1166" spans="1:36" ht="15" customHeight="1" x14ac:dyDescent="0.35">
      <c r="A1166">
        <v>10428918</v>
      </c>
      <c r="B1166" t="s">
        <v>36</v>
      </c>
      <c r="C1166" t="s">
        <v>37</v>
      </c>
      <c r="D1166" s="6" t="s">
        <v>38</v>
      </c>
      <c r="E1166" t="s">
        <v>3543</v>
      </c>
      <c r="F1166" t="s">
        <v>40</v>
      </c>
      <c r="G1166" t="s">
        <v>41</v>
      </c>
      <c r="H1166" t="s">
        <v>3544</v>
      </c>
      <c r="I1166" t="s">
        <v>43</v>
      </c>
      <c r="J1166">
        <v>2</v>
      </c>
      <c r="K1166" t="s">
        <v>44</v>
      </c>
      <c r="L1166" t="s">
        <v>45</v>
      </c>
      <c r="M1166" t="s">
        <v>46</v>
      </c>
      <c r="N1166" s="7">
        <v>1</v>
      </c>
      <c r="O1166" s="8">
        <v>45631.441423611112</v>
      </c>
      <c r="P1166" s="9">
        <v>45632</v>
      </c>
      <c r="Q1166" t="s">
        <v>74</v>
      </c>
      <c r="R1166" t="s">
        <v>48</v>
      </c>
      <c r="S1166" t="s">
        <v>49</v>
      </c>
      <c r="T1166" t="s">
        <v>117</v>
      </c>
      <c r="U1166" t="s">
        <v>3545</v>
      </c>
      <c r="V1166">
        <v>42800</v>
      </c>
      <c r="W1166" t="s">
        <v>48</v>
      </c>
      <c r="X1166" t="s">
        <v>901</v>
      </c>
      <c r="Y1166" t="s">
        <v>54</v>
      </c>
      <c r="Z1166" s="12">
        <f>IF(N1166&lt;=1,9,9+0.8*ROUNDUP(N1166-1,0))</f>
        <v>9</v>
      </c>
      <c r="AA1166" s="11">
        <v>-2</v>
      </c>
      <c r="AB1166" s="11">
        <v>0</v>
      </c>
      <c r="AC1166" s="11">
        <v>0</v>
      </c>
      <c r="AD1166" s="11">
        <v>0</v>
      </c>
      <c r="AE1166" s="11">
        <v>0</v>
      </c>
      <c r="AF1166" s="11">
        <f t="shared" si="54"/>
        <v>0.42</v>
      </c>
      <c r="AG1166" s="11">
        <f t="shared" si="55"/>
        <v>7.42</v>
      </c>
      <c r="AH1166" s="11">
        <v>0</v>
      </c>
      <c r="AI1166" s="11">
        <f t="shared" si="56"/>
        <v>7.42</v>
      </c>
      <c r="AJ1166" t="s">
        <v>62</v>
      </c>
    </row>
    <row r="1167" spans="1:36" ht="15" customHeight="1" x14ac:dyDescent="0.35">
      <c r="A1167">
        <v>10428918</v>
      </c>
      <c r="B1167" t="s">
        <v>36</v>
      </c>
      <c r="C1167" t="s">
        <v>37</v>
      </c>
      <c r="D1167" s="6" t="s">
        <v>38</v>
      </c>
      <c r="E1167" t="s">
        <v>3546</v>
      </c>
      <c r="F1167" t="s">
        <v>40</v>
      </c>
      <c r="G1167" t="s">
        <v>41</v>
      </c>
      <c r="H1167" t="s">
        <v>3547</v>
      </c>
      <c r="I1167" t="s">
        <v>43</v>
      </c>
      <c r="J1167">
        <v>2</v>
      </c>
      <c r="K1167" t="s">
        <v>44</v>
      </c>
      <c r="L1167" t="s">
        <v>45</v>
      </c>
      <c r="M1167" t="s">
        <v>46</v>
      </c>
      <c r="N1167" s="7">
        <v>1</v>
      </c>
      <c r="O1167" s="8">
        <v>45631.726134259261</v>
      </c>
      <c r="P1167" s="9">
        <v>45633</v>
      </c>
      <c r="Q1167" t="s">
        <v>74</v>
      </c>
      <c r="R1167" t="s">
        <v>48</v>
      </c>
      <c r="S1167" t="s">
        <v>49</v>
      </c>
      <c r="T1167" t="s">
        <v>85</v>
      </c>
      <c r="U1167" t="s">
        <v>3548</v>
      </c>
      <c r="V1167">
        <v>71010</v>
      </c>
      <c r="W1167" t="s">
        <v>48</v>
      </c>
      <c r="X1167" t="s">
        <v>53</v>
      </c>
      <c r="Y1167" t="s">
        <v>54</v>
      </c>
      <c r="Z1167" s="12">
        <f>IF(N1167&lt;=1,9,9+0.8*ROUNDUP(N1167-1,0))</f>
        <v>9</v>
      </c>
      <c r="AA1167" s="11">
        <v>-2</v>
      </c>
      <c r="AB1167" s="11">
        <v>0</v>
      </c>
      <c r="AC1167" s="11">
        <v>0</v>
      </c>
      <c r="AD1167" s="11">
        <v>0</v>
      </c>
      <c r="AE1167" s="11">
        <v>0</v>
      </c>
      <c r="AF1167" s="11">
        <f t="shared" si="54"/>
        <v>0.42</v>
      </c>
      <c r="AG1167" s="11">
        <f t="shared" si="55"/>
        <v>7.42</v>
      </c>
      <c r="AH1167" s="11">
        <v>0</v>
      </c>
      <c r="AI1167" s="11">
        <f t="shared" si="56"/>
        <v>7.42</v>
      </c>
      <c r="AJ1167" t="s">
        <v>62</v>
      </c>
    </row>
    <row r="1168" spans="1:36" ht="15" customHeight="1" x14ac:dyDescent="0.35">
      <c r="A1168">
        <v>10428918</v>
      </c>
      <c r="B1168" t="s">
        <v>36</v>
      </c>
      <c r="C1168" t="s">
        <v>37</v>
      </c>
      <c r="D1168" s="6" t="s">
        <v>38</v>
      </c>
      <c r="E1168" t="s">
        <v>3549</v>
      </c>
      <c r="F1168" t="s">
        <v>40</v>
      </c>
      <c r="G1168" t="s">
        <v>41</v>
      </c>
      <c r="H1168" t="s">
        <v>3550</v>
      </c>
      <c r="I1168" t="s">
        <v>43</v>
      </c>
      <c r="J1168">
        <v>2</v>
      </c>
      <c r="K1168" t="s">
        <v>44</v>
      </c>
      <c r="L1168" t="s">
        <v>45</v>
      </c>
      <c r="M1168" t="s">
        <v>46</v>
      </c>
      <c r="N1168" s="7">
        <v>1</v>
      </c>
      <c r="O1168" s="8">
        <v>45629.775995370372</v>
      </c>
      <c r="P1168" s="9">
        <v>45633</v>
      </c>
      <c r="Q1168" t="s">
        <v>74</v>
      </c>
      <c r="R1168" t="s">
        <v>48</v>
      </c>
      <c r="S1168" t="s">
        <v>49</v>
      </c>
      <c r="T1168" t="s">
        <v>50</v>
      </c>
      <c r="U1168" t="s">
        <v>3551</v>
      </c>
      <c r="V1168">
        <v>91000</v>
      </c>
      <c r="W1168" t="s">
        <v>52</v>
      </c>
      <c r="X1168" t="s">
        <v>53</v>
      </c>
      <c r="Y1168" t="s">
        <v>54</v>
      </c>
      <c r="Z1168" s="10">
        <f>IF(N1168&lt;=1,13,IF(N1168&lt;=2,23,IF(N1168&lt;=3,35,IF(N1168&lt;=4,43,IF(N1168&lt;=5,53,IF(N1168&lt;=6,63,IF(N1168&lt;=7,71,IF(N1168&lt;=8,79,IF(N1168&lt;=9,87,IF(N1168&lt;=10,95,IF(N1168&lt;=11,105,IF(N1168&lt;=12,114,IF(N1168&lt;=13,119,IF(N1168&lt;=14,127,IF(N1168&lt;=15,135,IF(N1168&lt;=16,143,IF(N1168&lt;=17,153,IF(N1168&lt;=18,163,IF(N1168&lt;=19,171,IF(N1168&lt;=20,185,IF(N1168&lt;=21,193,IF(N1168&lt;=22,201,IF(N1168&lt;=23,210,IF(N1168&lt;=24,220,IF(N1168&lt;=25,230,IF(N1168&lt;=26,240,IF(N1168&lt;=27,250,IF(N1168&lt;=28,260,IF(N1168&lt;=29,270,IF(N1168&lt;=30,280,280+10*ROUNDUP(N1168-30,0)))))))))))))))))))))))))))))))</f>
        <v>13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f t="shared" si="54"/>
        <v>0.78</v>
      </c>
      <c r="AG1168" s="11">
        <f t="shared" si="55"/>
        <v>13.78</v>
      </c>
      <c r="AH1168" s="11">
        <v>0</v>
      </c>
      <c r="AI1168" s="11">
        <f t="shared" si="56"/>
        <v>13.78</v>
      </c>
      <c r="AJ1168" t="s">
        <v>55</v>
      </c>
    </row>
    <row r="1169" spans="1:36" ht="15" customHeight="1" x14ac:dyDescent="0.35">
      <c r="A1169">
        <v>10428918</v>
      </c>
      <c r="B1169" t="s">
        <v>36</v>
      </c>
      <c r="C1169" t="s">
        <v>37</v>
      </c>
      <c r="D1169" s="6" t="s">
        <v>38</v>
      </c>
      <c r="E1169" t="s">
        <v>3552</v>
      </c>
      <c r="F1169" t="s">
        <v>40</v>
      </c>
      <c r="G1169" t="s">
        <v>41</v>
      </c>
      <c r="H1169" t="s">
        <v>3553</v>
      </c>
      <c r="I1169" t="s">
        <v>43</v>
      </c>
      <c r="J1169">
        <v>2</v>
      </c>
      <c r="K1169" t="s">
        <v>44</v>
      </c>
      <c r="L1169" t="s">
        <v>45</v>
      </c>
      <c r="M1169" t="s">
        <v>46</v>
      </c>
      <c r="N1169" s="7">
        <v>1</v>
      </c>
      <c r="O1169" s="8">
        <v>45630.6637962963</v>
      </c>
      <c r="P1169" s="9">
        <v>45632</v>
      </c>
      <c r="Q1169" t="s">
        <v>74</v>
      </c>
      <c r="R1169" t="s">
        <v>48</v>
      </c>
      <c r="S1169" t="s">
        <v>49</v>
      </c>
      <c r="T1169" t="s">
        <v>80</v>
      </c>
      <c r="U1169" t="s">
        <v>3554</v>
      </c>
      <c r="V1169">
        <v>9000</v>
      </c>
      <c r="W1169" t="s">
        <v>48</v>
      </c>
      <c r="X1169" t="s">
        <v>690</v>
      </c>
      <c r="Y1169" t="s">
        <v>54</v>
      </c>
      <c r="Z1169" s="12">
        <f>IF(N1169&lt;=1,9,9+0.8*ROUNDUP(N1169-1,0))</f>
        <v>9</v>
      </c>
      <c r="AA1169" s="11">
        <v>-2</v>
      </c>
      <c r="AB1169" s="11">
        <v>0</v>
      </c>
      <c r="AC1169" s="11">
        <v>0</v>
      </c>
      <c r="AD1169" s="11">
        <v>0</v>
      </c>
      <c r="AE1169" s="11">
        <v>0</v>
      </c>
      <c r="AF1169" s="11">
        <f t="shared" si="54"/>
        <v>0.42</v>
      </c>
      <c r="AG1169" s="11">
        <f t="shared" si="55"/>
        <v>7.42</v>
      </c>
      <c r="AH1169" s="11">
        <v>0</v>
      </c>
      <c r="AI1169" s="11">
        <f t="shared" si="56"/>
        <v>7.42</v>
      </c>
      <c r="AJ1169" t="s">
        <v>62</v>
      </c>
    </row>
    <row r="1170" spans="1:36" ht="15" customHeight="1" x14ac:dyDescent="0.35">
      <c r="A1170">
        <v>10428918</v>
      </c>
      <c r="B1170" t="s">
        <v>36</v>
      </c>
      <c r="C1170" t="s">
        <v>37</v>
      </c>
      <c r="D1170" s="6" t="s">
        <v>38</v>
      </c>
      <c r="E1170" t="s">
        <v>3555</v>
      </c>
      <c r="F1170" t="s">
        <v>40</v>
      </c>
      <c r="G1170" t="s">
        <v>41</v>
      </c>
      <c r="H1170" t="s">
        <v>3556</v>
      </c>
      <c r="I1170" t="s">
        <v>43</v>
      </c>
      <c r="J1170">
        <v>2</v>
      </c>
      <c r="K1170" t="s">
        <v>44</v>
      </c>
      <c r="L1170" t="s">
        <v>45</v>
      </c>
      <c r="M1170" t="s">
        <v>46</v>
      </c>
      <c r="N1170" s="7">
        <v>1</v>
      </c>
      <c r="O1170" s="8">
        <v>45631.739247685182</v>
      </c>
      <c r="P1170" s="9">
        <v>45632</v>
      </c>
      <c r="Q1170" t="s">
        <v>74</v>
      </c>
      <c r="R1170" t="s">
        <v>48</v>
      </c>
      <c r="S1170" t="s">
        <v>49</v>
      </c>
      <c r="T1170" t="s">
        <v>117</v>
      </c>
      <c r="U1170" t="s">
        <v>3557</v>
      </c>
      <c r="V1170">
        <v>41200</v>
      </c>
      <c r="W1170" t="s">
        <v>48</v>
      </c>
      <c r="X1170" t="s">
        <v>591</v>
      </c>
      <c r="Y1170" t="s">
        <v>54</v>
      </c>
      <c r="Z1170" s="12">
        <f>IF(N1170&lt;=1,9,9+0.8*ROUNDUP(N1170-1,0))</f>
        <v>9</v>
      </c>
      <c r="AA1170" s="11">
        <v>-2</v>
      </c>
      <c r="AB1170" s="11">
        <v>0</v>
      </c>
      <c r="AC1170" s="11">
        <v>0</v>
      </c>
      <c r="AD1170" s="11">
        <v>0</v>
      </c>
      <c r="AE1170" s="11">
        <v>0</v>
      </c>
      <c r="AF1170" s="11">
        <f t="shared" si="54"/>
        <v>0.42</v>
      </c>
      <c r="AG1170" s="11">
        <f t="shared" si="55"/>
        <v>7.42</v>
      </c>
      <c r="AH1170" s="11">
        <v>0</v>
      </c>
      <c r="AI1170" s="11">
        <f t="shared" si="56"/>
        <v>7.42</v>
      </c>
      <c r="AJ1170" t="s">
        <v>62</v>
      </c>
    </row>
    <row r="1171" spans="1:36" ht="15" customHeight="1" x14ac:dyDescent="0.35">
      <c r="A1171">
        <v>10428918</v>
      </c>
      <c r="B1171" t="s">
        <v>36</v>
      </c>
      <c r="C1171" t="s">
        <v>37</v>
      </c>
      <c r="D1171" s="6" t="s">
        <v>38</v>
      </c>
      <c r="E1171" t="s">
        <v>3558</v>
      </c>
      <c r="F1171" t="s">
        <v>40</v>
      </c>
      <c r="G1171" t="s">
        <v>41</v>
      </c>
      <c r="H1171" t="s">
        <v>3559</v>
      </c>
      <c r="I1171" t="s">
        <v>43</v>
      </c>
      <c r="J1171">
        <v>2</v>
      </c>
      <c r="K1171" t="s">
        <v>44</v>
      </c>
      <c r="L1171" t="s">
        <v>45</v>
      </c>
      <c r="M1171" t="s">
        <v>46</v>
      </c>
      <c r="N1171" s="7">
        <v>1</v>
      </c>
      <c r="O1171" s="8">
        <v>45624.815196759257</v>
      </c>
      <c r="P1171" s="9">
        <v>45632</v>
      </c>
      <c r="Q1171" t="s">
        <v>74</v>
      </c>
      <c r="R1171" t="s">
        <v>48</v>
      </c>
      <c r="S1171" t="s">
        <v>49</v>
      </c>
      <c r="T1171" t="s">
        <v>161</v>
      </c>
      <c r="U1171" t="s">
        <v>3560</v>
      </c>
      <c r="V1171">
        <v>11900</v>
      </c>
      <c r="W1171" t="s">
        <v>48</v>
      </c>
      <c r="X1171" t="s">
        <v>53</v>
      </c>
      <c r="Y1171" t="s">
        <v>54</v>
      </c>
      <c r="Z1171" s="12">
        <f>IF(N1171&lt;=1,9,9+0.8*ROUNDUP(N1171-1,0))</f>
        <v>9</v>
      </c>
      <c r="AA1171" s="11">
        <v>-2</v>
      </c>
      <c r="AB1171" s="11">
        <v>0</v>
      </c>
      <c r="AC1171" s="11">
        <v>0</v>
      </c>
      <c r="AD1171" s="11">
        <v>0</v>
      </c>
      <c r="AE1171" s="11">
        <v>0</v>
      </c>
      <c r="AF1171" s="11">
        <f t="shared" si="54"/>
        <v>0.42</v>
      </c>
      <c r="AG1171" s="11">
        <f t="shared" si="55"/>
        <v>7.42</v>
      </c>
      <c r="AH1171" s="11">
        <v>0</v>
      </c>
      <c r="AI1171" s="11">
        <f t="shared" si="56"/>
        <v>7.42</v>
      </c>
      <c r="AJ1171" t="s">
        <v>62</v>
      </c>
    </row>
    <row r="1172" spans="1:36" ht="15" customHeight="1" x14ac:dyDescent="0.35">
      <c r="A1172">
        <v>10428918</v>
      </c>
      <c r="B1172" t="s">
        <v>36</v>
      </c>
      <c r="C1172" t="s">
        <v>37</v>
      </c>
      <c r="D1172" s="6" t="s">
        <v>38</v>
      </c>
      <c r="E1172" t="s">
        <v>3561</v>
      </c>
      <c r="F1172" t="s">
        <v>40</v>
      </c>
      <c r="G1172" t="s">
        <v>41</v>
      </c>
      <c r="H1172" t="s">
        <v>570</v>
      </c>
      <c r="I1172" t="s">
        <v>43</v>
      </c>
      <c r="J1172">
        <v>2</v>
      </c>
      <c r="K1172" t="s">
        <v>44</v>
      </c>
      <c r="L1172" t="s">
        <v>45</v>
      </c>
      <c r="M1172" t="s">
        <v>46</v>
      </c>
      <c r="N1172" s="7">
        <v>6</v>
      </c>
      <c r="O1172" s="8">
        <v>45631.815937500003</v>
      </c>
      <c r="P1172" s="9">
        <v>45633</v>
      </c>
      <c r="Q1172" t="s">
        <v>58</v>
      </c>
      <c r="R1172" t="s">
        <v>48</v>
      </c>
      <c r="S1172" t="s">
        <v>49</v>
      </c>
      <c r="T1172" t="s">
        <v>117</v>
      </c>
      <c r="U1172" t="s">
        <v>571</v>
      </c>
      <c r="V1172">
        <v>40000</v>
      </c>
      <c r="W1172" t="s">
        <v>48</v>
      </c>
      <c r="X1172" t="s">
        <v>473</v>
      </c>
      <c r="Y1172" t="s">
        <v>54</v>
      </c>
      <c r="Z1172" s="12">
        <f>IF(N1172&lt;=1,9,9+0.8*ROUNDUP(N1172-1,0))</f>
        <v>13</v>
      </c>
      <c r="AA1172" s="11">
        <v>-2</v>
      </c>
      <c r="AB1172" s="11">
        <v>0</v>
      </c>
      <c r="AC1172" s="11">
        <v>0</v>
      </c>
      <c r="AD1172" s="11">
        <v>0</v>
      </c>
      <c r="AE1172" s="11">
        <v>0</v>
      </c>
      <c r="AF1172" s="11">
        <f t="shared" si="54"/>
        <v>0.65999999999999992</v>
      </c>
      <c r="AG1172" s="11">
        <f t="shared" si="55"/>
        <v>11.66</v>
      </c>
      <c r="AH1172" s="11">
        <v>0</v>
      </c>
      <c r="AI1172" s="11">
        <f t="shared" si="56"/>
        <v>11.66</v>
      </c>
      <c r="AJ1172" t="s">
        <v>62</v>
      </c>
    </row>
    <row r="1173" spans="1:36" ht="15" customHeight="1" x14ac:dyDescent="0.35">
      <c r="A1173">
        <v>10428918</v>
      </c>
      <c r="B1173" t="s">
        <v>36</v>
      </c>
      <c r="C1173" t="s">
        <v>37</v>
      </c>
      <c r="D1173" s="6" t="s">
        <v>38</v>
      </c>
      <c r="E1173" t="s">
        <v>3562</v>
      </c>
      <c r="F1173" t="s">
        <v>40</v>
      </c>
      <c r="G1173" t="s">
        <v>41</v>
      </c>
      <c r="H1173" t="s">
        <v>570</v>
      </c>
      <c r="I1173" t="s">
        <v>43</v>
      </c>
      <c r="J1173">
        <v>2</v>
      </c>
      <c r="K1173" t="s">
        <v>44</v>
      </c>
      <c r="L1173" t="s">
        <v>45</v>
      </c>
      <c r="M1173" t="s">
        <v>46</v>
      </c>
      <c r="N1173" s="7">
        <v>22</v>
      </c>
      <c r="O1173" s="8">
        <v>45631.81795138889</v>
      </c>
      <c r="P1173" s="9">
        <v>45633</v>
      </c>
      <c r="Q1173" t="s">
        <v>58</v>
      </c>
      <c r="R1173" t="s">
        <v>48</v>
      </c>
      <c r="S1173" t="s">
        <v>49</v>
      </c>
      <c r="T1173" t="s">
        <v>117</v>
      </c>
      <c r="U1173" t="s">
        <v>571</v>
      </c>
      <c r="V1173">
        <v>40000</v>
      </c>
      <c r="W1173" t="s">
        <v>48</v>
      </c>
      <c r="X1173" t="s">
        <v>473</v>
      </c>
      <c r="Y1173" t="s">
        <v>54</v>
      </c>
      <c r="Z1173" s="12">
        <f>IF(N1173&lt;=1,9,9+0.8*ROUNDUP(N1173-1,0))</f>
        <v>25.8</v>
      </c>
      <c r="AA1173" s="11">
        <v>-2</v>
      </c>
      <c r="AB1173" s="11">
        <v>0</v>
      </c>
      <c r="AC1173" s="11">
        <v>0</v>
      </c>
      <c r="AD1173" s="11">
        <v>0</v>
      </c>
      <c r="AE1173" s="11">
        <v>0</v>
      </c>
      <c r="AF1173" s="11">
        <f t="shared" si="54"/>
        <v>1.4279999999999999</v>
      </c>
      <c r="AG1173" s="11">
        <f t="shared" si="55"/>
        <v>25.228000000000002</v>
      </c>
      <c r="AH1173" s="11">
        <v>0</v>
      </c>
      <c r="AI1173" s="11">
        <f t="shared" si="56"/>
        <v>25.228000000000002</v>
      </c>
      <c r="AJ1173" t="s">
        <v>62</v>
      </c>
    </row>
    <row r="1174" spans="1:36" ht="15" customHeight="1" x14ac:dyDescent="0.35">
      <c r="A1174">
        <v>10428918</v>
      </c>
      <c r="B1174" t="s">
        <v>36</v>
      </c>
      <c r="C1174" t="s">
        <v>37</v>
      </c>
      <c r="D1174" s="6" t="s">
        <v>38</v>
      </c>
      <c r="E1174" t="s">
        <v>3563</v>
      </c>
      <c r="F1174" t="s">
        <v>40</v>
      </c>
      <c r="G1174" t="s">
        <v>41</v>
      </c>
      <c r="H1174" t="s">
        <v>3564</v>
      </c>
      <c r="I1174" t="s">
        <v>43</v>
      </c>
      <c r="J1174">
        <v>2</v>
      </c>
      <c r="K1174" t="s">
        <v>44</v>
      </c>
      <c r="L1174" t="s">
        <v>45</v>
      </c>
      <c r="M1174" t="s">
        <v>46</v>
      </c>
      <c r="N1174" s="7">
        <v>1</v>
      </c>
      <c r="O1174" s="8">
        <v>45631.796585648146</v>
      </c>
      <c r="P1174" s="9">
        <v>45633</v>
      </c>
      <c r="Q1174" t="s">
        <v>58</v>
      </c>
      <c r="R1174" t="s">
        <v>48</v>
      </c>
      <c r="S1174" t="s">
        <v>49</v>
      </c>
      <c r="T1174" t="s">
        <v>75</v>
      </c>
      <c r="U1174" t="s">
        <v>3565</v>
      </c>
      <c r="V1174">
        <v>25150</v>
      </c>
      <c r="W1174" t="s">
        <v>48</v>
      </c>
      <c r="X1174" t="s">
        <v>61</v>
      </c>
      <c r="Y1174" t="s">
        <v>54</v>
      </c>
      <c r="Z1174" s="12">
        <f>IF(N1174&lt;=1,9,9+0.8*ROUNDUP(N1174-1,0))</f>
        <v>9</v>
      </c>
      <c r="AA1174" s="11">
        <v>-2</v>
      </c>
      <c r="AB1174" s="11">
        <v>0</v>
      </c>
      <c r="AC1174" s="11">
        <v>0</v>
      </c>
      <c r="AD1174" s="11">
        <v>0</v>
      </c>
      <c r="AE1174" s="11">
        <v>0</v>
      </c>
      <c r="AF1174" s="11">
        <f t="shared" si="54"/>
        <v>0.42</v>
      </c>
      <c r="AG1174" s="11">
        <f t="shared" si="55"/>
        <v>7.42</v>
      </c>
      <c r="AH1174" s="11">
        <v>0</v>
      </c>
      <c r="AI1174" s="11">
        <f t="shared" si="56"/>
        <v>7.42</v>
      </c>
      <c r="AJ1174" t="s">
        <v>62</v>
      </c>
    </row>
    <row r="1175" spans="1:36" ht="15" customHeight="1" x14ac:dyDescent="0.35">
      <c r="A1175">
        <v>10428918</v>
      </c>
      <c r="B1175" t="s">
        <v>36</v>
      </c>
      <c r="C1175" t="s">
        <v>37</v>
      </c>
      <c r="D1175" s="6" t="s">
        <v>38</v>
      </c>
      <c r="E1175" t="s">
        <v>3566</v>
      </c>
      <c r="F1175" t="s">
        <v>40</v>
      </c>
      <c r="G1175" t="s">
        <v>41</v>
      </c>
      <c r="H1175" t="s">
        <v>3567</v>
      </c>
      <c r="I1175" t="s">
        <v>43</v>
      </c>
      <c r="J1175">
        <v>2</v>
      </c>
      <c r="K1175" t="s">
        <v>44</v>
      </c>
      <c r="L1175" t="s">
        <v>45</v>
      </c>
      <c r="M1175" t="s">
        <v>46</v>
      </c>
      <c r="N1175" s="7">
        <v>1</v>
      </c>
      <c r="O1175" s="8">
        <v>45631.810694444444</v>
      </c>
      <c r="P1175" s="9">
        <v>45633</v>
      </c>
      <c r="Q1175" t="s">
        <v>58</v>
      </c>
      <c r="R1175" t="s">
        <v>48</v>
      </c>
      <c r="S1175" t="s">
        <v>49</v>
      </c>
      <c r="T1175" t="s">
        <v>59</v>
      </c>
      <c r="U1175" t="s">
        <v>3568</v>
      </c>
      <c r="V1175">
        <v>18500</v>
      </c>
      <c r="W1175" t="s">
        <v>48</v>
      </c>
      <c r="X1175" t="s">
        <v>61</v>
      </c>
      <c r="Y1175" t="s">
        <v>54</v>
      </c>
      <c r="Z1175" s="12">
        <f>IF(N1175&lt;=1,9,9+0.8*ROUNDUP(N1175-1,0))</f>
        <v>9</v>
      </c>
      <c r="AA1175" s="11">
        <v>-2</v>
      </c>
      <c r="AB1175" s="11">
        <v>0</v>
      </c>
      <c r="AC1175" s="11">
        <v>0</v>
      </c>
      <c r="AD1175" s="11">
        <v>0</v>
      </c>
      <c r="AE1175" s="11">
        <v>0</v>
      </c>
      <c r="AF1175" s="11">
        <f t="shared" si="54"/>
        <v>0.42</v>
      </c>
      <c r="AG1175" s="11">
        <f t="shared" si="55"/>
        <v>7.42</v>
      </c>
      <c r="AH1175" s="11">
        <v>0</v>
      </c>
      <c r="AI1175" s="11">
        <f t="shared" si="56"/>
        <v>7.42</v>
      </c>
      <c r="AJ1175" t="s">
        <v>62</v>
      </c>
    </row>
    <row r="1176" spans="1:36" ht="15" customHeight="1" x14ac:dyDescent="0.35">
      <c r="A1176">
        <v>10428918</v>
      </c>
      <c r="B1176" t="s">
        <v>36</v>
      </c>
      <c r="C1176" t="s">
        <v>37</v>
      </c>
      <c r="D1176" s="6" t="s">
        <v>38</v>
      </c>
      <c r="E1176" t="s">
        <v>3569</v>
      </c>
      <c r="F1176" t="s">
        <v>40</v>
      </c>
      <c r="G1176" t="s">
        <v>41</v>
      </c>
      <c r="H1176" t="s">
        <v>3570</v>
      </c>
      <c r="I1176" t="s">
        <v>43</v>
      </c>
      <c r="J1176">
        <v>2</v>
      </c>
      <c r="K1176" t="s">
        <v>44</v>
      </c>
      <c r="L1176" t="s">
        <v>45</v>
      </c>
      <c r="M1176" t="s">
        <v>46</v>
      </c>
      <c r="N1176" s="7">
        <v>2</v>
      </c>
      <c r="O1176" s="8">
        <v>45631.441423611112</v>
      </c>
      <c r="P1176" s="9">
        <v>45633</v>
      </c>
      <c r="Q1176" t="s">
        <v>74</v>
      </c>
      <c r="R1176" t="s">
        <v>48</v>
      </c>
      <c r="S1176" t="s">
        <v>49</v>
      </c>
      <c r="T1176" t="s">
        <v>85</v>
      </c>
      <c r="U1176" t="s">
        <v>3571</v>
      </c>
      <c r="V1176">
        <v>71050</v>
      </c>
      <c r="W1176" t="s">
        <v>48</v>
      </c>
      <c r="X1176" t="s">
        <v>87</v>
      </c>
      <c r="Y1176" t="s">
        <v>54</v>
      </c>
      <c r="Z1176" s="12">
        <f>IF(N1176&lt;=1,9,9+0.8*ROUNDUP(N1176-1,0))</f>
        <v>9.8000000000000007</v>
      </c>
      <c r="AA1176" s="11">
        <v>-2</v>
      </c>
      <c r="AB1176" s="11">
        <v>0</v>
      </c>
      <c r="AC1176" s="11">
        <v>0</v>
      </c>
      <c r="AD1176" s="11">
        <v>0</v>
      </c>
      <c r="AE1176" s="11">
        <v>0</v>
      </c>
      <c r="AF1176" s="11">
        <f t="shared" si="54"/>
        <v>0.46800000000000003</v>
      </c>
      <c r="AG1176" s="11">
        <f t="shared" si="55"/>
        <v>8.2680000000000007</v>
      </c>
      <c r="AH1176" s="11">
        <v>0</v>
      </c>
      <c r="AI1176" s="11">
        <f t="shared" si="56"/>
        <v>8.2680000000000007</v>
      </c>
      <c r="AJ1176" t="s">
        <v>62</v>
      </c>
    </row>
    <row r="1177" spans="1:36" ht="15" customHeight="1" x14ac:dyDescent="0.35">
      <c r="A1177">
        <v>10428918</v>
      </c>
      <c r="B1177" t="s">
        <v>36</v>
      </c>
      <c r="C1177" t="s">
        <v>37</v>
      </c>
      <c r="D1177" s="6" t="s">
        <v>38</v>
      </c>
      <c r="E1177" t="s">
        <v>3572</v>
      </c>
      <c r="F1177" t="s">
        <v>40</v>
      </c>
      <c r="G1177" t="s">
        <v>41</v>
      </c>
      <c r="H1177" t="s">
        <v>3573</v>
      </c>
      <c r="I1177" t="s">
        <v>43</v>
      </c>
      <c r="J1177">
        <v>2</v>
      </c>
      <c r="K1177" t="s">
        <v>44</v>
      </c>
      <c r="L1177" t="s">
        <v>45</v>
      </c>
      <c r="M1177" t="s">
        <v>46</v>
      </c>
      <c r="N1177" s="7">
        <v>1</v>
      </c>
      <c r="O1177" s="8">
        <v>45631.542546296296</v>
      </c>
      <c r="P1177" s="9">
        <v>45633</v>
      </c>
      <c r="Q1177" t="s">
        <v>74</v>
      </c>
      <c r="R1177" t="s">
        <v>48</v>
      </c>
      <c r="S1177" t="s">
        <v>49</v>
      </c>
      <c r="T1177" t="s">
        <v>69</v>
      </c>
      <c r="U1177" t="s">
        <v>3574</v>
      </c>
      <c r="V1177">
        <v>83100</v>
      </c>
      <c r="W1177" t="s">
        <v>48</v>
      </c>
      <c r="X1177" t="s">
        <v>71</v>
      </c>
      <c r="Y1177" t="s">
        <v>54</v>
      </c>
      <c r="Z1177" s="12">
        <f>IF(N1177&lt;=1,9,9+0.8*ROUNDUP(N1177-1,0))</f>
        <v>9</v>
      </c>
      <c r="AA1177" s="11">
        <v>-2</v>
      </c>
      <c r="AB1177" s="11">
        <v>0</v>
      </c>
      <c r="AC1177" s="11">
        <v>0</v>
      </c>
      <c r="AD1177" s="11">
        <v>0</v>
      </c>
      <c r="AE1177" s="11">
        <v>0</v>
      </c>
      <c r="AF1177" s="11">
        <f t="shared" si="54"/>
        <v>0.42</v>
      </c>
      <c r="AG1177" s="11">
        <f t="shared" si="55"/>
        <v>7.42</v>
      </c>
      <c r="AH1177" s="11">
        <v>0</v>
      </c>
      <c r="AI1177" s="11">
        <f t="shared" si="56"/>
        <v>7.42</v>
      </c>
      <c r="AJ1177" t="s">
        <v>62</v>
      </c>
    </row>
    <row r="1178" spans="1:36" ht="15" customHeight="1" x14ac:dyDescent="0.35">
      <c r="A1178">
        <v>10428918</v>
      </c>
      <c r="B1178" t="s">
        <v>36</v>
      </c>
      <c r="C1178" t="s">
        <v>37</v>
      </c>
      <c r="D1178" s="6" t="s">
        <v>38</v>
      </c>
      <c r="E1178" t="s">
        <v>3575</v>
      </c>
      <c r="F1178" t="s">
        <v>40</v>
      </c>
      <c r="G1178" t="s">
        <v>41</v>
      </c>
      <c r="H1178" t="s">
        <v>3576</v>
      </c>
      <c r="I1178" t="s">
        <v>43</v>
      </c>
      <c r="J1178">
        <v>2</v>
      </c>
      <c r="K1178" t="s">
        <v>44</v>
      </c>
      <c r="L1178" t="s">
        <v>45</v>
      </c>
      <c r="M1178" t="s">
        <v>46</v>
      </c>
      <c r="N1178" s="7">
        <v>1</v>
      </c>
      <c r="O1178" s="8">
        <v>45631.796574074076</v>
      </c>
      <c r="P1178" s="9">
        <v>45633</v>
      </c>
      <c r="Q1178" t="s">
        <v>58</v>
      </c>
      <c r="R1178" t="s">
        <v>48</v>
      </c>
      <c r="S1178" t="s">
        <v>49</v>
      </c>
      <c r="T1178" t="s">
        <v>65</v>
      </c>
      <c r="U1178" t="s">
        <v>3577</v>
      </c>
      <c r="V1178">
        <v>76450</v>
      </c>
      <c r="W1178" t="s">
        <v>48</v>
      </c>
      <c r="X1178" t="s">
        <v>406</v>
      </c>
      <c r="Y1178" t="s">
        <v>54</v>
      </c>
      <c r="Z1178" s="12">
        <f>IF(N1178&lt;=1,9,9+0.8*ROUNDUP(N1178-1,0))</f>
        <v>9</v>
      </c>
      <c r="AA1178" s="11">
        <v>-2</v>
      </c>
      <c r="AB1178" s="11">
        <v>0</v>
      </c>
      <c r="AC1178" s="11">
        <v>0</v>
      </c>
      <c r="AD1178" s="11">
        <v>0</v>
      </c>
      <c r="AE1178" s="11">
        <v>0</v>
      </c>
      <c r="AF1178" s="11">
        <f t="shared" si="54"/>
        <v>0.42</v>
      </c>
      <c r="AG1178" s="11">
        <f t="shared" si="55"/>
        <v>7.42</v>
      </c>
      <c r="AH1178" s="11">
        <v>0</v>
      </c>
      <c r="AI1178" s="11">
        <f t="shared" si="56"/>
        <v>7.42</v>
      </c>
      <c r="AJ1178" t="s">
        <v>62</v>
      </c>
    </row>
    <row r="1179" spans="1:36" ht="15" customHeight="1" x14ac:dyDescent="0.35">
      <c r="A1179">
        <v>10428918</v>
      </c>
      <c r="B1179" t="s">
        <v>36</v>
      </c>
      <c r="C1179" t="s">
        <v>37</v>
      </c>
      <c r="D1179" s="6" t="s">
        <v>38</v>
      </c>
      <c r="E1179" t="s">
        <v>3578</v>
      </c>
      <c r="F1179" t="s">
        <v>40</v>
      </c>
      <c r="G1179" t="s">
        <v>41</v>
      </c>
      <c r="H1179" t="s">
        <v>3579</v>
      </c>
      <c r="I1179" t="s">
        <v>43</v>
      </c>
      <c r="J1179">
        <v>2</v>
      </c>
      <c r="K1179" t="s">
        <v>44</v>
      </c>
      <c r="L1179" t="s">
        <v>45</v>
      </c>
      <c r="M1179" t="s">
        <v>46</v>
      </c>
      <c r="N1179" s="7">
        <v>1</v>
      </c>
      <c r="O1179" s="8">
        <v>45630.827233796299</v>
      </c>
      <c r="P1179" s="9">
        <v>45633</v>
      </c>
      <c r="Q1179" t="s">
        <v>74</v>
      </c>
      <c r="R1179" t="s">
        <v>48</v>
      </c>
      <c r="S1179" t="s">
        <v>49</v>
      </c>
      <c r="T1179" t="s">
        <v>69</v>
      </c>
      <c r="U1179" t="s">
        <v>3580</v>
      </c>
      <c r="V1179">
        <v>81750</v>
      </c>
      <c r="W1179" t="s">
        <v>48</v>
      </c>
      <c r="X1179" t="s">
        <v>2125</v>
      </c>
      <c r="Y1179" t="s">
        <v>54</v>
      </c>
      <c r="Z1179" s="12">
        <f>IF(N1179&lt;=1,9,9+0.8*ROUNDUP(N1179-1,0))</f>
        <v>9</v>
      </c>
      <c r="AA1179" s="11">
        <v>-2</v>
      </c>
      <c r="AB1179" s="11">
        <v>0</v>
      </c>
      <c r="AC1179" s="11">
        <v>0</v>
      </c>
      <c r="AD1179" s="11">
        <v>0</v>
      </c>
      <c r="AE1179" s="11">
        <v>0</v>
      </c>
      <c r="AF1179" s="11">
        <f t="shared" si="54"/>
        <v>0.42</v>
      </c>
      <c r="AG1179" s="11">
        <f t="shared" si="55"/>
        <v>7.42</v>
      </c>
      <c r="AH1179" s="11">
        <v>0</v>
      </c>
      <c r="AI1179" s="11">
        <f t="shared" si="56"/>
        <v>7.42</v>
      </c>
      <c r="AJ1179" t="s">
        <v>62</v>
      </c>
    </row>
    <row r="1180" spans="1:36" ht="15" customHeight="1" x14ac:dyDescent="0.35">
      <c r="A1180">
        <v>10428918</v>
      </c>
      <c r="B1180" t="s">
        <v>36</v>
      </c>
      <c r="C1180" t="s">
        <v>37</v>
      </c>
      <c r="D1180" s="6" t="s">
        <v>38</v>
      </c>
      <c r="E1180" t="s">
        <v>3581</v>
      </c>
      <c r="F1180" t="s">
        <v>40</v>
      </c>
      <c r="G1180" t="s">
        <v>41</v>
      </c>
      <c r="H1180" t="s">
        <v>3582</v>
      </c>
      <c r="I1180" t="s">
        <v>43</v>
      </c>
      <c r="J1180">
        <v>2</v>
      </c>
      <c r="K1180" t="s">
        <v>44</v>
      </c>
      <c r="L1180" t="s">
        <v>45</v>
      </c>
      <c r="M1180" t="s">
        <v>46</v>
      </c>
      <c r="N1180" s="7">
        <v>1</v>
      </c>
      <c r="O1180" s="8">
        <v>45630.827233796299</v>
      </c>
      <c r="P1180" s="9">
        <v>45633</v>
      </c>
      <c r="Q1180" t="s">
        <v>74</v>
      </c>
      <c r="R1180" t="s">
        <v>48</v>
      </c>
      <c r="S1180" t="s">
        <v>49</v>
      </c>
      <c r="T1180" t="s">
        <v>65</v>
      </c>
      <c r="U1180" t="s">
        <v>3583</v>
      </c>
      <c r="V1180">
        <v>77300</v>
      </c>
      <c r="W1180" t="s">
        <v>48</v>
      </c>
      <c r="X1180" t="s">
        <v>361</v>
      </c>
      <c r="Y1180" t="s">
        <v>54</v>
      </c>
      <c r="Z1180" s="12">
        <f>IF(N1180&lt;=1,9,9+0.8*ROUNDUP(N1180-1,0))</f>
        <v>9</v>
      </c>
      <c r="AA1180" s="11">
        <v>-2</v>
      </c>
      <c r="AB1180" s="11">
        <v>0</v>
      </c>
      <c r="AC1180" s="11">
        <v>0</v>
      </c>
      <c r="AD1180" s="11">
        <v>0</v>
      </c>
      <c r="AE1180" s="11">
        <v>0</v>
      </c>
      <c r="AF1180" s="11">
        <f t="shared" si="54"/>
        <v>0.42</v>
      </c>
      <c r="AG1180" s="11">
        <f t="shared" si="55"/>
        <v>7.42</v>
      </c>
      <c r="AH1180" s="11">
        <v>0</v>
      </c>
      <c r="AI1180" s="11">
        <f t="shared" si="56"/>
        <v>7.42</v>
      </c>
      <c r="AJ1180" t="s">
        <v>62</v>
      </c>
    </row>
    <row r="1181" spans="1:36" ht="15" customHeight="1" x14ac:dyDescent="0.35">
      <c r="A1181">
        <v>10428918</v>
      </c>
      <c r="B1181" t="s">
        <v>36</v>
      </c>
      <c r="C1181" t="s">
        <v>37</v>
      </c>
      <c r="D1181" s="6" t="s">
        <v>38</v>
      </c>
      <c r="E1181" t="s">
        <v>3584</v>
      </c>
      <c r="F1181" t="s">
        <v>40</v>
      </c>
      <c r="G1181" t="s">
        <v>41</v>
      </c>
      <c r="H1181" t="s">
        <v>3585</v>
      </c>
      <c r="I1181" t="s">
        <v>43</v>
      </c>
      <c r="J1181">
        <v>2</v>
      </c>
      <c r="K1181" t="s">
        <v>44</v>
      </c>
      <c r="L1181" t="s">
        <v>45</v>
      </c>
      <c r="M1181" t="s">
        <v>46</v>
      </c>
      <c r="N1181" s="7">
        <v>1</v>
      </c>
      <c r="O1181" s="8">
        <v>45630.801481481481</v>
      </c>
      <c r="P1181" s="9">
        <v>45633</v>
      </c>
      <c r="Q1181" t="s">
        <v>74</v>
      </c>
      <c r="R1181" t="s">
        <v>48</v>
      </c>
      <c r="S1181" t="s">
        <v>49</v>
      </c>
      <c r="T1181" t="s">
        <v>101</v>
      </c>
      <c r="U1181" t="s">
        <v>3586</v>
      </c>
      <c r="V1181">
        <v>34200</v>
      </c>
      <c r="W1181" t="s">
        <v>48</v>
      </c>
      <c r="X1181" t="s">
        <v>53</v>
      </c>
      <c r="Y1181" t="s">
        <v>54</v>
      </c>
      <c r="Z1181" s="12">
        <f>IF(N1181&lt;=1,9,9+0.8*ROUNDUP(N1181-1,0))</f>
        <v>9</v>
      </c>
      <c r="AA1181" s="11">
        <v>-2</v>
      </c>
      <c r="AB1181" s="11">
        <v>0</v>
      </c>
      <c r="AC1181" s="11">
        <v>0</v>
      </c>
      <c r="AD1181" s="11">
        <v>0</v>
      </c>
      <c r="AE1181" s="11">
        <v>0</v>
      </c>
      <c r="AF1181" s="11">
        <f t="shared" si="54"/>
        <v>0.42</v>
      </c>
      <c r="AG1181" s="11">
        <f t="shared" si="55"/>
        <v>7.42</v>
      </c>
      <c r="AH1181" s="11">
        <v>0</v>
      </c>
      <c r="AI1181" s="11">
        <f t="shared" si="56"/>
        <v>7.42</v>
      </c>
      <c r="AJ1181" t="s">
        <v>62</v>
      </c>
    </row>
    <row r="1182" spans="1:36" ht="15" customHeight="1" x14ac:dyDescent="0.35">
      <c r="A1182">
        <v>10428918</v>
      </c>
      <c r="B1182" t="s">
        <v>36</v>
      </c>
      <c r="C1182" t="s">
        <v>37</v>
      </c>
      <c r="D1182" s="6" t="s">
        <v>38</v>
      </c>
      <c r="E1182" t="s">
        <v>3587</v>
      </c>
      <c r="F1182" t="s">
        <v>40</v>
      </c>
      <c r="G1182" t="s">
        <v>41</v>
      </c>
      <c r="H1182" t="s">
        <v>3588</v>
      </c>
      <c r="I1182" t="s">
        <v>43</v>
      </c>
      <c r="J1182">
        <v>2</v>
      </c>
      <c r="K1182" t="s">
        <v>44</v>
      </c>
      <c r="L1182" t="s">
        <v>45</v>
      </c>
      <c r="M1182" t="s">
        <v>46</v>
      </c>
      <c r="N1182" s="7">
        <v>1</v>
      </c>
      <c r="O1182" s="8">
        <v>45629.818182870367</v>
      </c>
      <c r="P1182" s="9">
        <v>45633</v>
      </c>
      <c r="Q1182" t="s">
        <v>74</v>
      </c>
      <c r="R1182" t="s">
        <v>48</v>
      </c>
      <c r="S1182" t="s">
        <v>49</v>
      </c>
      <c r="T1182" t="s">
        <v>69</v>
      </c>
      <c r="U1182" t="s">
        <v>3589</v>
      </c>
      <c r="V1182">
        <v>84600</v>
      </c>
      <c r="W1182" t="s">
        <v>48</v>
      </c>
      <c r="X1182" t="s">
        <v>53</v>
      </c>
      <c r="Y1182" t="s">
        <v>54</v>
      </c>
      <c r="Z1182" s="12">
        <f>IF(N1182&lt;=1,9,9+0.8*ROUNDUP(N1182-1,0))</f>
        <v>9</v>
      </c>
      <c r="AA1182" s="11">
        <v>-2</v>
      </c>
      <c r="AB1182" s="11">
        <v>0</v>
      </c>
      <c r="AC1182" s="11">
        <v>0</v>
      </c>
      <c r="AD1182" s="11">
        <v>0</v>
      </c>
      <c r="AE1182" s="11">
        <v>0</v>
      </c>
      <c r="AF1182" s="11">
        <f t="shared" si="54"/>
        <v>0.42</v>
      </c>
      <c r="AG1182" s="11">
        <f t="shared" si="55"/>
        <v>7.42</v>
      </c>
      <c r="AH1182" s="11">
        <v>0</v>
      </c>
      <c r="AI1182" s="11">
        <f t="shared" si="56"/>
        <v>7.42</v>
      </c>
      <c r="AJ1182" t="s">
        <v>62</v>
      </c>
    </row>
    <row r="1183" spans="1:36" ht="15" customHeight="1" x14ac:dyDescent="0.35">
      <c r="A1183">
        <v>10428918</v>
      </c>
      <c r="B1183" t="s">
        <v>36</v>
      </c>
      <c r="C1183" t="s">
        <v>37</v>
      </c>
      <c r="D1183" s="6" t="s">
        <v>38</v>
      </c>
      <c r="E1183" t="s">
        <v>3590</v>
      </c>
      <c r="F1183" t="s">
        <v>40</v>
      </c>
      <c r="G1183" t="s">
        <v>41</v>
      </c>
      <c r="H1183" t="s">
        <v>3591</v>
      </c>
      <c r="I1183" t="s">
        <v>43</v>
      </c>
      <c r="J1183">
        <v>2</v>
      </c>
      <c r="K1183" t="s">
        <v>44</v>
      </c>
      <c r="L1183" t="s">
        <v>45</v>
      </c>
      <c r="M1183" t="s">
        <v>46</v>
      </c>
      <c r="N1183" s="7">
        <v>1</v>
      </c>
      <c r="O1183" s="8">
        <v>45631.796574074076</v>
      </c>
      <c r="P1183" s="9">
        <v>45633</v>
      </c>
      <c r="Q1183" t="s">
        <v>58</v>
      </c>
      <c r="R1183" t="s">
        <v>48</v>
      </c>
      <c r="S1183" t="s">
        <v>49</v>
      </c>
      <c r="T1183" t="s">
        <v>59</v>
      </c>
      <c r="U1183" t="s">
        <v>3592</v>
      </c>
      <c r="V1183">
        <v>16200</v>
      </c>
      <c r="W1183" t="s">
        <v>48</v>
      </c>
      <c r="X1183" t="s">
        <v>61</v>
      </c>
      <c r="Y1183" t="s">
        <v>54</v>
      </c>
      <c r="Z1183" s="12">
        <f>IF(N1183&lt;=1,9,9+0.8*ROUNDUP(N1183-1,0))</f>
        <v>9</v>
      </c>
      <c r="AA1183" s="11">
        <v>-2</v>
      </c>
      <c r="AB1183" s="11">
        <v>0</v>
      </c>
      <c r="AC1183" s="11">
        <v>0</v>
      </c>
      <c r="AD1183" s="11">
        <v>0</v>
      </c>
      <c r="AE1183" s="11">
        <v>0</v>
      </c>
      <c r="AF1183" s="11">
        <f t="shared" si="54"/>
        <v>0.42</v>
      </c>
      <c r="AG1183" s="11">
        <f t="shared" si="55"/>
        <v>7.42</v>
      </c>
      <c r="AH1183" s="11">
        <v>0</v>
      </c>
      <c r="AI1183" s="11">
        <f t="shared" si="56"/>
        <v>7.42</v>
      </c>
      <c r="AJ1183" t="s">
        <v>62</v>
      </c>
    </row>
    <row r="1184" spans="1:36" ht="15" customHeight="1" x14ac:dyDescent="0.35">
      <c r="A1184">
        <v>10428918</v>
      </c>
      <c r="B1184" t="s">
        <v>36</v>
      </c>
      <c r="C1184" t="s">
        <v>37</v>
      </c>
      <c r="D1184" s="6" t="s">
        <v>38</v>
      </c>
      <c r="E1184" t="s">
        <v>3593</v>
      </c>
      <c r="F1184" t="s">
        <v>40</v>
      </c>
      <c r="G1184" t="s">
        <v>41</v>
      </c>
      <c r="H1184" t="s">
        <v>226</v>
      </c>
      <c r="I1184" t="s">
        <v>43</v>
      </c>
      <c r="J1184">
        <v>2</v>
      </c>
      <c r="K1184" t="s">
        <v>44</v>
      </c>
      <c r="L1184" t="s">
        <v>45</v>
      </c>
      <c r="M1184" t="s">
        <v>46</v>
      </c>
      <c r="N1184" s="7">
        <v>1</v>
      </c>
      <c r="O1184" s="8">
        <v>45632.448738425926</v>
      </c>
      <c r="P1184" s="9">
        <v>45633</v>
      </c>
      <c r="Q1184" t="s">
        <v>58</v>
      </c>
      <c r="R1184" t="s">
        <v>48</v>
      </c>
      <c r="S1184" t="s">
        <v>49</v>
      </c>
      <c r="T1184" t="s">
        <v>117</v>
      </c>
      <c r="U1184" t="s">
        <v>3594</v>
      </c>
      <c r="V1184">
        <v>43000</v>
      </c>
      <c r="W1184" t="s">
        <v>48</v>
      </c>
      <c r="X1184" t="s">
        <v>228</v>
      </c>
      <c r="Y1184" t="s">
        <v>54</v>
      </c>
      <c r="Z1184" s="12">
        <f>IF(N1184&lt;=1,9,9+0.8*ROUNDUP(N1184-1,0))</f>
        <v>9</v>
      </c>
      <c r="AA1184" s="11">
        <v>-2</v>
      </c>
      <c r="AB1184" s="11">
        <v>0</v>
      </c>
      <c r="AC1184" s="11">
        <v>0</v>
      </c>
      <c r="AD1184" s="11">
        <v>0</v>
      </c>
      <c r="AE1184" s="11">
        <v>0</v>
      </c>
      <c r="AF1184" s="11">
        <f t="shared" si="54"/>
        <v>0.42</v>
      </c>
      <c r="AG1184" s="11">
        <f t="shared" si="55"/>
        <v>7.42</v>
      </c>
      <c r="AH1184" s="11">
        <v>0</v>
      </c>
      <c r="AI1184" s="11">
        <f t="shared" si="56"/>
        <v>7.42</v>
      </c>
      <c r="AJ1184" t="s">
        <v>62</v>
      </c>
    </row>
    <row r="1185" spans="1:36" ht="15" customHeight="1" x14ac:dyDescent="0.35">
      <c r="A1185">
        <v>10428918</v>
      </c>
      <c r="B1185" t="s">
        <v>36</v>
      </c>
      <c r="C1185" t="s">
        <v>37</v>
      </c>
      <c r="D1185" s="6" t="s">
        <v>38</v>
      </c>
      <c r="E1185" t="s">
        <v>3595</v>
      </c>
      <c r="F1185" t="s">
        <v>40</v>
      </c>
      <c r="G1185" t="s">
        <v>41</v>
      </c>
      <c r="H1185" t="s">
        <v>3596</v>
      </c>
      <c r="I1185" t="s">
        <v>43</v>
      </c>
      <c r="J1185">
        <v>2</v>
      </c>
      <c r="K1185" t="s">
        <v>44</v>
      </c>
      <c r="L1185" t="s">
        <v>45</v>
      </c>
      <c r="M1185" t="s">
        <v>46</v>
      </c>
      <c r="N1185" s="7">
        <v>1</v>
      </c>
      <c r="O1185" s="8">
        <v>45629.818171296298</v>
      </c>
      <c r="P1185" s="9">
        <v>45633</v>
      </c>
      <c r="Q1185" t="s">
        <v>74</v>
      </c>
      <c r="R1185" t="s">
        <v>48</v>
      </c>
      <c r="S1185" t="s">
        <v>49</v>
      </c>
      <c r="T1185" t="s">
        <v>69</v>
      </c>
      <c r="U1185" t="s">
        <v>3597</v>
      </c>
      <c r="V1185">
        <v>81200</v>
      </c>
      <c r="W1185" t="s">
        <v>48</v>
      </c>
      <c r="X1185" t="s">
        <v>53</v>
      </c>
      <c r="Y1185" t="s">
        <v>54</v>
      </c>
      <c r="Z1185" s="12">
        <f>IF(N1185&lt;=1,9,9+0.8*ROUNDUP(N1185-1,0))</f>
        <v>9</v>
      </c>
      <c r="AA1185" s="11">
        <v>-2</v>
      </c>
      <c r="AB1185" s="11">
        <v>0</v>
      </c>
      <c r="AC1185" s="11">
        <v>0</v>
      </c>
      <c r="AD1185" s="11">
        <v>0</v>
      </c>
      <c r="AE1185" s="11">
        <v>0</v>
      </c>
      <c r="AF1185" s="11">
        <f t="shared" si="54"/>
        <v>0.42</v>
      </c>
      <c r="AG1185" s="11">
        <f t="shared" si="55"/>
        <v>7.42</v>
      </c>
      <c r="AH1185" s="11">
        <v>0</v>
      </c>
      <c r="AI1185" s="11">
        <f t="shared" si="56"/>
        <v>7.42</v>
      </c>
      <c r="AJ1185" t="s">
        <v>62</v>
      </c>
    </row>
    <row r="1186" spans="1:36" ht="15" customHeight="1" x14ac:dyDescent="0.35">
      <c r="A1186">
        <v>10428918</v>
      </c>
      <c r="B1186" t="s">
        <v>36</v>
      </c>
      <c r="C1186" t="s">
        <v>37</v>
      </c>
      <c r="D1186" s="6" t="s">
        <v>38</v>
      </c>
      <c r="E1186" t="s">
        <v>3598</v>
      </c>
      <c r="F1186" t="s">
        <v>40</v>
      </c>
      <c r="G1186" t="s">
        <v>41</v>
      </c>
      <c r="H1186" t="s">
        <v>3599</v>
      </c>
      <c r="I1186" t="s">
        <v>43</v>
      </c>
      <c r="J1186">
        <v>2</v>
      </c>
      <c r="K1186" t="s">
        <v>44</v>
      </c>
      <c r="L1186" t="s">
        <v>45</v>
      </c>
      <c r="M1186" t="s">
        <v>46</v>
      </c>
      <c r="N1186" s="7">
        <v>1</v>
      </c>
      <c r="O1186" s="8">
        <v>45631.441435185188</v>
      </c>
      <c r="P1186" s="9">
        <v>45633</v>
      </c>
      <c r="Q1186" t="s">
        <v>74</v>
      </c>
      <c r="R1186" t="s">
        <v>48</v>
      </c>
      <c r="S1186" t="s">
        <v>49</v>
      </c>
      <c r="T1186" t="s">
        <v>161</v>
      </c>
      <c r="U1186" t="s">
        <v>3600</v>
      </c>
      <c r="V1186">
        <v>14200</v>
      </c>
      <c r="W1186" t="s">
        <v>48</v>
      </c>
      <c r="X1186" t="s">
        <v>53</v>
      </c>
      <c r="Y1186" t="s">
        <v>54</v>
      </c>
      <c r="Z1186" s="12">
        <f>IF(N1186&lt;=1,9,9+0.8*ROUNDUP(N1186-1,0))</f>
        <v>9</v>
      </c>
      <c r="AA1186" s="11">
        <v>-2</v>
      </c>
      <c r="AB1186" s="11">
        <v>0</v>
      </c>
      <c r="AC1186" s="11">
        <v>0</v>
      </c>
      <c r="AD1186" s="11">
        <v>0</v>
      </c>
      <c r="AE1186" s="11">
        <v>0</v>
      </c>
      <c r="AF1186" s="11">
        <f t="shared" si="54"/>
        <v>0.42</v>
      </c>
      <c r="AG1186" s="11">
        <f t="shared" si="55"/>
        <v>7.42</v>
      </c>
      <c r="AH1186" s="11">
        <v>0</v>
      </c>
      <c r="AI1186" s="11">
        <f t="shared" si="56"/>
        <v>7.42</v>
      </c>
      <c r="AJ1186" t="s">
        <v>62</v>
      </c>
    </row>
    <row r="1187" spans="1:36" ht="15" customHeight="1" x14ac:dyDescent="0.35">
      <c r="A1187">
        <v>10428918</v>
      </c>
      <c r="B1187" t="s">
        <v>36</v>
      </c>
      <c r="C1187" t="s">
        <v>37</v>
      </c>
      <c r="D1187" s="6" t="s">
        <v>38</v>
      </c>
      <c r="E1187" t="s">
        <v>3601</v>
      </c>
      <c r="F1187" t="s">
        <v>40</v>
      </c>
      <c r="G1187" t="s">
        <v>41</v>
      </c>
      <c r="H1187" t="s">
        <v>3602</v>
      </c>
      <c r="I1187" t="s">
        <v>43</v>
      </c>
      <c r="J1187">
        <v>2</v>
      </c>
      <c r="K1187" t="s">
        <v>44</v>
      </c>
      <c r="L1187" t="s">
        <v>45</v>
      </c>
      <c r="M1187" t="s">
        <v>46</v>
      </c>
      <c r="N1187" s="7">
        <v>1</v>
      </c>
      <c r="O1187" s="8">
        <v>45631.410937499997</v>
      </c>
      <c r="P1187" s="9">
        <v>45633</v>
      </c>
      <c r="Q1187" t="s">
        <v>74</v>
      </c>
      <c r="R1187" t="s">
        <v>48</v>
      </c>
      <c r="S1187" t="s">
        <v>49</v>
      </c>
      <c r="T1187" t="s">
        <v>85</v>
      </c>
      <c r="U1187" t="s">
        <v>3603</v>
      </c>
      <c r="V1187">
        <v>71050</v>
      </c>
      <c r="W1187" t="s">
        <v>48</v>
      </c>
      <c r="X1187" t="s">
        <v>87</v>
      </c>
      <c r="Y1187" t="s">
        <v>54</v>
      </c>
      <c r="Z1187" s="12">
        <f>IF(N1187&lt;=1,9,9+0.8*ROUNDUP(N1187-1,0))</f>
        <v>9</v>
      </c>
      <c r="AA1187" s="11">
        <v>-2</v>
      </c>
      <c r="AB1187" s="11">
        <v>0</v>
      </c>
      <c r="AC1187" s="11">
        <v>0</v>
      </c>
      <c r="AD1187" s="11">
        <v>0</v>
      </c>
      <c r="AE1187" s="11">
        <v>0</v>
      </c>
      <c r="AF1187" s="11">
        <f t="shared" si="54"/>
        <v>0.42</v>
      </c>
      <c r="AG1187" s="11">
        <f t="shared" si="55"/>
        <v>7.42</v>
      </c>
      <c r="AH1187" s="11">
        <v>0</v>
      </c>
      <c r="AI1187" s="11">
        <f t="shared" si="56"/>
        <v>7.42</v>
      </c>
      <c r="AJ1187" t="s">
        <v>62</v>
      </c>
    </row>
    <row r="1188" spans="1:36" ht="15" customHeight="1" x14ac:dyDescent="0.35">
      <c r="A1188">
        <v>10428918</v>
      </c>
      <c r="B1188" t="s">
        <v>36</v>
      </c>
      <c r="C1188" t="s">
        <v>37</v>
      </c>
      <c r="D1188" s="6" t="s">
        <v>38</v>
      </c>
      <c r="E1188" t="s">
        <v>3604</v>
      </c>
      <c r="F1188" t="s">
        <v>40</v>
      </c>
      <c r="G1188" t="s">
        <v>41</v>
      </c>
      <c r="H1188" t="s">
        <v>3605</v>
      </c>
      <c r="I1188" t="s">
        <v>43</v>
      </c>
      <c r="J1188">
        <v>2</v>
      </c>
      <c r="K1188" t="s">
        <v>44</v>
      </c>
      <c r="L1188" t="s">
        <v>45</v>
      </c>
      <c r="M1188" t="s">
        <v>46</v>
      </c>
      <c r="N1188" s="7">
        <v>2</v>
      </c>
      <c r="O1188" s="8">
        <v>45630.781261574077</v>
      </c>
      <c r="P1188" s="9">
        <v>45633</v>
      </c>
      <c r="Q1188" t="s">
        <v>74</v>
      </c>
      <c r="R1188" t="s">
        <v>48</v>
      </c>
      <c r="S1188" t="s">
        <v>49</v>
      </c>
      <c r="T1188" t="s">
        <v>101</v>
      </c>
      <c r="U1188" t="s">
        <v>3606</v>
      </c>
      <c r="V1188">
        <v>34200</v>
      </c>
      <c r="W1188" t="s">
        <v>48</v>
      </c>
      <c r="X1188" t="s">
        <v>568</v>
      </c>
      <c r="Y1188" t="s">
        <v>54</v>
      </c>
      <c r="Z1188" s="12">
        <f>IF(N1188&lt;=1,9,9+0.8*ROUNDUP(N1188-1,0))</f>
        <v>9.8000000000000007</v>
      </c>
      <c r="AA1188" s="11">
        <v>-2</v>
      </c>
      <c r="AB1188" s="11">
        <v>0</v>
      </c>
      <c r="AC1188" s="11">
        <v>0</v>
      </c>
      <c r="AD1188" s="11">
        <v>0</v>
      </c>
      <c r="AE1188" s="11">
        <v>0</v>
      </c>
      <c r="AF1188" s="11">
        <f t="shared" si="54"/>
        <v>0.46800000000000003</v>
      </c>
      <c r="AG1188" s="11">
        <f t="shared" si="55"/>
        <v>8.2680000000000007</v>
      </c>
      <c r="AH1188" s="11">
        <v>0</v>
      </c>
      <c r="AI1188" s="11">
        <f t="shared" si="56"/>
        <v>8.2680000000000007</v>
      </c>
      <c r="AJ1188" t="s">
        <v>62</v>
      </c>
    </row>
    <row r="1189" spans="1:36" ht="15" customHeight="1" x14ac:dyDescent="0.35">
      <c r="A1189">
        <v>10428918</v>
      </c>
      <c r="B1189" t="s">
        <v>36</v>
      </c>
      <c r="C1189" t="s">
        <v>37</v>
      </c>
      <c r="D1189" s="6" t="s">
        <v>38</v>
      </c>
      <c r="E1189" t="s">
        <v>3607</v>
      </c>
      <c r="F1189" t="s">
        <v>40</v>
      </c>
      <c r="G1189" t="s">
        <v>41</v>
      </c>
      <c r="H1189" t="s">
        <v>3608</v>
      </c>
      <c r="I1189" t="s">
        <v>43</v>
      </c>
      <c r="J1189">
        <v>2</v>
      </c>
      <c r="K1189" t="s">
        <v>44</v>
      </c>
      <c r="L1189" t="s">
        <v>45</v>
      </c>
      <c r="M1189" t="s">
        <v>46</v>
      </c>
      <c r="N1189" s="7">
        <v>1</v>
      </c>
      <c r="O1189" s="8">
        <v>45631.45039351852</v>
      </c>
      <c r="P1189" s="9">
        <v>45633</v>
      </c>
      <c r="Q1189" t="s">
        <v>74</v>
      </c>
      <c r="R1189" t="s">
        <v>48</v>
      </c>
      <c r="S1189" t="s">
        <v>49</v>
      </c>
      <c r="T1189" t="s">
        <v>65</v>
      </c>
      <c r="U1189" t="s">
        <v>3609</v>
      </c>
      <c r="V1189">
        <v>75350</v>
      </c>
      <c r="W1189" t="s">
        <v>48</v>
      </c>
      <c r="X1189" t="s">
        <v>480</v>
      </c>
      <c r="Y1189" t="s">
        <v>54</v>
      </c>
      <c r="Z1189" s="12">
        <f>IF(N1189&lt;=1,9,9+0.8*ROUNDUP(N1189-1,0))</f>
        <v>9</v>
      </c>
      <c r="AA1189" s="11">
        <v>-2</v>
      </c>
      <c r="AB1189" s="11">
        <v>0</v>
      </c>
      <c r="AC1189" s="11">
        <v>0</v>
      </c>
      <c r="AD1189" s="11">
        <v>0</v>
      </c>
      <c r="AE1189" s="11">
        <v>0</v>
      </c>
      <c r="AF1189" s="11">
        <f t="shared" si="54"/>
        <v>0.42</v>
      </c>
      <c r="AG1189" s="11">
        <f t="shared" si="55"/>
        <v>7.42</v>
      </c>
      <c r="AH1189" s="11">
        <v>0</v>
      </c>
      <c r="AI1189" s="11">
        <f t="shared" si="56"/>
        <v>7.42</v>
      </c>
      <c r="AJ1189" t="s">
        <v>62</v>
      </c>
    </row>
    <row r="1190" spans="1:36" ht="15" customHeight="1" x14ac:dyDescent="0.35">
      <c r="A1190">
        <v>10428918</v>
      </c>
      <c r="B1190" t="s">
        <v>36</v>
      </c>
      <c r="C1190" t="s">
        <v>37</v>
      </c>
      <c r="D1190" s="6" t="s">
        <v>38</v>
      </c>
      <c r="E1190" t="s">
        <v>3610</v>
      </c>
      <c r="F1190" t="s">
        <v>40</v>
      </c>
      <c r="G1190" t="s">
        <v>41</v>
      </c>
      <c r="H1190" t="s">
        <v>2221</v>
      </c>
      <c r="I1190" t="s">
        <v>43</v>
      </c>
      <c r="J1190">
        <v>2</v>
      </c>
      <c r="K1190" t="s">
        <v>44</v>
      </c>
      <c r="L1190" t="s">
        <v>45</v>
      </c>
      <c r="M1190" t="s">
        <v>46</v>
      </c>
      <c r="N1190" s="7">
        <v>1</v>
      </c>
      <c r="O1190" s="8">
        <v>45630.812407407408</v>
      </c>
      <c r="P1190" s="9">
        <v>45633</v>
      </c>
      <c r="Q1190" t="s">
        <v>74</v>
      </c>
      <c r="R1190" t="s">
        <v>48</v>
      </c>
      <c r="S1190" t="s">
        <v>49</v>
      </c>
      <c r="T1190" t="s">
        <v>101</v>
      </c>
      <c r="U1190" t="s">
        <v>3611</v>
      </c>
      <c r="V1190">
        <v>31150</v>
      </c>
      <c r="W1190" t="s">
        <v>48</v>
      </c>
      <c r="X1190" t="s">
        <v>1401</v>
      </c>
      <c r="Y1190" t="s">
        <v>54</v>
      </c>
      <c r="Z1190" s="12">
        <f>IF(N1190&lt;=1,9,9+0.8*ROUNDUP(N1190-1,0))</f>
        <v>9</v>
      </c>
      <c r="AA1190" s="11">
        <v>-2</v>
      </c>
      <c r="AB1190" s="11">
        <v>0</v>
      </c>
      <c r="AC1190" s="11">
        <v>0</v>
      </c>
      <c r="AD1190" s="11">
        <v>0</v>
      </c>
      <c r="AE1190" s="11">
        <v>0</v>
      </c>
      <c r="AF1190" s="11">
        <f t="shared" si="54"/>
        <v>0.42</v>
      </c>
      <c r="AG1190" s="11">
        <f t="shared" si="55"/>
        <v>7.42</v>
      </c>
      <c r="AH1190" s="11">
        <v>0</v>
      </c>
      <c r="AI1190" s="11">
        <f t="shared" si="56"/>
        <v>7.42</v>
      </c>
      <c r="AJ1190" t="s">
        <v>62</v>
      </c>
    </row>
    <row r="1191" spans="1:36" ht="15" customHeight="1" x14ac:dyDescent="0.35">
      <c r="A1191">
        <v>10428918</v>
      </c>
      <c r="B1191" t="s">
        <v>36</v>
      </c>
      <c r="C1191" t="s">
        <v>37</v>
      </c>
      <c r="D1191" s="6" t="s">
        <v>38</v>
      </c>
      <c r="E1191" t="s">
        <v>3612</v>
      </c>
      <c r="F1191" t="s">
        <v>40</v>
      </c>
      <c r="G1191" t="s">
        <v>41</v>
      </c>
      <c r="H1191" t="s">
        <v>3613</v>
      </c>
      <c r="I1191" t="s">
        <v>43</v>
      </c>
      <c r="J1191">
        <v>2</v>
      </c>
      <c r="K1191" t="s">
        <v>44</v>
      </c>
      <c r="L1191" t="s">
        <v>45</v>
      </c>
      <c r="M1191" t="s">
        <v>46</v>
      </c>
      <c r="N1191" s="7">
        <v>1</v>
      </c>
      <c r="O1191" s="8">
        <v>45630.812407407408</v>
      </c>
      <c r="P1191" s="9">
        <v>45633</v>
      </c>
      <c r="Q1191" t="s">
        <v>74</v>
      </c>
      <c r="R1191" t="s">
        <v>48</v>
      </c>
      <c r="S1191" t="s">
        <v>49</v>
      </c>
      <c r="T1191" t="s">
        <v>161</v>
      </c>
      <c r="U1191" t="s">
        <v>3614</v>
      </c>
      <c r="V1191">
        <v>11910</v>
      </c>
      <c r="W1191" t="s">
        <v>48</v>
      </c>
      <c r="X1191" t="s">
        <v>820</v>
      </c>
      <c r="Y1191" t="s">
        <v>54</v>
      </c>
      <c r="Z1191" s="12">
        <f>IF(N1191&lt;=1,9,9+0.8*ROUNDUP(N1191-1,0))</f>
        <v>9</v>
      </c>
      <c r="AA1191" s="11">
        <v>-2</v>
      </c>
      <c r="AB1191" s="11">
        <v>0</v>
      </c>
      <c r="AC1191" s="11">
        <v>0</v>
      </c>
      <c r="AD1191" s="11">
        <v>0</v>
      </c>
      <c r="AE1191" s="11">
        <v>0</v>
      </c>
      <c r="AF1191" s="11">
        <f t="shared" si="54"/>
        <v>0.42</v>
      </c>
      <c r="AG1191" s="11">
        <f t="shared" si="55"/>
        <v>7.42</v>
      </c>
      <c r="AH1191" s="11">
        <v>0</v>
      </c>
      <c r="AI1191" s="11">
        <f t="shared" si="56"/>
        <v>7.42</v>
      </c>
      <c r="AJ1191" t="s">
        <v>62</v>
      </c>
    </row>
    <row r="1192" spans="1:36" ht="15" customHeight="1" x14ac:dyDescent="0.35">
      <c r="A1192">
        <v>10428918</v>
      </c>
      <c r="B1192" t="s">
        <v>36</v>
      </c>
      <c r="C1192" t="s">
        <v>37</v>
      </c>
      <c r="D1192" s="6" t="s">
        <v>38</v>
      </c>
      <c r="E1192" t="s">
        <v>3615</v>
      </c>
      <c r="F1192" t="s">
        <v>40</v>
      </c>
      <c r="G1192" t="s">
        <v>41</v>
      </c>
      <c r="H1192" t="s">
        <v>3616</v>
      </c>
      <c r="I1192" t="s">
        <v>43</v>
      </c>
      <c r="J1192">
        <v>2</v>
      </c>
      <c r="K1192" t="s">
        <v>44</v>
      </c>
      <c r="L1192" t="s">
        <v>45</v>
      </c>
      <c r="M1192" t="s">
        <v>46</v>
      </c>
      <c r="N1192" s="7">
        <v>2</v>
      </c>
      <c r="O1192" s="8">
        <v>45630.781261574077</v>
      </c>
      <c r="P1192" s="9">
        <v>45633</v>
      </c>
      <c r="Q1192" t="s">
        <v>74</v>
      </c>
      <c r="R1192" t="s">
        <v>48</v>
      </c>
      <c r="S1192" t="s">
        <v>49</v>
      </c>
      <c r="T1192" t="s">
        <v>101</v>
      </c>
      <c r="U1192" t="s">
        <v>3617</v>
      </c>
      <c r="V1192">
        <v>35600</v>
      </c>
      <c r="W1192" t="s">
        <v>48</v>
      </c>
      <c r="X1192" t="s">
        <v>1485</v>
      </c>
      <c r="Y1192" t="s">
        <v>54</v>
      </c>
      <c r="Z1192" s="12">
        <f>IF(N1192&lt;=1,9,9+0.8*ROUNDUP(N1192-1,0))</f>
        <v>9.8000000000000007</v>
      </c>
      <c r="AA1192" s="11">
        <v>-2</v>
      </c>
      <c r="AB1192" s="11">
        <v>0</v>
      </c>
      <c r="AC1192" s="11">
        <v>0</v>
      </c>
      <c r="AD1192" s="11">
        <v>0</v>
      </c>
      <c r="AE1192" s="11">
        <v>0</v>
      </c>
      <c r="AF1192" s="11">
        <f t="shared" si="54"/>
        <v>0.46800000000000003</v>
      </c>
      <c r="AG1192" s="11">
        <f t="shared" si="55"/>
        <v>8.2680000000000007</v>
      </c>
      <c r="AH1192" s="11">
        <v>0</v>
      </c>
      <c r="AI1192" s="11">
        <f t="shared" si="56"/>
        <v>8.2680000000000007</v>
      </c>
      <c r="AJ1192" t="s">
        <v>62</v>
      </c>
    </row>
    <row r="1193" spans="1:36" ht="15" customHeight="1" x14ac:dyDescent="0.35">
      <c r="A1193">
        <v>10428918</v>
      </c>
      <c r="B1193" t="s">
        <v>36</v>
      </c>
      <c r="C1193" t="s">
        <v>37</v>
      </c>
      <c r="D1193" s="6" t="s">
        <v>38</v>
      </c>
      <c r="E1193" t="s">
        <v>3618</v>
      </c>
      <c r="F1193" t="s">
        <v>40</v>
      </c>
      <c r="G1193" t="s">
        <v>41</v>
      </c>
      <c r="H1193" t="s">
        <v>3619</v>
      </c>
      <c r="I1193" t="s">
        <v>43</v>
      </c>
      <c r="J1193">
        <v>2</v>
      </c>
      <c r="K1193" t="s">
        <v>44</v>
      </c>
      <c r="L1193" t="s">
        <v>45</v>
      </c>
      <c r="M1193" t="s">
        <v>46</v>
      </c>
      <c r="N1193" s="7">
        <v>1</v>
      </c>
      <c r="O1193" s="8">
        <v>45631.45039351852</v>
      </c>
      <c r="P1193" s="9">
        <v>45633</v>
      </c>
      <c r="Q1193" t="s">
        <v>74</v>
      </c>
      <c r="R1193" t="s">
        <v>48</v>
      </c>
      <c r="S1193" t="s">
        <v>49</v>
      </c>
      <c r="T1193" t="s">
        <v>69</v>
      </c>
      <c r="U1193" t="s">
        <v>3620</v>
      </c>
      <c r="V1193">
        <v>83100</v>
      </c>
      <c r="W1193" t="s">
        <v>48</v>
      </c>
      <c r="X1193" t="s">
        <v>53</v>
      </c>
      <c r="Y1193" t="s">
        <v>54</v>
      </c>
      <c r="Z1193" s="12">
        <f>IF(N1193&lt;=1,9,9+0.8*ROUNDUP(N1193-1,0))</f>
        <v>9</v>
      </c>
      <c r="AA1193" s="11">
        <v>-2</v>
      </c>
      <c r="AB1193" s="11">
        <v>0</v>
      </c>
      <c r="AC1193" s="11">
        <v>0</v>
      </c>
      <c r="AD1193" s="11">
        <v>0</v>
      </c>
      <c r="AE1193" s="11">
        <v>0</v>
      </c>
      <c r="AF1193" s="11">
        <f t="shared" si="54"/>
        <v>0.42</v>
      </c>
      <c r="AG1193" s="11">
        <f t="shared" si="55"/>
        <v>7.42</v>
      </c>
      <c r="AH1193" s="11">
        <v>0</v>
      </c>
      <c r="AI1193" s="11">
        <f t="shared" si="56"/>
        <v>7.42</v>
      </c>
      <c r="AJ1193" t="s">
        <v>62</v>
      </c>
    </row>
    <row r="1194" spans="1:36" ht="15" customHeight="1" x14ac:dyDescent="0.35">
      <c r="A1194">
        <v>10428918</v>
      </c>
      <c r="B1194" t="s">
        <v>36</v>
      </c>
      <c r="C1194" t="s">
        <v>37</v>
      </c>
      <c r="D1194" s="6" t="s">
        <v>38</v>
      </c>
      <c r="E1194" t="s">
        <v>3621</v>
      </c>
      <c r="F1194" t="s">
        <v>40</v>
      </c>
      <c r="G1194" t="s">
        <v>41</v>
      </c>
      <c r="H1194" t="s">
        <v>3622</v>
      </c>
      <c r="I1194" t="s">
        <v>43</v>
      </c>
      <c r="J1194">
        <v>2</v>
      </c>
      <c r="K1194" t="s">
        <v>44</v>
      </c>
      <c r="L1194" t="s">
        <v>45</v>
      </c>
      <c r="M1194" t="s">
        <v>46</v>
      </c>
      <c r="N1194" s="7">
        <v>1</v>
      </c>
      <c r="O1194" s="8">
        <v>45631.45039351852</v>
      </c>
      <c r="P1194" s="9">
        <v>45633</v>
      </c>
      <c r="Q1194" t="s">
        <v>74</v>
      </c>
      <c r="R1194" t="s">
        <v>48</v>
      </c>
      <c r="S1194" t="s">
        <v>49</v>
      </c>
      <c r="T1194" t="s">
        <v>101</v>
      </c>
      <c r="U1194" t="s">
        <v>3623</v>
      </c>
      <c r="V1194">
        <v>31000</v>
      </c>
      <c r="W1194" t="s">
        <v>48</v>
      </c>
      <c r="X1194" t="s">
        <v>414</v>
      </c>
      <c r="Y1194" t="s">
        <v>54</v>
      </c>
      <c r="Z1194" s="12">
        <f>IF(N1194&lt;=1,9,9+0.8*ROUNDUP(N1194-1,0))</f>
        <v>9</v>
      </c>
      <c r="AA1194" s="11">
        <v>-2</v>
      </c>
      <c r="AB1194" s="11">
        <v>0</v>
      </c>
      <c r="AC1194" s="11">
        <v>0</v>
      </c>
      <c r="AD1194" s="11">
        <v>0</v>
      </c>
      <c r="AE1194" s="11">
        <v>0</v>
      </c>
      <c r="AF1194" s="11">
        <f t="shared" si="54"/>
        <v>0.42</v>
      </c>
      <c r="AG1194" s="11">
        <f t="shared" si="55"/>
        <v>7.42</v>
      </c>
      <c r="AH1194" s="11">
        <v>0</v>
      </c>
      <c r="AI1194" s="11">
        <f t="shared" si="56"/>
        <v>7.42</v>
      </c>
      <c r="AJ1194" t="s">
        <v>62</v>
      </c>
    </row>
    <row r="1195" spans="1:36" ht="15" customHeight="1" x14ac:dyDescent="0.35">
      <c r="A1195">
        <v>10428918</v>
      </c>
      <c r="B1195" t="s">
        <v>36</v>
      </c>
      <c r="C1195" t="s">
        <v>37</v>
      </c>
      <c r="D1195" s="6" t="s">
        <v>38</v>
      </c>
      <c r="E1195" t="s">
        <v>3624</v>
      </c>
      <c r="F1195" t="s">
        <v>40</v>
      </c>
      <c r="G1195" t="s">
        <v>41</v>
      </c>
      <c r="H1195" t="s">
        <v>3625</v>
      </c>
      <c r="I1195" t="s">
        <v>43</v>
      </c>
      <c r="J1195">
        <v>2</v>
      </c>
      <c r="K1195" t="s">
        <v>44</v>
      </c>
      <c r="L1195" t="s">
        <v>45</v>
      </c>
      <c r="M1195" t="s">
        <v>46</v>
      </c>
      <c r="N1195" s="7">
        <v>1</v>
      </c>
      <c r="O1195" s="8">
        <v>45631.714699074073</v>
      </c>
      <c r="P1195" s="9">
        <v>45633</v>
      </c>
      <c r="Q1195" t="s">
        <v>74</v>
      </c>
      <c r="R1195" t="s">
        <v>48</v>
      </c>
      <c r="S1195" t="s">
        <v>49</v>
      </c>
      <c r="T1195" t="s">
        <v>117</v>
      </c>
      <c r="U1195" t="s">
        <v>3626</v>
      </c>
      <c r="V1195">
        <v>40170</v>
      </c>
      <c r="W1195" t="s">
        <v>48</v>
      </c>
      <c r="X1195" t="s">
        <v>53</v>
      </c>
      <c r="Y1195" t="s">
        <v>54</v>
      </c>
      <c r="Z1195" s="12">
        <f>IF(N1195&lt;=1,9,9+0.8*ROUNDUP(N1195-1,0))</f>
        <v>9</v>
      </c>
      <c r="AA1195" s="11">
        <v>-2</v>
      </c>
      <c r="AB1195" s="11">
        <v>0</v>
      </c>
      <c r="AC1195" s="11">
        <v>0</v>
      </c>
      <c r="AD1195" s="11">
        <v>0</v>
      </c>
      <c r="AE1195" s="11">
        <v>0</v>
      </c>
      <c r="AF1195" s="11">
        <f t="shared" si="54"/>
        <v>0.42</v>
      </c>
      <c r="AG1195" s="11">
        <f t="shared" si="55"/>
        <v>7.42</v>
      </c>
      <c r="AH1195" s="11">
        <v>0</v>
      </c>
      <c r="AI1195" s="11">
        <f t="shared" si="56"/>
        <v>7.42</v>
      </c>
      <c r="AJ1195" t="s">
        <v>62</v>
      </c>
    </row>
    <row r="1196" spans="1:36" ht="15" customHeight="1" x14ac:dyDescent="0.35">
      <c r="A1196">
        <v>10428918</v>
      </c>
      <c r="B1196" t="s">
        <v>36</v>
      </c>
      <c r="C1196" t="s">
        <v>37</v>
      </c>
      <c r="D1196" s="6" t="s">
        <v>38</v>
      </c>
      <c r="E1196" t="s">
        <v>3627</v>
      </c>
      <c r="F1196" t="s">
        <v>40</v>
      </c>
      <c r="G1196" t="s">
        <v>41</v>
      </c>
      <c r="H1196" t="s">
        <v>3628</v>
      </c>
      <c r="I1196" t="s">
        <v>43</v>
      </c>
      <c r="J1196">
        <v>2</v>
      </c>
      <c r="K1196" t="s">
        <v>44</v>
      </c>
      <c r="L1196" t="s">
        <v>45</v>
      </c>
      <c r="M1196" t="s">
        <v>46</v>
      </c>
      <c r="N1196" s="7">
        <v>1</v>
      </c>
      <c r="O1196" s="8">
        <v>45631.800324074073</v>
      </c>
      <c r="P1196" s="9">
        <v>45633</v>
      </c>
      <c r="Q1196" t="s">
        <v>58</v>
      </c>
      <c r="R1196" t="s">
        <v>48</v>
      </c>
      <c r="S1196" t="s">
        <v>49</v>
      </c>
      <c r="T1196" t="s">
        <v>117</v>
      </c>
      <c r="U1196" t="s">
        <v>3629</v>
      </c>
      <c r="V1196">
        <v>48300</v>
      </c>
      <c r="W1196" t="s">
        <v>48</v>
      </c>
      <c r="X1196" t="s">
        <v>254</v>
      </c>
      <c r="Y1196" t="s">
        <v>54</v>
      </c>
      <c r="Z1196" s="12">
        <f>IF(N1196&lt;=1,9,9+0.8*ROUNDUP(N1196-1,0))</f>
        <v>9</v>
      </c>
      <c r="AA1196" s="11">
        <v>-2</v>
      </c>
      <c r="AB1196" s="11">
        <v>0</v>
      </c>
      <c r="AC1196" s="11">
        <v>0</v>
      </c>
      <c r="AD1196" s="11">
        <v>0</v>
      </c>
      <c r="AE1196" s="11">
        <v>0</v>
      </c>
      <c r="AF1196" s="11">
        <f t="shared" si="54"/>
        <v>0.42</v>
      </c>
      <c r="AG1196" s="11">
        <f t="shared" si="55"/>
        <v>7.42</v>
      </c>
      <c r="AH1196" s="11">
        <v>0</v>
      </c>
      <c r="AI1196" s="11">
        <f t="shared" si="56"/>
        <v>7.42</v>
      </c>
      <c r="AJ1196" t="s">
        <v>62</v>
      </c>
    </row>
    <row r="1197" spans="1:36" ht="15" customHeight="1" x14ac:dyDescent="0.35">
      <c r="A1197">
        <v>10428918</v>
      </c>
      <c r="B1197" t="s">
        <v>36</v>
      </c>
      <c r="C1197" t="s">
        <v>37</v>
      </c>
      <c r="D1197" s="6" t="s">
        <v>38</v>
      </c>
      <c r="E1197" t="s">
        <v>3630</v>
      </c>
      <c r="F1197" t="s">
        <v>40</v>
      </c>
      <c r="G1197" t="s">
        <v>41</v>
      </c>
      <c r="H1197" t="s">
        <v>3631</v>
      </c>
      <c r="I1197" t="s">
        <v>43</v>
      </c>
      <c r="J1197">
        <v>2</v>
      </c>
      <c r="K1197" t="s">
        <v>44</v>
      </c>
      <c r="L1197" t="s">
        <v>45</v>
      </c>
      <c r="M1197" t="s">
        <v>46</v>
      </c>
      <c r="N1197" s="7">
        <v>1</v>
      </c>
      <c r="O1197" s="8">
        <v>45631.432824074072</v>
      </c>
      <c r="P1197" s="9">
        <v>45633</v>
      </c>
      <c r="Q1197" t="s">
        <v>74</v>
      </c>
      <c r="R1197" t="s">
        <v>48</v>
      </c>
      <c r="S1197" t="s">
        <v>49</v>
      </c>
      <c r="T1197" t="s">
        <v>80</v>
      </c>
      <c r="U1197" t="s">
        <v>3632</v>
      </c>
      <c r="V1197">
        <v>34950</v>
      </c>
      <c r="W1197" t="s">
        <v>48</v>
      </c>
      <c r="X1197" t="s">
        <v>53</v>
      </c>
      <c r="Y1197" t="s">
        <v>54</v>
      </c>
      <c r="Z1197" s="12">
        <f>IF(N1197&lt;=1,9,9+0.8*ROUNDUP(N1197-1,0))</f>
        <v>9</v>
      </c>
      <c r="AA1197" s="11">
        <v>-2</v>
      </c>
      <c r="AB1197" s="11">
        <v>0</v>
      </c>
      <c r="AC1197" s="11">
        <v>0</v>
      </c>
      <c r="AD1197" s="11">
        <v>0</v>
      </c>
      <c r="AE1197" s="11">
        <v>0</v>
      </c>
      <c r="AF1197" s="11">
        <f t="shared" si="54"/>
        <v>0.42</v>
      </c>
      <c r="AG1197" s="11">
        <f t="shared" si="55"/>
        <v>7.42</v>
      </c>
      <c r="AH1197" s="11">
        <v>0</v>
      </c>
      <c r="AI1197" s="11">
        <f t="shared" si="56"/>
        <v>7.42</v>
      </c>
      <c r="AJ1197" t="s">
        <v>62</v>
      </c>
    </row>
    <row r="1198" spans="1:36" ht="15" customHeight="1" x14ac:dyDescent="0.35">
      <c r="A1198">
        <v>10428918</v>
      </c>
      <c r="B1198" t="s">
        <v>36</v>
      </c>
      <c r="C1198" t="s">
        <v>37</v>
      </c>
      <c r="D1198" s="6" t="s">
        <v>38</v>
      </c>
      <c r="E1198" t="s">
        <v>3633</v>
      </c>
      <c r="F1198" t="s">
        <v>40</v>
      </c>
      <c r="G1198" t="s">
        <v>41</v>
      </c>
      <c r="H1198" t="s">
        <v>3634</v>
      </c>
      <c r="I1198" t="s">
        <v>43</v>
      </c>
      <c r="J1198">
        <v>2</v>
      </c>
      <c r="K1198" t="s">
        <v>44</v>
      </c>
      <c r="L1198" t="s">
        <v>45</v>
      </c>
      <c r="M1198" t="s">
        <v>46</v>
      </c>
      <c r="N1198" s="7">
        <v>6</v>
      </c>
      <c r="O1198" s="8">
        <v>45631.533171296294</v>
      </c>
      <c r="P1198" s="9">
        <v>45633</v>
      </c>
      <c r="Q1198" t="s">
        <v>74</v>
      </c>
      <c r="R1198" t="s">
        <v>48</v>
      </c>
      <c r="S1198" t="s">
        <v>49</v>
      </c>
      <c r="T1198" t="s">
        <v>693</v>
      </c>
      <c r="U1198" t="s">
        <v>3635</v>
      </c>
      <c r="V1198">
        <v>1000</v>
      </c>
      <c r="W1198" t="s">
        <v>48</v>
      </c>
      <c r="X1198" t="s">
        <v>695</v>
      </c>
      <c r="Y1198" t="s">
        <v>54</v>
      </c>
      <c r="Z1198" s="12">
        <f>IF(N1198&lt;=1,9,9+0.8*ROUNDUP(N1198-1,0))</f>
        <v>13</v>
      </c>
      <c r="AA1198" s="11">
        <v>-2</v>
      </c>
      <c r="AB1198" s="11">
        <v>0</v>
      </c>
      <c r="AC1198" s="11">
        <v>0</v>
      </c>
      <c r="AD1198" s="11">
        <v>0</v>
      </c>
      <c r="AE1198" s="11">
        <v>0</v>
      </c>
      <c r="AF1198" s="11">
        <f t="shared" si="54"/>
        <v>0.65999999999999992</v>
      </c>
      <c r="AG1198" s="11">
        <f t="shared" si="55"/>
        <v>11.66</v>
      </c>
      <c r="AH1198" s="11">
        <v>0</v>
      </c>
      <c r="AI1198" s="11">
        <f t="shared" si="56"/>
        <v>11.66</v>
      </c>
      <c r="AJ1198" t="s">
        <v>62</v>
      </c>
    </row>
    <row r="1199" spans="1:36" ht="15" customHeight="1" x14ac:dyDescent="0.35">
      <c r="A1199">
        <v>10428918</v>
      </c>
      <c r="B1199" t="s">
        <v>36</v>
      </c>
      <c r="C1199" t="s">
        <v>37</v>
      </c>
      <c r="D1199" s="6" t="s">
        <v>38</v>
      </c>
      <c r="E1199" t="s">
        <v>3636</v>
      </c>
      <c r="F1199" t="s">
        <v>40</v>
      </c>
      <c r="G1199" t="s">
        <v>41</v>
      </c>
      <c r="H1199" t="s">
        <v>3637</v>
      </c>
      <c r="I1199" t="s">
        <v>43</v>
      </c>
      <c r="J1199">
        <v>2</v>
      </c>
      <c r="K1199" t="s">
        <v>44</v>
      </c>
      <c r="L1199" t="s">
        <v>45</v>
      </c>
      <c r="M1199" t="s">
        <v>46</v>
      </c>
      <c r="N1199" s="7">
        <v>1</v>
      </c>
      <c r="O1199" s="8">
        <v>45631.717928240738</v>
      </c>
      <c r="P1199" s="9">
        <v>45633</v>
      </c>
      <c r="Q1199" t="s">
        <v>74</v>
      </c>
      <c r="R1199" t="s">
        <v>48</v>
      </c>
      <c r="S1199" t="s">
        <v>49</v>
      </c>
      <c r="T1199" t="s">
        <v>85</v>
      </c>
      <c r="U1199" t="s">
        <v>3638</v>
      </c>
      <c r="V1199">
        <v>70300</v>
      </c>
      <c r="W1199" t="s">
        <v>48</v>
      </c>
      <c r="X1199" t="s">
        <v>87</v>
      </c>
      <c r="Y1199" t="s">
        <v>54</v>
      </c>
      <c r="Z1199" s="12">
        <f>IF(N1199&lt;=1,9,9+0.8*ROUNDUP(N1199-1,0))</f>
        <v>9</v>
      </c>
      <c r="AA1199" s="11">
        <v>-2</v>
      </c>
      <c r="AB1199" s="11">
        <v>0</v>
      </c>
      <c r="AC1199" s="11">
        <v>0</v>
      </c>
      <c r="AD1199" s="11">
        <v>0</v>
      </c>
      <c r="AE1199" s="11">
        <v>0</v>
      </c>
      <c r="AF1199" s="11">
        <f t="shared" si="54"/>
        <v>0.42</v>
      </c>
      <c r="AG1199" s="11">
        <f t="shared" si="55"/>
        <v>7.42</v>
      </c>
      <c r="AH1199" s="11">
        <v>0</v>
      </c>
      <c r="AI1199" s="11">
        <f t="shared" si="56"/>
        <v>7.42</v>
      </c>
      <c r="AJ1199" t="s">
        <v>62</v>
      </c>
    </row>
    <row r="1200" spans="1:36" ht="15" customHeight="1" x14ac:dyDescent="0.35">
      <c r="A1200">
        <v>10428918</v>
      </c>
      <c r="B1200" t="s">
        <v>36</v>
      </c>
      <c r="C1200" t="s">
        <v>37</v>
      </c>
      <c r="D1200" s="6" t="s">
        <v>38</v>
      </c>
      <c r="E1200" t="s">
        <v>3639</v>
      </c>
      <c r="F1200" t="s">
        <v>40</v>
      </c>
      <c r="G1200" t="s">
        <v>41</v>
      </c>
      <c r="H1200" t="s">
        <v>3640</v>
      </c>
      <c r="I1200" t="s">
        <v>43</v>
      </c>
      <c r="J1200">
        <v>2</v>
      </c>
      <c r="K1200" t="s">
        <v>44</v>
      </c>
      <c r="L1200" t="s">
        <v>45</v>
      </c>
      <c r="M1200" t="s">
        <v>46</v>
      </c>
      <c r="N1200" s="7">
        <v>1</v>
      </c>
      <c r="O1200" s="8">
        <v>45631.432812500003</v>
      </c>
      <c r="P1200" s="9">
        <v>45633</v>
      </c>
      <c r="Q1200" t="s">
        <v>74</v>
      </c>
      <c r="R1200" t="s">
        <v>48</v>
      </c>
      <c r="S1200" t="s">
        <v>49</v>
      </c>
      <c r="T1200" t="s">
        <v>80</v>
      </c>
      <c r="U1200" t="s">
        <v>3641</v>
      </c>
      <c r="V1200">
        <v>6600</v>
      </c>
      <c r="W1200" t="s">
        <v>48</v>
      </c>
      <c r="X1200" t="s">
        <v>137</v>
      </c>
      <c r="Y1200" t="s">
        <v>54</v>
      </c>
      <c r="Z1200" s="12">
        <f>IF(N1200&lt;=1,9,9+0.8*ROUNDUP(N1200-1,0))</f>
        <v>9</v>
      </c>
      <c r="AA1200" s="11">
        <v>-2</v>
      </c>
      <c r="AB1200" s="11">
        <v>0</v>
      </c>
      <c r="AC1200" s="11">
        <v>0</v>
      </c>
      <c r="AD1200" s="11">
        <v>0</v>
      </c>
      <c r="AE1200" s="11">
        <v>0</v>
      </c>
      <c r="AF1200" s="11">
        <f t="shared" si="54"/>
        <v>0.42</v>
      </c>
      <c r="AG1200" s="11">
        <f t="shared" si="55"/>
        <v>7.42</v>
      </c>
      <c r="AH1200" s="11">
        <v>0</v>
      </c>
      <c r="AI1200" s="11">
        <f t="shared" si="56"/>
        <v>7.42</v>
      </c>
      <c r="AJ1200" t="s">
        <v>62</v>
      </c>
    </row>
    <row r="1201" spans="1:36" ht="15" customHeight="1" x14ac:dyDescent="0.35">
      <c r="A1201">
        <v>10428918</v>
      </c>
      <c r="B1201" t="s">
        <v>36</v>
      </c>
      <c r="C1201" t="s">
        <v>37</v>
      </c>
      <c r="D1201" s="6" t="s">
        <v>38</v>
      </c>
      <c r="E1201" t="s">
        <v>3642</v>
      </c>
      <c r="F1201" t="s">
        <v>40</v>
      </c>
      <c r="G1201" t="s">
        <v>41</v>
      </c>
      <c r="H1201" t="s">
        <v>3643</v>
      </c>
      <c r="I1201" t="s">
        <v>43</v>
      </c>
      <c r="J1201">
        <v>2</v>
      </c>
      <c r="K1201" t="s">
        <v>44</v>
      </c>
      <c r="L1201" t="s">
        <v>45</v>
      </c>
      <c r="M1201" t="s">
        <v>46</v>
      </c>
      <c r="N1201" s="7">
        <v>1</v>
      </c>
      <c r="O1201" s="8">
        <v>45630.827233796299</v>
      </c>
      <c r="P1201" s="9">
        <v>45633</v>
      </c>
      <c r="Q1201" t="s">
        <v>74</v>
      </c>
      <c r="R1201" t="s">
        <v>48</v>
      </c>
      <c r="S1201" t="s">
        <v>49</v>
      </c>
      <c r="T1201" t="s">
        <v>65</v>
      </c>
      <c r="U1201" t="s">
        <v>3644</v>
      </c>
      <c r="V1201">
        <v>75250</v>
      </c>
      <c r="W1201" t="s">
        <v>48</v>
      </c>
      <c r="X1201" t="s">
        <v>167</v>
      </c>
      <c r="Y1201" t="s">
        <v>54</v>
      </c>
      <c r="Z1201" s="12">
        <f>IF(N1201&lt;=1,9,9+0.8*ROUNDUP(N1201-1,0))</f>
        <v>9</v>
      </c>
      <c r="AA1201" s="11">
        <v>-2</v>
      </c>
      <c r="AB1201" s="11">
        <v>0</v>
      </c>
      <c r="AC1201" s="11">
        <v>0</v>
      </c>
      <c r="AD1201" s="11">
        <v>0</v>
      </c>
      <c r="AE1201" s="11">
        <v>0</v>
      </c>
      <c r="AF1201" s="11">
        <f t="shared" si="54"/>
        <v>0.42</v>
      </c>
      <c r="AG1201" s="11">
        <f t="shared" si="55"/>
        <v>7.42</v>
      </c>
      <c r="AH1201" s="11">
        <v>0</v>
      </c>
      <c r="AI1201" s="11">
        <f t="shared" si="56"/>
        <v>7.42</v>
      </c>
      <c r="AJ1201" t="s">
        <v>62</v>
      </c>
    </row>
    <row r="1202" spans="1:36" ht="15" customHeight="1" x14ac:dyDescent="0.35">
      <c r="A1202">
        <v>10428918</v>
      </c>
      <c r="B1202" t="s">
        <v>36</v>
      </c>
      <c r="C1202" t="s">
        <v>37</v>
      </c>
      <c r="D1202" s="6" t="s">
        <v>38</v>
      </c>
      <c r="E1202" t="s">
        <v>3645</v>
      </c>
      <c r="F1202" t="s">
        <v>40</v>
      </c>
      <c r="G1202" t="s">
        <v>41</v>
      </c>
      <c r="H1202" t="s">
        <v>3646</v>
      </c>
      <c r="I1202" t="s">
        <v>43</v>
      </c>
      <c r="J1202">
        <v>2</v>
      </c>
      <c r="K1202" t="s">
        <v>44</v>
      </c>
      <c r="L1202" t="s">
        <v>45</v>
      </c>
      <c r="M1202" t="s">
        <v>46</v>
      </c>
      <c r="N1202" s="7">
        <v>1</v>
      </c>
      <c r="O1202" s="8">
        <v>45619.811388888891</v>
      </c>
      <c r="P1202" s="9">
        <v>45633</v>
      </c>
      <c r="Q1202" t="s">
        <v>74</v>
      </c>
      <c r="R1202" t="s">
        <v>48</v>
      </c>
      <c r="S1202" t="s">
        <v>49</v>
      </c>
      <c r="T1202" t="s">
        <v>59</v>
      </c>
      <c r="U1202" t="s">
        <v>3647</v>
      </c>
      <c r="V1202">
        <v>16210</v>
      </c>
      <c r="W1202" t="s">
        <v>48</v>
      </c>
      <c r="X1202" t="s">
        <v>61</v>
      </c>
      <c r="Y1202" t="s">
        <v>54</v>
      </c>
      <c r="Z1202" s="12">
        <f>IF(N1202&lt;=1,9,9+0.8*ROUNDUP(N1202-1,0))</f>
        <v>9</v>
      </c>
      <c r="AA1202" s="11">
        <v>-2</v>
      </c>
      <c r="AB1202" s="11">
        <v>0</v>
      </c>
      <c r="AC1202" s="11">
        <v>0</v>
      </c>
      <c r="AD1202" s="11">
        <v>0</v>
      </c>
      <c r="AE1202" s="11">
        <v>0</v>
      </c>
      <c r="AF1202" s="11">
        <f t="shared" si="54"/>
        <v>0.42</v>
      </c>
      <c r="AG1202" s="11">
        <f t="shared" si="55"/>
        <v>7.42</v>
      </c>
      <c r="AH1202" s="11">
        <v>0</v>
      </c>
      <c r="AI1202" s="11">
        <f t="shared" si="56"/>
        <v>7.42</v>
      </c>
      <c r="AJ1202" t="s">
        <v>62</v>
      </c>
    </row>
    <row r="1203" spans="1:36" ht="15" customHeight="1" x14ac:dyDescent="0.35">
      <c r="A1203">
        <v>10428918</v>
      </c>
      <c r="B1203" t="s">
        <v>36</v>
      </c>
      <c r="C1203" t="s">
        <v>37</v>
      </c>
      <c r="D1203" s="6" t="s">
        <v>38</v>
      </c>
      <c r="E1203" t="s">
        <v>3648</v>
      </c>
      <c r="F1203" t="s">
        <v>40</v>
      </c>
      <c r="G1203" t="s">
        <v>41</v>
      </c>
      <c r="H1203" t="s">
        <v>3649</v>
      </c>
      <c r="I1203" t="s">
        <v>43</v>
      </c>
      <c r="J1203">
        <v>2</v>
      </c>
      <c r="K1203" t="s">
        <v>44</v>
      </c>
      <c r="L1203" t="s">
        <v>45</v>
      </c>
      <c r="M1203" t="s">
        <v>46</v>
      </c>
      <c r="N1203" s="7">
        <v>1</v>
      </c>
      <c r="O1203" s="8">
        <v>45630.415405092594</v>
      </c>
      <c r="P1203" s="9">
        <v>45633</v>
      </c>
      <c r="Q1203" t="s">
        <v>74</v>
      </c>
      <c r="R1203" t="s">
        <v>48</v>
      </c>
      <c r="S1203" t="s">
        <v>49</v>
      </c>
      <c r="T1203" t="s">
        <v>69</v>
      </c>
      <c r="U1203" t="s">
        <v>3650</v>
      </c>
      <c r="V1203">
        <v>85300</v>
      </c>
      <c r="W1203" t="s">
        <v>48</v>
      </c>
      <c r="X1203" t="s">
        <v>402</v>
      </c>
      <c r="Y1203" t="s">
        <v>54</v>
      </c>
      <c r="Z1203" s="12">
        <f>IF(N1203&lt;=1,9,9+0.8*ROUNDUP(N1203-1,0))</f>
        <v>9</v>
      </c>
      <c r="AA1203" s="11">
        <v>-2</v>
      </c>
      <c r="AB1203" s="11">
        <v>0</v>
      </c>
      <c r="AC1203" s="11">
        <v>0</v>
      </c>
      <c r="AD1203" s="11">
        <v>0</v>
      </c>
      <c r="AE1203" s="11">
        <v>0</v>
      </c>
      <c r="AF1203" s="11">
        <f t="shared" si="54"/>
        <v>0.42</v>
      </c>
      <c r="AG1203" s="11">
        <f t="shared" si="55"/>
        <v>7.42</v>
      </c>
      <c r="AH1203" s="11">
        <v>0</v>
      </c>
      <c r="AI1203" s="11">
        <f t="shared" si="56"/>
        <v>7.42</v>
      </c>
      <c r="AJ1203" t="s">
        <v>62</v>
      </c>
    </row>
    <row r="1204" spans="1:36" ht="15" customHeight="1" x14ac:dyDescent="0.35">
      <c r="A1204">
        <v>10428918</v>
      </c>
      <c r="B1204" t="s">
        <v>36</v>
      </c>
      <c r="C1204" t="s">
        <v>37</v>
      </c>
      <c r="D1204" s="6" t="s">
        <v>38</v>
      </c>
      <c r="E1204" t="s">
        <v>3651</v>
      </c>
      <c r="F1204" t="s">
        <v>40</v>
      </c>
      <c r="G1204" t="s">
        <v>41</v>
      </c>
      <c r="H1204" t="s">
        <v>3652</v>
      </c>
      <c r="I1204" t="s">
        <v>43</v>
      </c>
      <c r="J1204">
        <v>2</v>
      </c>
      <c r="K1204" t="s">
        <v>44</v>
      </c>
      <c r="L1204" t="s">
        <v>45</v>
      </c>
      <c r="M1204" t="s">
        <v>46</v>
      </c>
      <c r="N1204" s="7">
        <v>1</v>
      </c>
      <c r="O1204" s="8">
        <v>45631.45039351852</v>
      </c>
      <c r="P1204" s="9">
        <v>45633</v>
      </c>
      <c r="Q1204" t="s">
        <v>74</v>
      </c>
      <c r="R1204" t="s">
        <v>48</v>
      </c>
      <c r="S1204" t="s">
        <v>49</v>
      </c>
      <c r="T1204" t="s">
        <v>69</v>
      </c>
      <c r="U1204" t="s">
        <v>3653</v>
      </c>
      <c r="V1204">
        <v>81400</v>
      </c>
      <c r="W1204" t="s">
        <v>48</v>
      </c>
      <c r="X1204" t="s">
        <v>53</v>
      </c>
      <c r="Y1204" t="s">
        <v>54</v>
      </c>
      <c r="Z1204" s="12">
        <f>IF(N1204&lt;=1,9,9+0.8*ROUNDUP(N1204-1,0))</f>
        <v>9</v>
      </c>
      <c r="AA1204" s="11">
        <v>-2</v>
      </c>
      <c r="AB1204" s="11">
        <v>0</v>
      </c>
      <c r="AC1204" s="11">
        <v>0</v>
      </c>
      <c r="AD1204" s="11">
        <v>0</v>
      </c>
      <c r="AE1204" s="11">
        <v>0</v>
      </c>
      <c r="AF1204" s="11">
        <f t="shared" si="54"/>
        <v>0.42</v>
      </c>
      <c r="AG1204" s="11">
        <f t="shared" si="55"/>
        <v>7.42</v>
      </c>
      <c r="AH1204" s="11">
        <v>0</v>
      </c>
      <c r="AI1204" s="11">
        <f t="shared" si="56"/>
        <v>7.42</v>
      </c>
      <c r="AJ1204" t="s">
        <v>62</v>
      </c>
    </row>
    <row r="1205" spans="1:36" ht="15" customHeight="1" x14ac:dyDescent="0.35">
      <c r="A1205">
        <v>10428918</v>
      </c>
      <c r="B1205" t="s">
        <v>36</v>
      </c>
      <c r="C1205" t="s">
        <v>37</v>
      </c>
      <c r="D1205" s="6" t="s">
        <v>38</v>
      </c>
      <c r="E1205" t="s">
        <v>3654</v>
      </c>
      <c r="F1205" t="s">
        <v>40</v>
      </c>
      <c r="G1205" t="s">
        <v>41</v>
      </c>
      <c r="H1205" t="s">
        <v>3655</v>
      </c>
      <c r="I1205" t="s">
        <v>43</v>
      </c>
      <c r="J1205">
        <v>2</v>
      </c>
      <c r="K1205" t="s">
        <v>44</v>
      </c>
      <c r="L1205" t="s">
        <v>45</v>
      </c>
      <c r="M1205" t="s">
        <v>46</v>
      </c>
      <c r="N1205" s="7">
        <v>2</v>
      </c>
      <c r="O1205" s="8">
        <v>45631.454155092593</v>
      </c>
      <c r="P1205" s="9">
        <v>45633</v>
      </c>
      <c r="Q1205" t="s">
        <v>74</v>
      </c>
      <c r="R1205" t="s">
        <v>48</v>
      </c>
      <c r="S1205" t="s">
        <v>49</v>
      </c>
      <c r="T1205" t="s">
        <v>69</v>
      </c>
      <c r="U1205" t="s">
        <v>3656</v>
      </c>
      <c r="V1205">
        <v>84700</v>
      </c>
      <c r="W1205" t="s">
        <v>48</v>
      </c>
      <c r="X1205" t="s">
        <v>53</v>
      </c>
      <c r="Y1205" t="s">
        <v>54</v>
      </c>
      <c r="Z1205" s="12">
        <f>IF(N1205&lt;=1,9,9+0.8*ROUNDUP(N1205-1,0))</f>
        <v>9.8000000000000007</v>
      </c>
      <c r="AA1205" s="11">
        <v>-2</v>
      </c>
      <c r="AB1205" s="11">
        <v>0</v>
      </c>
      <c r="AC1205" s="11">
        <v>0</v>
      </c>
      <c r="AD1205" s="11">
        <v>0</v>
      </c>
      <c r="AE1205" s="11">
        <v>0</v>
      </c>
      <c r="AF1205" s="11">
        <f t="shared" si="54"/>
        <v>0.46800000000000003</v>
      </c>
      <c r="AG1205" s="11">
        <f t="shared" si="55"/>
        <v>8.2680000000000007</v>
      </c>
      <c r="AH1205" s="11">
        <v>0</v>
      </c>
      <c r="AI1205" s="11">
        <f t="shared" si="56"/>
        <v>8.2680000000000007</v>
      </c>
      <c r="AJ1205" t="s">
        <v>62</v>
      </c>
    </row>
    <row r="1206" spans="1:36" ht="15" customHeight="1" x14ac:dyDescent="0.35">
      <c r="A1206">
        <v>10428918</v>
      </c>
      <c r="B1206" t="s">
        <v>36</v>
      </c>
      <c r="C1206" t="s">
        <v>37</v>
      </c>
      <c r="D1206" s="6" t="s">
        <v>38</v>
      </c>
      <c r="E1206" t="s">
        <v>3657</v>
      </c>
      <c r="F1206" t="s">
        <v>40</v>
      </c>
      <c r="G1206" t="s">
        <v>41</v>
      </c>
      <c r="H1206" t="s">
        <v>3658</v>
      </c>
      <c r="I1206" t="s">
        <v>43</v>
      </c>
      <c r="J1206">
        <v>2</v>
      </c>
      <c r="K1206" t="s">
        <v>44</v>
      </c>
      <c r="L1206" t="s">
        <v>45</v>
      </c>
      <c r="M1206" t="s">
        <v>46</v>
      </c>
      <c r="N1206" s="7">
        <v>1</v>
      </c>
      <c r="O1206" s="8">
        <v>45631.517893518518</v>
      </c>
      <c r="P1206" s="9">
        <v>45633</v>
      </c>
      <c r="Q1206" t="s">
        <v>74</v>
      </c>
      <c r="R1206" t="s">
        <v>48</v>
      </c>
      <c r="S1206" t="s">
        <v>49</v>
      </c>
      <c r="T1206" t="s">
        <v>117</v>
      </c>
      <c r="U1206" t="s">
        <v>3659</v>
      </c>
      <c r="V1206">
        <v>48010</v>
      </c>
      <c r="W1206" t="s">
        <v>48</v>
      </c>
      <c r="X1206" t="s">
        <v>254</v>
      </c>
      <c r="Y1206" t="s">
        <v>54</v>
      </c>
      <c r="Z1206" s="12">
        <f>IF(N1206&lt;=1,9,9+0.8*ROUNDUP(N1206-1,0))</f>
        <v>9</v>
      </c>
      <c r="AA1206" s="11">
        <v>-2</v>
      </c>
      <c r="AB1206" s="11">
        <v>0</v>
      </c>
      <c r="AC1206" s="11">
        <v>0</v>
      </c>
      <c r="AD1206" s="11">
        <v>0</v>
      </c>
      <c r="AE1206" s="11">
        <v>0</v>
      </c>
      <c r="AF1206" s="11">
        <f t="shared" si="54"/>
        <v>0.42</v>
      </c>
      <c r="AG1206" s="11">
        <f t="shared" si="55"/>
        <v>7.42</v>
      </c>
      <c r="AH1206" s="11">
        <v>0</v>
      </c>
      <c r="AI1206" s="11">
        <f t="shared" si="56"/>
        <v>7.42</v>
      </c>
      <c r="AJ1206" t="s">
        <v>62</v>
      </c>
    </row>
    <row r="1207" spans="1:36" ht="15" customHeight="1" x14ac:dyDescent="0.35">
      <c r="A1207">
        <v>10428918</v>
      </c>
      <c r="B1207" t="s">
        <v>36</v>
      </c>
      <c r="C1207" t="s">
        <v>37</v>
      </c>
      <c r="D1207" s="6" t="s">
        <v>38</v>
      </c>
      <c r="E1207" t="s">
        <v>3660</v>
      </c>
      <c r="F1207" t="s">
        <v>40</v>
      </c>
      <c r="G1207" t="s">
        <v>3661</v>
      </c>
      <c r="H1207" t="s">
        <v>3662</v>
      </c>
      <c r="I1207" t="s">
        <v>43</v>
      </c>
      <c r="J1207">
        <v>2</v>
      </c>
      <c r="K1207" t="s">
        <v>44</v>
      </c>
      <c r="L1207" t="s">
        <v>45</v>
      </c>
      <c r="M1207" t="s">
        <v>46</v>
      </c>
      <c r="N1207" s="7">
        <v>3</v>
      </c>
      <c r="O1207" s="8">
        <v>45623.761134259257</v>
      </c>
      <c r="P1207" s="9">
        <v>45633</v>
      </c>
      <c r="Q1207" t="s">
        <v>74</v>
      </c>
      <c r="R1207" t="s">
        <v>48</v>
      </c>
      <c r="S1207" t="s">
        <v>49</v>
      </c>
      <c r="T1207" t="s">
        <v>170</v>
      </c>
      <c r="U1207" t="s">
        <v>3663</v>
      </c>
      <c r="V1207">
        <v>54000</v>
      </c>
      <c r="W1207" t="s">
        <v>48</v>
      </c>
      <c r="X1207" t="s">
        <v>564</v>
      </c>
      <c r="Y1207" t="s">
        <v>54</v>
      </c>
      <c r="Z1207" s="12">
        <f>IF(N1207&lt;=1,9,9+0.8*ROUNDUP(N1207-1,0))</f>
        <v>10.6</v>
      </c>
      <c r="AA1207" s="11">
        <v>-2</v>
      </c>
      <c r="AB1207" s="11">
        <v>0</v>
      </c>
      <c r="AC1207" s="11">
        <v>0</v>
      </c>
      <c r="AD1207" s="11">
        <v>0</v>
      </c>
      <c r="AE1207" s="11">
        <v>0</v>
      </c>
      <c r="AF1207" s="11">
        <f t="shared" si="54"/>
        <v>0.51600000000000001</v>
      </c>
      <c r="AG1207" s="11">
        <f t="shared" si="55"/>
        <v>9.1159999999999997</v>
      </c>
      <c r="AH1207" s="11">
        <v>0</v>
      </c>
      <c r="AI1207" s="11">
        <f t="shared" si="56"/>
        <v>9.1159999999999997</v>
      </c>
      <c r="AJ1207" t="s">
        <v>62</v>
      </c>
    </row>
    <row r="1208" spans="1:36" ht="15" customHeight="1" x14ac:dyDescent="0.35">
      <c r="A1208">
        <v>10428918</v>
      </c>
      <c r="B1208" t="s">
        <v>36</v>
      </c>
      <c r="C1208" t="s">
        <v>37</v>
      </c>
      <c r="D1208" s="6" t="s">
        <v>38</v>
      </c>
      <c r="E1208" t="s">
        <v>3664</v>
      </c>
      <c r="F1208" t="s">
        <v>40</v>
      </c>
      <c r="G1208" t="s">
        <v>41</v>
      </c>
      <c r="H1208" t="s">
        <v>3665</v>
      </c>
      <c r="I1208" t="s">
        <v>43</v>
      </c>
      <c r="J1208">
        <v>2</v>
      </c>
      <c r="K1208" t="s">
        <v>44</v>
      </c>
      <c r="L1208" t="s">
        <v>45</v>
      </c>
      <c r="M1208" t="s">
        <v>46</v>
      </c>
      <c r="N1208" s="7">
        <v>1</v>
      </c>
      <c r="O1208" s="8">
        <v>45629.808969907404</v>
      </c>
      <c r="P1208" s="9">
        <v>45633</v>
      </c>
      <c r="Q1208" t="s">
        <v>74</v>
      </c>
      <c r="R1208" t="s">
        <v>48</v>
      </c>
      <c r="S1208" t="s">
        <v>49</v>
      </c>
      <c r="T1208" t="s">
        <v>69</v>
      </c>
      <c r="U1208" t="s">
        <v>3666</v>
      </c>
      <c r="V1208">
        <v>82000</v>
      </c>
      <c r="W1208" t="s">
        <v>48</v>
      </c>
      <c r="X1208" t="s">
        <v>295</v>
      </c>
      <c r="Y1208" t="s">
        <v>54</v>
      </c>
      <c r="Z1208" s="12">
        <f>IF(N1208&lt;=1,9,9+0.8*ROUNDUP(N1208-1,0))</f>
        <v>9</v>
      </c>
      <c r="AA1208" s="11">
        <v>-2</v>
      </c>
      <c r="AB1208" s="11">
        <v>0</v>
      </c>
      <c r="AC1208" s="11">
        <v>0</v>
      </c>
      <c r="AD1208" s="11">
        <v>0</v>
      </c>
      <c r="AE1208" s="11">
        <v>0</v>
      </c>
      <c r="AF1208" s="11">
        <f t="shared" si="54"/>
        <v>0.42</v>
      </c>
      <c r="AG1208" s="11">
        <f t="shared" si="55"/>
        <v>7.42</v>
      </c>
      <c r="AH1208" s="11">
        <v>0</v>
      </c>
      <c r="AI1208" s="11">
        <f t="shared" si="56"/>
        <v>7.42</v>
      </c>
      <c r="AJ1208" t="s">
        <v>62</v>
      </c>
    </row>
    <row r="1209" spans="1:36" ht="15" customHeight="1" x14ac:dyDescent="0.35">
      <c r="A1209">
        <v>10428918</v>
      </c>
      <c r="B1209" t="s">
        <v>36</v>
      </c>
      <c r="C1209" t="s">
        <v>37</v>
      </c>
      <c r="D1209" s="6" t="s">
        <v>38</v>
      </c>
      <c r="E1209" t="s">
        <v>3667</v>
      </c>
      <c r="F1209" t="s">
        <v>40</v>
      </c>
      <c r="G1209" t="s">
        <v>41</v>
      </c>
      <c r="H1209" t="s">
        <v>945</v>
      </c>
      <c r="I1209" t="s">
        <v>43</v>
      </c>
      <c r="J1209">
        <v>2</v>
      </c>
      <c r="K1209" t="s">
        <v>44</v>
      </c>
      <c r="L1209" t="s">
        <v>45</v>
      </c>
      <c r="M1209" t="s">
        <v>46</v>
      </c>
      <c r="N1209" s="7">
        <v>2</v>
      </c>
      <c r="O1209" s="8">
        <v>45631.796574074076</v>
      </c>
      <c r="P1209" s="9">
        <v>45633</v>
      </c>
      <c r="Q1209" t="s">
        <v>58</v>
      </c>
      <c r="R1209" t="s">
        <v>48</v>
      </c>
      <c r="S1209" t="s">
        <v>49</v>
      </c>
      <c r="T1209" t="s">
        <v>59</v>
      </c>
      <c r="U1209" t="s">
        <v>946</v>
      </c>
      <c r="V1209">
        <v>16310</v>
      </c>
      <c r="W1209" t="s">
        <v>48</v>
      </c>
      <c r="X1209" t="s">
        <v>61</v>
      </c>
      <c r="Y1209" t="s">
        <v>54</v>
      </c>
      <c r="Z1209" s="12">
        <f>IF(N1209&lt;=1,9,9+0.8*ROUNDUP(N1209-1,0))</f>
        <v>9.8000000000000007</v>
      </c>
      <c r="AA1209" s="11">
        <v>-2</v>
      </c>
      <c r="AB1209" s="11">
        <v>0</v>
      </c>
      <c r="AC1209" s="11">
        <v>0</v>
      </c>
      <c r="AD1209" s="11">
        <v>0</v>
      </c>
      <c r="AE1209" s="11">
        <v>0</v>
      </c>
      <c r="AF1209" s="11">
        <f t="shared" si="54"/>
        <v>0.46800000000000003</v>
      </c>
      <c r="AG1209" s="11">
        <f t="shared" si="55"/>
        <v>8.2680000000000007</v>
      </c>
      <c r="AH1209" s="11">
        <v>0</v>
      </c>
      <c r="AI1209" s="11">
        <f t="shared" si="56"/>
        <v>8.2680000000000007</v>
      </c>
      <c r="AJ1209" t="s">
        <v>62</v>
      </c>
    </row>
    <row r="1210" spans="1:36" ht="15" customHeight="1" x14ac:dyDescent="0.35">
      <c r="A1210">
        <v>10428918</v>
      </c>
      <c r="B1210" t="s">
        <v>36</v>
      </c>
      <c r="C1210" t="s">
        <v>37</v>
      </c>
      <c r="D1210" s="6" t="s">
        <v>38</v>
      </c>
      <c r="E1210" t="s">
        <v>3668</v>
      </c>
      <c r="F1210" t="s">
        <v>40</v>
      </c>
      <c r="G1210" t="s">
        <v>41</v>
      </c>
      <c r="H1210" t="s">
        <v>3669</v>
      </c>
      <c r="I1210" t="s">
        <v>43</v>
      </c>
      <c r="J1210">
        <v>2</v>
      </c>
      <c r="K1210" t="s">
        <v>44</v>
      </c>
      <c r="L1210" t="s">
        <v>45</v>
      </c>
      <c r="M1210" t="s">
        <v>46</v>
      </c>
      <c r="N1210" s="7">
        <v>1</v>
      </c>
      <c r="O1210" s="8">
        <v>45630.812407407408</v>
      </c>
      <c r="P1210" s="9">
        <v>45633</v>
      </c>
      <c r="Q1210" t="s">
        <v>74</v>
      </c>
      <c r="R1210" t="s">
        <v>48</v>
      </c>
      <c r="S1210" t="s">
        <v>49</v>
      </c>
      <c r="T1210" t="s">
        <v>101</v>
      </c>
      <c r="U1210" t="s">
        <v>3670</v>
      </c>
      <c r="V1210">
        <v>32200</v>
      </c>
      <c r="W1210" t="s">
        <v>48</v>
      </c>
      <c r="X1210" t="s">
        <v>1120</v>
      </c>
      <c r="Y1210" t="s">
        <v>54</v>
      </c>
      <c r="Z1210" s="12">
        <f>IF(N1210&lt;=1,9,9+0.8*ROUNDUP(N1210-1,0))</f>
        <v>9</v>
      </c>
      <c r="AA1210" s="11">
        <v>-2</v>
      </c>
      <c r="AB1210" s="11">
        <v>0</v>
      </c>
      <c r="AC1210" s="11">
        <v>0</v>
      </c>
      <c r="AD1210" s="11">
        <v>0</v>
      </c>
      <c r="AE1210" s="11">
        <v>0</v>
      </c>
      <c r="AF1210" s="11">
        <f t="shared" si="54"/>
        <v>0.42</v>
      </c>
      <c r="AG1210" s="11">
        <f t="shared" si="55"/>
        <v>7.42</v>
      </c>
      <c r="AH1210" s="11">
        <v>0</v>
      </c>
      <c r="AI1210" s="11">
        <f t="shared" si="56"/>
        <v>7.42</v>
      </c>
      <c r="AJ1210" t="s">
        <v>62</v>
      </c>
    </row>
    <row r="1211" spans="1:36" ht="15" customHeight="1" x14ac:dyDescent="0.35">
      <c r="A1211">
        <v>10428918</v>
      </c>
      <c r="B1211" t="s">
        <v>36</v>
      </c>
      <c r="C1211" t="s">
        <v>37</v>
      </c>
      <c r="D1211" s="6" t="s">
        <v>38</v>
      </c>
      <c r="E1211" t="s">
        <v>3671</v>
      </c>
      <c r="F1211" t="s">
        <v>40</v>
      </c>
      <c r="G1211" t="s">
        <v>41</v>
      </c>
      <c r="H1211" t="s">
        <v>3672</v>
      </c>
      <c r="I1211" t="s">
        <v>43</v>
      </c>
      <c r="J1211">
        <v>2</v>
      </c>
      <c r="K1211" t="s">
        <v>44</v>
      </c>
      <c r="L1211" t="s">
        <v>45</v>
      </c>
      <c r="M1211" t="s">
        <v>46</v>
      </c>
      <c r="N1211" s="7">
        <v>1</v>
      </c>
      <c r="O1211" s="8">
        <v>45631.454155092593</v>
      </c>
      <c r="P1211" s="9">
        <v>45633</v>
      </c>
      <c r="Q1211" t="s">
        <v>74</v>
      </c>
      <c r="R1211" t="s">
        <v>48</v>
      </c>
      <c r="S1211" t="s">
        <v>49</v>
      </c>
      <c r="T1211" t="s">
        <v>69</v>
      </c>
      <c r="U1211" t="s">
        <v>3673</v>
      </c>
      <c r="V1211">
        <v>81100</v>
      </c>
      <c r="W1211" t="s">
        <v>48</v>
      </c>
      <c r="X1211" t="s">
        <v>552</v>
      </c>
      <c r="Y1211" t="s">
        <v>54</v>
      </c>
      <c r="Z1211" s="12">
        <f>IF(N1211&lt;=1,9,9+0.8*ROUNDUP(N1211-1,0))</f>
        <v>9</v>
      </c>
      <c r="AA1211" s="11">
        <v>-2</v>
      </c>
      <c r="AB1211" s="11">
        <v>0</v>
      </c>
      <c r="AC1211" s="11">
        <v>0</v>
      </c>
      <c r="AD1211" s="11">
        <v>0</v>
      </c>
      <c r="AE1211" s="11">
        <v>0</v>
      </c>
      <c r="AF1211" s="11">
        <f t="shared" si="54"/>
        <v>0.42</v>
      </c>
      <c r="AG1211" s="11">
        <f t="shared" si="55"/>
        <v>7.42</v>
      </c>
      <c r="AH1211" s="11">
        <v>0</v>
      </c>
      <c r="AI1211" s="11">
        <f t="shared" si="56"/>
        <v>7.42</v>
      </c>
      <c r="AJ1211" t="s">
        <v>62</v>
      </c>
    </row>
    <row r="1212" spans="1:36" ht="15" customHeight="1" x14ac:dyDescent="0.35">
      <c r="A1212">
        <v>10428918</v>
      </c>
      <c r="B1212" t="s">
        <v>36</v>
      </c>
      <c r="C1212" t="s">
        <v>37</v>
      </c>
      <c r="D1212" s="6" t="s">
        <v>38</v>
      </c>
      <c r="E1212" t="s">
        <v>3674</v>
      </c>
      <c r="F1212" t="s">
        <v>40</v>
      </c>
      <c r="G1212" t="s">
        <v>41</v>
      </c>
      <c r="H1212" t="s">
        <v>3675</v>
      </c>
      <c r="I1212" t="s">
        <v>43</v>
      </c>
      <c r="J1212">
        <v>2</v>
      </c>
      <c r="K1212" t="s">
        <v>44</v>
      </c>
      <c r="L1212" t="s">
        <v>45</v>
      </c>
      <c r="M1212" t="s">
        <v>46</v>
      </c>
      <c r="N1212" s="7">
        <v>1</v>
      </c>
      <c r="O1212" s="8">
        <v>45632.44872685185</v>
      </c>
      <c r="P1212" s="9">
        <v>45633</v>
      </c>
      <c r="Q1212" t="s">
        <v>58</v>
      </c>
      <c r="R1212" t="s">
        <v>48</v>
      </c>
      <c r="S1212" t="s">
        <v>49</v>
      </c>
      <c r="T1212" t="s">
        <v>117</v>
      </c>
      <c r="U1212" t="s">
        <v>3676</v>
      </c>
      <c r="V1212">
        <v>43650</v>
      </c>
      <c r="W1212" t="s">
        <v>48</v>
      </c>
      <c r="X1212" t="s">
        <v>191</v>
      </c>
      <c r="Y1212" t="s">
        <v>54</v>
      </c>
      <c r="Z1212" s="12">
        <f>IF(N1212&lt;=1,9,9+0.8*ROUNDUP(N1212-1,0))</f>
        <v>9</v>
      </c>
      <c r="AA1212" s="11">
        <v>-2</v>
      </c>
      <c r="AB1212" s="11">
        <v>0</v>
      </c>
      <c r="AC1212" s="11">
        <v>0</v>
      </c>
      <c r="AD1212" s="11">
        <v>0</v>
      </c>
      <c r="AE1212" s="11">
        <v>0</v>
      </c>
      <c r="AF1212" s="11">
        <f t="shared" si="54"/>
        <v>0.42</v>
      </c>
      <c r="AG1212" s="11">
        <f t="shared" si="55"/>
        <v>7.42</v>
      </c>
      <c r="AH1212" s="11">
        <v>0</v>
      </c>
      <c r="AI1212" s="11">
        <f t="shared" si="56"/>
        <v>7.42</v>
      </c>
      <c r="AJ1212" t="s">
        <v>62</v>
      </c>
    </row>
    <row r="1213" spans="1:36" ht="15" customHeight="1" x14ac:dyDescent="0.35">
      <c r="A1213">
        <v>10428918</v>
      </c>
      <c r="B1213" t="s">
        <v>36</v>
      </c>
      <c r="C1213" t="s">
        <v>37</v>
      </c>
      <c r="D1213" s="6" t="s">
        <v>38</v>
      </c>
      <c r="E1213" t="s">
        <v>3677</v>
      </c>
      <c r="F1213" t="s">
        <v>40</v>
      </c>
      <c r="G1213" t="s">
        <v>41</v>
      </c>
      <c r="H1213" t="s">
        <v>3678</v>
      </c>
      <c r="I1213" t="s">
        <v>43</v>
      </c>
      <c r="J1213">
        <v>2</v>
      </c>
      <c r="K1213" t="s">
        <v>44</v>
      </c>
      <c r="L1213" t="s">
        <v>45</v>
      </c>
      <c r="M1213" t="s">
        <v>46</v>
      </c>
      <c r="N1213" s="7">
        <v>1</v>
      </c>
      <c r="O1213" s="8">
        <v>45631.432812500003</v>
      </c>
      <c r="P1213" s="9">
        <v>45633</v>
      </c>
      <c r="Q1213" t="s">
        <v>74</v>
      </c>
      <c r="R1213" t="s">
        <v>48</v>
      </c>
      <c r="S1213" t="s">
        <v>49</v>
      </c>
      <c r="T1213" t="s">
        <v>101</v>
      </c>
      <c r="U1213" t="s">
        <v>3679</v>
      </c>
      <c r="V1213">
        <v>34700</v>
      </c>
      <c r="W1213" t="s">
        <v>48</v>
      </c>
      <c r="X1213" t="s">
        <v>53</v>
      </c>
      <c r="Y1213" t="s">
        <v>54</v>
      </c>
      <c r="Z1213" s="12">
        <f>IF(N1213&lt;=1,9,9+0.8*ROUNDUP(N1213-1,0))</f>
        <v>9</v>
      </c>
      <c r="AA1213" s="11">
        <v>-2</v>
      </c>
      <c r="AB1213" s="11">
        <v>0</v>
      </c>
      <c r="AC1213" s="11">
        <v>0</v>
      </c>
      <c r="AD1213" s="11">
        <v>0</v>
      </c>
      <c r="AE1213" s="11">
        <v>0</v>
      </c>
      <c r="AF1213" s="11">
        <f t="shared" si="54"/>
        <v>0.42</v>
      </c>
      <c r="AG1213" s="11">
        <f t="shared" si="55"/>
        <v>7.42</v>
      </c>
      <c r="AH1213" s="11">
        <v>0</v>
      </c>
      <c r="AI1213" s="11">
        <f t="shared" si="56"/>
        <v>7.42</v>
      </c>
      <c r="AJ1213" t="s">
        <v>62</v>
      </c>
    </row>
    <row r="1214" spans="1:36" ht="15" customHeight="1" x14ac:dyDescent="0.35">
      <c r="A1214">
        <v>10428918</v>
      </c>
      <c r="B1214" t="s">
        <v>36</v>
      </c>
      <c r="C1214" t="s">
        <v>37</v>
      </c>
      <c r="D1214" s="6" t="s">
        <v>38</v>
      </c>
      <c r="E1214" t="s">
        <v>3680</v>
      </c>
      <c r="F1214" t="s">
        <v>40</v>
      </c>
      <c r="G1214" t="s">
        <v>41</v>
      </c>
      <c r="H1214" t="s">
        <v>3681</v>
      </c>
      <c r="I1214" t="s">
        <v>43</v>
      </c>
      <c r="J1214">
        <v>2</v>
      </c>
      <c r="K1214" t="s">
        <v>44</v>
      </c>
      <c r="L1214" t="s">
        <v>45</v>
      </c>
      <c r="M1214" t="s">
        <v>46</v>
      </c>
      <c r="N1214" s="7">
        <v>2</v>
      </c>
      <c r="O1214" s="8">
        <v>45630.609016203707</v>
      </c>
      <c r="P1214" s="9">
        <v>45633</v>
      </c>
      <c r="Q1214" t="s">
        <v>74</v>
      </c>
      <c r="R1214" t="s">
        <v>48</v>
      </c>
      <c r="S1214" t="s">
        <v>49</v>
      </c>
      <c r="T1214" t="s">
        <v>80</v>
      </c>
      <c r="U1214" t="s">
        <v>3682</v>
      </c>
      <c r="V1214">
        <v>6700</v>
      </c>
      <c r="W1214" t="s">
        <v>48</v>
      </c>
      <c r="X1214" t="s">
        <v>670</v>
      </c>
      <c r="Y1214" t="s">
        <v>54</v>
      </c>
      <c r="Z1214" s="12">
        <f>IF(N1214&lt;=1,9,9+0.8*ROUNDUP(N1214-1,0))</f>
        <v>9.8000000000000007</v>
      </c>
      <c r="AA1214" s="11">
        <v>-2</v>
      </c>
      <c r="AB1214" s="11">
        <v>0</v>
      </c>
      <c r="AC1214" s="11">
        <v>0</v>
      </c>
      <c r="AD1214" s="11">
        <v>0</v>
      </c>
      <c r="AE1214" s="11">
        <v>0</v>
      </c>
      <c r="AF1214" s="11">
        <f t="shared" si="54"/>
        <v>0.46800000000000003</v>
      </c>
      <c r="AG1214" s="11">
        <f t="shared" si="55"/>
        <v>8.2680000000000007</v>
      </c>
      <c r="AH1214" s="11">
        <v>0</v>
      </c>
      <c r="AI1214" s="11">
        <f t="shared" si="56"/>
        <v>8.2680000000000007</v>
      </c>
      <c r="AJ1214" t="s">
        <v>62</v>
      </c>
    </row>
    <row r="1215" spans="1:36" ht="15" customHeight="1" x14ac:dyDescent="0.35">
      <c r="A1215">
        <v>10428918</v>
      </c>
      <c r="B1215" t="s">
        <v>36</v>
      </c>
      <c r="C1215" t="s">
        <v>37</v>
      </c>
      <c r="D1215" s="6" t="s">
        <v>38</v>
      </c>
      <c r="E1215" t="s">
        <v>3683</v>
      </c>
      <c r="F1215" t="s">
        <v>40</v>
      </c>
      <c r="G1215" t="s">
        <v>41</v>
      </c>
      <c r="H1215" t="s">
        <v>3684</v>
      </c>
      <c r="I1215" t="s">
        <v>43</v>
      </c>
      <c r="J1215">
        <v>2</v>
      </c>
      <c r="K1215" t="s">
        <v>44</v>
      </c>
      <c r="L1215" t="s">
        <v>45</v>
      </c>
      <c r="M1215" t="s">
        <v>46</v>
      </c>
      <c r="N1215" s="7">
        <v>2</v>
      </c>
      <c r="O1215" s="8">
        <v>45631.796574074076</v>
      </c>
      <c r="P1215" s="9">
        <v>45633</v>
      </c>
      <c r="Q1215" t="s">
        <v>58</v>
      </c>
      <c r="R1215" t="s">
        <v>48</v>
      </c>
      <c r="S1215" t="s">
        <v>49</v>
      </c>
      <c r="T1215" t="s">
        <v>75</v>
      </c>
      <c r="U1215" t="s">
        <v>3685</v>
      </c>
      <c r="V1215">
        <v>26300</v>
      </c>
      <c r="W1215" t="s">
        <v>48</v>
      </c>
      <c r="X1215" t="s">
        <v>61</v>
      </c>
      <c r="Y1215" t="s">
        <v>54</v>
      </c>
      <c r="Z1215" s="12">
        <f>IF(N1215&lt;=1,9,9+0.8*ROUNDUP(N1215-1,0))</f>
        <v>9.8000000000000007</v>
      </c>
      <c r="AA1215" s="11">
        <v>-2</v>
      </c>
      <c r="AB1215" s="11">
        <v>0</v>
      </c>
      <c r="AC1215" s="11">
        <v>0</v>
      </c>
      <c r="AD1215" s="11">
        <v>0</v>
      </c>
      <c r="AE1215" s="11">
        <v>0</v>
      </c>
      <c r="AF1215" s="11">
        <f t="shared" si="54"/>
        <v>0.46800000000000003</v>
      </c>
      <c r="AG1215" s="11">
        <f t="shared" si="55"/>
        <v>8.2680000000000007</v>
      </c>
      <c r="AH1215" s="11">
        <v>0</v>
      </c>
      <c r="AI1215" s="11">
        <f t="shared" si="56"/>
        <v>8.2680000000000007</v>
      </c>
      <c r="AJ1215" t="s">
        <v>62</v>
      </c>
    </row>
    <row r="1216" spans="1:36" ht="15" customHeight="1" x14ac:dyDescent="0.35">
      <c r="A1216">
        <v>10428918</v>
      </c>
      <c r="B1216" t="s">
        <v>36</v>
      </c>
      <c r="C1216" t="s">
        <v>37</v>
      </c>
      <c r="D1216" s="6" t="s">
        <v>38</v>
      </c>
      <c r="E1216" t="s">
        <v>3686</v>
      </c>
      <c r="F1216" t="s">
        <v>40</v>
      </c>
      <c r="G1216" t="s">
        <v>41</v>
      </c>
      <c r="H1216" t="s">
        <v>2737</v>
      </c>
      <c r="I1216" t="s">
        <v>43</v>
      </c>
      <c r="J1216">
        <v>2</v>
      </c>
      <c r="K1216" t="s">
        <v>44</v>
      </c>
      <c r="L1216" t="s">
        <v>45</v>
      </c>
      <c r="M1216" t="s">
        <v>46</v>
      </c>
      <c r="N1216" s="7">
        <v>14</v>
      </c>
      <c r="O1216" s="8">
        <v>45628.417615740742</v>
      </c>
      <c r="P1216" s="9">
        <v>45633</v>
      </c>
      <c r="Q1216" t="s">
        <v>74</v>
      </c>
      <c r="R1216" t="s">
        <v>48</v>
      </c>
      <c r="S1216" t="s">
        <v>49</v>
      </c>
      <c r="T1216" t="s">
        <v>75</v>
      </c>
      <c r="U1216" t="s">
        <v>3687</v>
      </c>
      <c r="V1216">
        <v>28200</v>
      </c>
      <c r="W1216" t="s">
        <v>48</v>
      </c>
      <c r="X1216" t="s">
        <v>662</v>
      </c>
      <c r="Y1216" t="s">
        <v>54</v>
      </c>
      <c r="Z1216" s="12">
        <f>IF(N1216&lt;=1,9,9+0.8*ROUNDUP(N1216-1,0))</f>
        <v>19.399999999999999</v>
      </c>
      <c r="AA1216" s="11">
        <v>-2</v>
      </c>
      <c r="AB1216" s="11">
        <v>0</v>
      </c>
      <c r="AC1216" s="11">
        <v>0</v>
      </c>
      <c r="AD1216" s="11">
        <v>0</v>
      </c>
      <c r="AE1216" s="11">
        <v>0</v>
      </c>
      <c r="AF1216" s="11">
        <f t="shared" si="54"/>
        <v>1.0439999999999998</v>
      </c>
      <c r="AG1216" s="11">
        <f t="shared" si="55"/>
        <v>18.443999999999999</v>
      </c>
      <c r="AH1216" s="11">
        <v>0</v>
      </c>
      <c r="AI1216" s="11">
        <f t="shared" si="56"/>
        <v>18.443999999999999</v>
      </c>
      <c r="AJ1216" t="s">
        <v>62</v>
      </c>
    </row>
    <row r="1217" spans="1:36" ht="15" customHeight="1" x14ac:dyDescent="0.35">
      <c r="A1217">
        <v>10428918</v>
      </c>
      <c r="B1217" t="s">
        <v>36</v>
      </c>
      <c r="C1217" t="s">
        <v>37</v>
      </c>
      <c r="D1217" s="6" t="s">
        <v>38</v>
      </c>
      <c r="E1217" t="s">
        <v>3688</v>
      </c>
      <c r="F1217" t="s">
        <v>40</v>
      </c>
      <c r="G1217" t="s">
        <v>41</v>
      </c>
      <c r="H1217" t="s">
        <v>3689</v>
      </c>
      <c r="I1217" t="s">
        <v>43</v>
      </c>
      <c r="J1217">
        <v>2</v>
      </c>
      <c r="K1217" t="s">
        <v>44</v>
      </c>
      <c r="L1217" t="s">
        <v>45</v>
      </c>
      <c r="M1217" t="s">
        <v>46</v>
      </c>
      <c r="N1217" s="7">
        <v>1</v>
      </c>
      <c r="O1217" s="8">
        <v>45631.441423611112</v>
      </c>
      <c r="P1217" s="9">
        <v>45633</v>
      </c>
      <c r="Q1217" t="s">
        <v>74</v>
      </c>
      <c r="R1217" t="s">
        <v>48</v>
      </c>
      <c r="S1217" t="s">
        <v>49</v>
      </c>
      <c r="T1217" t="s">
        <v>161</v>
      </c>
      <c r="U1217" t="s">
        <v>3690</v>
      </c>
      <c r="V1217">
        <v>11900</v>
      </c>
      <c r="W1217" t="s">
        <v>48</v>
      </c>
      <c r="X1217" t="s">
        <v>820</v>
      </c>
      <c r="Y1217" t="s">
        <v>54</v>
      </c>
      <c r="Z1217" s="12">
        <f>IF(N1217&lt;=1,9,9+0.8*ROUNDUP(N1217-1,0))</f>
        <v>9</v>
      </c>
      <c r="AA1217" s="11">
        <v>-2</v>
      </c>
      <c r="AB1217" s="11">
        <v>0</v>
      </c>
      <c r="AC1217" s="11">
        <v>0</v>
      </c>
      <c r="AD1217" s="11">
        <v>0</v>
      </c>
      <c r="AE1217" s="11">
        <v>0</v>
      </c>
      <c r="AF1217" s="11">
        <f t="shared" si="54"/>
        <v>0.42</v>
      </c>
      <c r="AG1217" s="11">
        <f t="shared" si="55"/>
        <v>7.42</v>
      </c>
      <c r="AH1217" s="11">
        <v>0</v>
      </c>
      <c r="AI1217" s="11">
        <f t="shared" si="56"/>
        <v>7.42</v>
      </c>
      <c r="AJ1217" t="s">
        <v>62</v>
      </c>
    </row>
    <row r="1218" spans="1:36" ht="15" customHeight="1" x14ac:dyDescent="0.35">
      <c r="A1218">
        <v>10428918</v>
      </c>
      <c r="B1218" t="s">
        <v>36</v>
      </c>
      <c r="C1218" t="s">
        <v>37</v>
      </c>
      <c r="D1218" s="6" t="s">
        <v>38</v>
      </c>
      <c r="E1218" t="s">
        <v>3691</v>
      </c>
      <c r="F1218" t="s">
        <v>40</v>
      </c>
      <c r="G1218" t="s">
        <v>41</v>
      </c>
      <c r="H1218" t="s">
        <v>3692</v>
      </c>
      <c r="I1218" t="s">
        <v>43</v>
      </c>
      <c r="J1218">
        <v>2</v>
      </c>
      <c r="K1218" t="s">
        <v>44</v>
      </c>
      <c r="L1218" t="s">
        <v>45</v>
      </c>
      <c r="M1218" t="s">
        <v>46</v>
      </c>
      <c r="N1218" s="7">
        <v>1</v>
      </c>
      <c r="O1218" s="8">
        <v>45631.441435185188</v>
      </c>
      <c r="P1218" s="9">
        <v>45633</v>
      </c>
      <c r="Q1218" t="s">
        <v>74</v>
      </c>
      <c r="R1218" t="s">
        <v>48</v>
      </c>
      <c r="S1218" t="s">
        <v>49</v>
      </c>
      <c r="T1218" t="s">
        <v>161</v>
      </c>
      <c r="U1218" t="s">
        <v>3693</v>
      </c>
      <c r="V1218">
        <v>11920</v>
      </c>
      <c r="W1218" t="s">
        <v>48</v>
      </c>
      <c r="X1218" t="s">
        <v>53</v>
      </c>
      <c r="Y1218" t="s">
        <v>54</v>
      </c>
      <c r="Z1218" s="12">
        <f>IF(N1218&lt;=1,9,9+0.8*ROUNDUP(N1218-1,0))</f>
        <v>9</v>
      </c>
      <c r="AA1218" s="11">
        <v>-2</v>
      </c>
      <c r="AB1218" s="11">
        <v>0</v>
      </c>
      <c r="AC1218" s="11">
        <v>0</v>
      </c>
      <c r="AD1218" s="11">
        <v>0</v>
      </c>
      <c r="AE1218" s="11">
        <v>0</v>
      </c>
      <c r="AF1218" s="11">
        <f t="shared" ref="AF1218:AF1281" si="57">(Z1218+AA1218+AC1218+AE1218)*6%</f>
        <v>0.42</v>
      </c>
      <c r="AG1218" s="11">
        <f t="shared" ref="AG1218:AG1281" si="58">Z1218+AA1218+AC1218+AE1218+AF1218</f>
        <v>7.42</v>
      </c>
      <c r="AH1218" s="11">
        <v>0</v>
      </c>
      <c r="AI1218" s="11">
        <f t="shared" ref="AI1218:AI1281" si="59">AG1218+AH1218</f>
        <v>7.42</v>
      </c>
      <c r="AJ1218" t="s">
        <v>62</v>
      </c>
    </row>
    <row r="1219" spans="1:36" ht="15" customHeight="1" x14ac:dyDescent="0.35">
      <c r="A1219">
        <v>10428918</v>
      </c>
      <c r="B1219" t="s">
        <v>36</v>
      </c>
      <c r="C1219" t="s">
        <v>37</v>
      </c>
      <c r="D1219" s="6" t="s">
        <v>38</v>
      </c>
      <c r="E1219" t="s">
        <v>3694</v>
      </c>
      <c r="F1219" t="s">
        <v>40</v>
      </c>
      <c r="G1219" t="s">
        <v>41</v>
      </c>
      <c r="H1219" t="s">
        <v>3695</v>
      </c>
      <c r="I1219" t="s">
        <v>43</v>
      </c>
      <c r="J1219">
        <v>2</v>
      </c>
      <c r="K1219" t="s">
        <v>44</v>
      </c>
      <c r="L1219" t="s">
        <v>45</v>
      </c>
      <c r="M1219" t="s">
        <v>46</v>
      </c>
      <c r="N1219" s="7">
        <v>1</v>
      </c>
      <c r="O1219" s="8">
        <v>45629.795775462961</v>
      </c>
      <c r="P1219" s="9">
        <v>45633</v>
      </c>
      <c r="Q1219" t="s">
        <v>74</v>
      </c>
      <c r="R1219" t="s">
        <v>48</v>
      </c>
      <c r="S1219" t="s">
        <v>49</v>
      </c>
      <c r="T1219" t="s">
        <v>117</v>
      </c>
      <c r="U1219" t="s">
        <v>3696</v>
      </c>
      <c r="V1219">
        <v>41050</v>
      </c>
      <c r="W1219" t="s">
        <v>48</v>
      </c>
      <c r="X1219" t="s">
        <v>53</v>
      </c>
      <c r="Y1219" t="s">
        <v>54</v>
      </c>
      <c r="Z1219" s="12">
        <f>IF(N1219&lt;=1,9,9+0.8*ROUNDUP(N1219-1,0))</f>
        <v>9</v>
      </c>
      <c r="AA1219" s="11">
        <v>-2</v>
      </c>
      <c r="AB1219" s="11">
        <v>0</v>
      </c>
      <c r="AC1219" s="11">
        <v>0</v>
      </c>
      <c r="AD1219" s="11">
        <v>0</v>
      </c>
      <c r="AE1219" s="11">
        <v>0</v>
      </c>
      <c r="AF1219" s="11">
        <f t="shared" si="57"/>
        <v>0.42</v>
      </c>
      <c r="AG1219" s="11">
        <f t="shared" si="58"/>
        <v>7.42</v>
      </c>
      <c r="AH1219" s="11">
        <v>0</v>
      </c>
      <c r="AI1219" s="11">
        <f t="shared" si="59"/>
        <v>7.42</v>
      </c>
      <c r="AJ1219" t="s">
        <v>62</v>
      </c>
    </row>
    <row r="1220" spans="1:36" ht="15" customHeight="1" x14ac:dyDescent="0.35">
      <c r="A1220">
        <v>10428918</v>
      </c>
      <c r="B1220" t="s">
        <v>36</v>
      </c>
      <c r="C1220" t="s">
        <v>37</v>
      </c>
      <c r="D1220" s="6" t="s">
        <v>38</v>
      </c>
      <c r="E1220" t="s">
        <v>3697</v>
      </c>
      <c r="F1220" t="s">
        <v>40</v>
      </c>
      <c r="G1220" t="s">
        <v>41</v>
      </c>
      <c r="H1220" t="s">
        <v>3698</v>
      </c>
      <c r="I1220" t="s">
        <v>43</v>
      </c>
      <c r="J1220">
        <v>2</v>
      </c>
      <c r="K1220" t="s">
        <v>44</v>
      </c>
      <c r="L1220" t="s">
        <v>45</v>
      </c>
      <c r="M1220" t="s">
        <v>46</v>
      </c>
      <c r="N1220" s="7">
        <v>1</v>
      </c>
      <c r="O1220" s="8">
        <v>45631.441423611112</v>
      </c>
      <c r="P1220" s="9">
        <v>45633</v>
      </c>
      <c r="Q1220" t="s">
        <v>74</v>
      </c>
      <c r="R1220" t="s">
        <v>48</v>
      </c>
      <c r="S1220" t="s">
        <v>49</v>
      </c>
      <c r="T1220" t="s">
        <v>65</v>
      </c>
      <c r="U1220" t="s">
        <v>3699</v>
      </c>
      <c r="V1220">
        <v>77000</v>
      </c>
      <c r="W1220" t="s">
        <v>48</v>
      </c>
      <c r="X1220" t="s">
        <v>53</v>
      </c>
      <c r="Y1220" t="s">
        <v>54</v>
      </c>
      <c r="Z1220" s="12">
        <f>IF(N1220&lt;=1,9,9+0.8*ROUNDUP(N1220-1,0))</f>
        <v>9</v>
      </c>
      <c r="AA1220" s="11">
        <v>-2</v>
      </c>
      <c r="AB1220" s="11">
        <v>0</v>
      </c>
      <c r="AC1220" s="11">
        <v>0</v>
      </c>
      <c r="AD1220" s="11">
        <v>0</v>
      </c>
      <c r="AE1220" s="11">
        <v>0</v>
      </c>
      <c r="AF1220" s="11">
        <f t="shared" si="57"/>
        <v>0.42</v>
      </c>
      <c r="AG1220" s="11">
        <f t="shared" si="58"/>
        <v>7.42</v>
      </c>
      <c r="AH1220" s="11">
        <v>0</v>
      </c>
      <c r="AI1220" s="11">
        <f t="shared" si="59"/>
        <v>7.42</v>
      </c>
      <c r="AJ1220" t="s">
        <v>62</v>
      </c>
    </row>
    <row r="1221" spans="1:36" ht="15" customHeight="1" x14ac:dyDescent="0.35">
      <c r="A1221">
        <v>10428918</v>
      </c>
      <c r="B1221" t="s">
        <v>36</v>
      </c>
      <c r="C1221" t="s">
        <v>37</v>
      </c>
      <c r="D1221" s="6" t="s">
        <v>38</v>
      </c>
      <c r="E1221" t="s">
        <v>3700</v>
      </c>
      <c r="F1221" t="s">
        <v>40</v>
      </c>
      <c r="G1221" t="s">
        <v>41</v>
      </c>
      <c r="H1221" t="s">
        <v>3701</v>
      </c>
      <c r="I1221" t="s">
        <v>43</v>
      </c>
      <c r="J1221">
        <v>2</v>
      </c>
      <c r="K1221" t="s">
        <v>44</v>
      </c>
      <c r="L1221" t="s">
        <v>45</v>
      </c>
      <c r="M1221" t="s">
        <v>46</v>
      </c>
      <c r="N1221" s="7">
        <v>1</v>
      </c>
      <c r="O1221" s="8">
        <v>45630.806342592594</v>
      </c>
      <c r="P1221" s="9">
        <v>45633</v>
      </c>
      <c r="Q1221" t="s">
        <v>74</v>
      </c>
      <c r="R1221" t="s">
        <v>48</v>
      </c>
      <c r="S1221" t="s">
        <v>49</v>
      </c>
      <c r="T1221" t="s">
        <v>80</v>
      </c>
      <c r="U1221" t="s">
        <v>3702</v>
      </c>
      <c r="V1221">
        <v>9410</v>
      </c>
      <c r="W1221" t="s">
        <v>48</v>
      </c>
      <c r="X1221" t="s">
        <v>690</v>
      </c>
      <c r="Y1221" t="s">
        <v>54</v>
      </c>
      <c r="Z1221" s="12">
        <f>IF(N1221&lt;=1,9,9+0.8*ROUNDUP(N1221-1,0))</f>
        <v>9</v>
      </c>
      <c r="AA1221" s="11">
        <v>-2</v>
      </c>
      <c r="AB1221" s="11">
        <v>0</v>
      </c>
      <c r="AC1221" s="11">
        <v>0</v>
      </c>
      <c r="AD1221" s="11">
        <v>0</v>
      </c>
      <c r="AE1221" s="11">
        <v>0</v>
      </c>
      <c r="AF1221" s="11">
        <f t="shared" si="57"/>
        <v>0.42</v>
      </c>
      <c r="AG1221" s="11">
        <f t="shared" si="58"/>
        <v>7.42</v>
      </c>
      <c r="AH1221" s="11">
        <v>0</v>
      </c>
      <c r="AI1221" s="11">
        <f t="shared" si="59"/>
        <v>7.42</v>
      </c>
      <c r="AJ1221" t="s">
        <v>62</v>
      </c>
    </row>
    <row r="1222" spans="1:36" ht="15" customHeight="1" x14ac:dyDescent="0.35">
      <c r="A1222">
        <v>10428918</v>
      </c>
      <c r="B1222" t="s">
        <v>36</v>
      </c>
      <c r="C1222" t="s">
        <v>37</v>
      </c>
      <c r="D1222" s="6" t="s">
        <v>38</v>
      </c>
      <c r="E1222" t="s">
        <v>3703</v>
      </c>
      <c r="F1222" t="s">
        <v>40</v>
      </c>
      <c r="G1222" t="s">
        <v>41</v>
      </c>
      <c r="H1222" t="s">
        <v>3704</v>
      </c>
      <c r="I1222" t="s">
        <v>43</v>
      </c>
      <c r="J1222">
        <v>2</v>
      </c>
      <c r="K1222" t="s">
        <v>44</v>
      </c>
      <c r="L1222" t="s">
        <v>45</v>
      </c>
      <c r="M1222" t="s">
        <v>46</v>
      </c>
      <c r="N1222" s="7">
        <v>1</v>
      </c>
      <c r="O1222" s="8">
        <v>45631.45039351852</v>
      </c>
      <c r="P1222" s="9">
        <v>45633</v>
      </c>
      <c r="Q1222" t="s">
        <v>74</v>
      </c>
      <c r="R1222" t="s">
        <v>48</v>
      </c>
      <c r="S1222" t="s">
        <v>49</v>
      </c>
      <c r="T1222" t="s">
        <v>80</v>
      </c>
      <c r="U1222" t="s">
        <v>3705</v>
      </c>
      <c r="V1222">
        <v>9600</v>
      </c>
      <c r="W1222" t="s">
        <v>48</v>
      </c>
      <c r="X1222" t="s">
        <v>690</v>
      </c>
      <c r="Y1222" t="s">
        <v>54</v>
      </c>
      <c r="Z1222" s="12">
        <f>IF(N1222&lt;=1,9,9+0.8*ROUNDUP(N1222-1,0))</f>
        <v>9</v>
      </c>
      <c r="AA1222" s="11">
        <v>-2</v>
      </c>
      <c r="AB1222" s="11">
        <v>0</v>
      </c>
      <c r="AC1222" s="11">
        <v>0</v>
      </c>
      <c r="AD1222" s="11">
        <v>0</v>
      </c>
      <c r="AE1222" s="11">
        <v>0</v>
      </c>
      <c r="AF1222" s="11">
        <f t="shared" si="57"/>
        <v>0.42</v>
      </c>
      <c r="AG1222" s="11">
        <f t="shared" si="58"/>
        <v>7.42</v>
      </c>
      <c r="AH1222" s="11">
        <v>0</v>
      </c>
      <c r="AI1222" s="11">
        <f t="shared" si="59"/>
        <v>7.42</v>
      </c>
      <c r="AJ1222" t="s">
        <v>62</v>
      </c>
    </row>
    <row r="1223" spans="1:36" ht="15" customHeight="1" x14ac:dyDescent="0.35">
      <c r="A1223">
        <v>10428918</v>
      </c>
      <c r="B1223" t="s">
        <v>36</v>
      </c>
      <c r="C1223" t="s">
        <v>37</v>
      </c>
      <c r="D1223" s="6" t="s">
        <v>38</v>
      </c>
      <c r="E1223" t="s">
        <v>3706</v>
      </c>
      <c r="F1223" t="s">
        <v>40</v>
      </c>
      <c r="G1223" t="s">
        <v>41</v>
      </c>
      <c r="H1223" t="s">
        <v>3707</v>
      </c>
      <c r="I1223" t="s">
        <v>43</v>
      </c>
      <c r="J1223">
        <v>2</v>
      </c>
      <c r="K1223" t="s">
        <v>44</v>
      </c>
      <c r="L1223" t="s">
        <v>45</v>
      </c>
      <c r="M1223" t="s">
        <v>46</v>
      </c>
      <c r="N1223" s="7">
        <v>1</v>
      </c>
      <c r="O1223" s="8">
        <v>45631.713530092595</v>
      </c>
      <c r="P1223" s="9">
        <v>45633</v>
      </c>
      <c r="Q1223" t="s">
        <v>74</v>
      </c>
      <c r="R1223" t="s">
        <v>48</v>
      </c>
      <c r="S1223" t="s">
        <v>49</v>
      </c>
      <c r="T1223" t="s">
        <v>69</v>
      </c>
      <c r="U1223" t="s">
        <v>3708</v>
      </c>
      <c r="V1223">
        <v>81300</v>
      </c>
      <c r="W1223" t="s">
        <v>48</v>
      </c>
      <c r="X1223" t="s">
        <v>771</v>
      </c>
      <c r="Y1223" t="s">
        <v>54</v>
      </c>
      <c r="Z1223" s="12">
        <f>IF(N1223&lt;=1,9,9+0.8*ROUNDUP(N1223-1,0))</f>
        <v>9</v>
      </c>
      <c r="AA1223" s="11">
        <v>-2</v>
      </c>
      <c r="AB1223" s="11">
        <v>0</v>
      </c>
      <c r="AC1223" s="11">
        <v>0</v>
      </c>
      <c r="AD1223" s="11">
        <v>0</v>
      </c>
      <c r="AE1223" s="11">
        <v>0</v>
      </c>
      <c r="AF1223" s="11">
        <f t="shared" si="57"/>
        <v>0.42</v>
      </c>
      <c r="AG1223" s="11">
        <f t="shared" si="58"/>
        <v>7.42</v>
      </c>
      <c r="AH1223" s="11">
        <v>0</v>
      </c>
      <c r="AI1223" s="11">
        <f t="shared" si="59"/>
        <v>7.42</v>
      </c>
      <c r="AJ1223" t="s">
        <v>62</v>
      </c>
    </row>
    <row r="1224" spans="1:36" ht="15" customHeight="1" x14ac:dyDescent="0.35">
      <c r="A1224">
        <v>10428918</v>
      </c>
      <c r="B1224" t="s">
        <v>36</v>
      </c>
      <c r="C1224" t="s">
        <v>37</v>
      </c>
      <c r="D1224" s="6" t="s">
        <v>38</v>
      </c>
      <c r="E1224" t="s">
        <v>3709</v>
      </c>
      <c r="F1224" t="s">
        <v>40</v>
      </c>
      <c r="G1224" t="s">
        <v>41</v>
      </c>
      <c r="H1224" t="s">
        <v>3710</v>
      </c>
      <c r="I1224" t="s">
        <v>43</v>
      </c>
      <c r="J1224">
        <v>2</v>
      </c>
      <c r="K1224" t="s">
        <v>44</v>
      </c>
      <c r="L1224" t="s">
        <v>45</v>
      </c>
      <c r="M1224" t="s">
        <v>46</v>
      </c>
      <c r="N1224" s="7">
        <v>4</v>
      </c>
      <c r="O1224" s="8">
        <v>45632.44872685185</v>
      </c>
      <c r="P1224" s="9">
        <v>45633</v>
      </c>
      <c r="Q1224" t="s">
        <v>58</v>
      </c>
      <c r="R1224" t="s">
        <v>48</v>
      </c>
      <c r="S1224" t="s">
        <v>49</v>
      </c>
      <c r="T1224" t="s">
        <v>75</v>
      </c>
      <c r="U1224" t="s">
        <v>3711</v>
      </c>
      <c r="V1224">
        <v>27070</v>
      </c>
      <c r="W1224" t="s">
        <v>48</v>
      </c>
      <c r="X1224" t="s">
        <v>3712</v>
      </c>
      <c r="Y1224" t="s">
        <v>54</v>
      </c>
      <c r="Z1224" s="12">
        <f>IF(N1224&lt;=1,9,9+0.8*ROUNDUP(N1224-1,0))</f>
        <v>11.4</v>
      </c>
      <c r="AA1224" s="11">
        <v>-2</v>
      </c>
      <c r="AB1224" s="11">
        <v>0</v>
      </c>
      <c r="AC1224" s="11">
        <v>0</v>
      </c>
      <c r="AD1224" s="11">
        <v>0</v>
      </c>
      <c r="AE1224" s="11">
        <v>0</v>
      </c>
      <c r="AF1224" s="11">
        <f t="shared" si="57"/>
        <v>0.56399999999999995</v>
      </c>
      <c r="AG1224" s="11">
        <f t="shared" si="58"/>
        <v>9.9640000000000004</v>
      </c>
      <c r="AH1224" s="11">
        <v>0</v>
      </c>
      <c r="AI1224" s="11">
        <f t="shared" si="59"/>
        <v>9.9640000000000004</v>
      </c>
      <c r="AJ1224" t="s">
        <v>62</v>
      </c>
    </row>
    <row r="1225" spans="1:36" ht="15" customHeight="1" x14ac:dyDescent="0.35">
      <c r="A1225">
        <v>10428918</v>
      </c>
      <c r="B1225" t="s">
        <v>36</v>
      </c>
      <c r="C1225" t="s">
        <v>37</v>
      </c>
      <c r="D1225" s="6" t="s">
        <v>38</v>
      </c>
      <c r="E1225" t="s">
        <v>3713</v>
      </c>
      <c r="F1225" t="s">
        <v>40</v>
      </c>
      <c r="G1225" t="s">
        <v>41</v>
      </c>
      <c r="H1225" t="s">
        <v>3714</v>
      </c>
      <c r="I1225" t="s">
        <v>43</v>
      </c>
      <c r="J1225">
        <v>2</v>
      </c>
      <c r="K1225" t="s">
        <v>44</v>
      </c>
      <c r="L1225" t="s">
        <v>45</v>
      </c>
      <c r="M1225" t="s">
        <v>46</v>
      </c>
      <c r="N1225" s="7">
        <v>1</v>
      </c>
      <c r="O1225" s="8">
        <v>45631.646782407406</v>
      </c>
      <c r="P1225" s="9">
        <v>45633</v>
      </c>
      <c r="Q1225" t="s">
        <v>74</v>
      </c>
      <c r="R1225" t="s">
        <v>48</v>
      </c>
      <c r="S1225" t="s">
        <v>49</v>
      </c>
      <c r="T1225" t="s">
        <v>101</v>
      </c>
      <c r="U1225" t="s">
        <v>3715</v>
      </c>
      <c r="V1225">
        <v>34850</v>
      </c>
      <c r="W1225" t="s">
        <v>48</v>
      </c>
      <c r="X1225" t="s">
        <v>53</v>
      </c>
      <c r="Y1225" t="s">
        <v>54</v>
      </c>
      <c r="Z1225" s="12">
        <f>IF(N1225&lt;=1,9,9+0.8*ROUNDUP(N1225-1,0))</f>
        <v>9</v>
      </c>
      <c r="AA1225" s="11">
        <v>-2</v>
      </c>
      <c r="AB1225" s="11">
        <v>0</v>
      </c>
      <c r="AC1225" s="11">
        <v>0</v>
      </c>
      <c r="AD1225" s="11">
        <v>0</v>
      </c>
      <c r="AE1225" s="11">
        <v>0</v>
      </c>
      <c r="AF1225" s="11">
        <f t="shared" si="57"/>
        <v>0.42</v>
      </c>
      <c r="AG1225" s="11">
        <f t="shared" si="58"/>
        <v>7.42</v>
      </c>
      <c r="AH1225" s="11">
        <v>0</v>
      </c>
      <c r="AI1225" s="11">
        <f t="shared" si="59"/>
        <v>7.42</v>
      </c>
      <c r="AJ1225" t="s">
        <v>62</v>
      </c>
    </row>
    <row r="1226" spans="1:36" ht="15" customHeight="1" x14ac:dyDescent="0.35">
      <c r="A1226">
        <v>10428918</v>
      </c>
      <c r="B1226" t="s">
        <v>36</v>
      </c>
      <c r="C1226" t="s">
        <v>37</v>
      </c>
      <c r="D1226" s="6" t="s">
        <v>38</v>
      </c>
      <c r="E1226" t="s">
        <v>3716</v>
      </c>
      <c r="F1226" t="s">
        <v>40</v>
      </c>
      <c r="G1226" t="s">
        <v>41</v>
      </c>
      <c r="H1226" t="s">
        <v>3717</v>
      </c>
      <c r="I1226" t="s">
        <v>43</v>
      </c>
      <c r="J1226">
        <v>2</v>
      </c>
      <c r="K1226" t="s">
        <v>44</v>
      </c>
      <c r="L1226" t="s">
        <v>45</v>
      </c>
      <c r="M1226" t="s">
        <v>46</v>
      </c>
      <c r="N1226" s="7">
        <v>1</v>
      </c>
      <c r="O1226" s="8">
        <v>45631.432824074072</v>
      </c>
      <c r="P1226" s="9">
        <v>45633</v>
      </c>
      <c r="Q1226" t="s">
        <v>74</v>
      </c>
      <c r="R1226" t="s">
        <v>48</v>
      </c>
      <c r="S1226" t="s">
        <v>49</v>
      </c>
      <c r="T1226" t="s">
        <v>101</v>
      </c>
      <c r="U1226" t="s">
        <v>3718</v>
      </c>
      <c r="V1226">
        <v>36000</v>
      </c>
      <c r="W1226" t="s">
        <v>48</v>
      </c>
      <c r="X1226" t="s">
        <v>2498</v>
      </c>
      <c r="Y1226" t="s">
        <v>54</v>
      </c>
      <c r="Z1226" s="12">
        <f>IF(N1226&lt;=1,9,9+0.8*ROUNDUP(N1226-1,0))</f>
        <v>9</v>
      </c>
      <c r="AA1226" s="11">
        <v>-2</v>
      </c>
      <c r="AB1226" s="11">
        <v>0</v>
      </c>
      <c r="AC1226" s="11">
        <v>0</v>
      </c>
      <c r="AD1226" s="11">
        <v>0</v>
      </c>
      <c r="AE1226" s="11">
        <v>0</v>
      </c>
      <c r="AF1226" s="11">
        <f t="shared" si="57"/>
        <v>0.42</v>
      </c>
      <c r="AG1226" s="11">
        <f t="shared" si="58"/>
        <v>7.42</v>
      </c>
      <c r="AH1226" s="11">
        <v>0</v>
      </c>
      <c r="AI1226" s="11">
        <f t="shared" si="59"/>
        <v>7.42</v>
      </c>
      <c r="AJ1226" t="s">
        <v>62</v>
      </c>
    </row>
    <row r="1227" spans="1:36" ht="15" customHeight="1" x14ac:dyDescent="0.35">
      <c r="A1227">
        <v>10428918</v>
      </c>
      <c r="B1227" t="s">
        <v>36</v>
      </c>
      <c r="C1227" t="s">
        <v>37</v>
      </c>
      <c r="D1227" s="6" t="s">
        <v>38</v>
      </c>
      <c r="E1227" t="s">
        <v>3719</v>
      </c>
      <c r="F1227" t="s">
        <v>40</v>
      </c>
      <c r="G1227" t="s">
        <v>41</v>
      </c>
      <c r="H1227" t="s">
        <v>3720</v>
      </c>
      <c r="I1227" t="s">
        <v>43</v>
      </c>
      <c r="J1227">
        <v>2</v>
      </c>
      <c r="K1227" t="s">
        <v>44</v>
      </c>
      <c r="L1227" t="s">
        <v>45</v>
      </c>
      <c r="M1227" t="s">
        <v>46</v>
      </c>
      <c r="N1227" s="7">
        <v>3</v>
      </c>
      <c r="O1227" s="8">
        <v>45632.44872685185</v>
      </c>
      <c r="P1227" s="9">
        <v>45633</v>
      </c>
      <c r="Q1227" t="s">
        <v>58</v>
      </c>
      <c r="R1227" t="s">
        <v>48</v>
      </c>
      <c r="S1227" t="s">
        <v>49</v>
      </c>
      <c r="T1227" t="s">
        <v>75</v>
      </c>
      <c r="U1227" t="s">
        <v>3721</v>
      </c>
      <c r="V1227">
        <v>27070</v>
      </c>
      <c r="W1227" t="s">
        <v>48</v>
      </c>
      <c r="X1227" t="s">
        <v>3712</v>
      </c>
      <c r="Y1227" t="s">
        <v>54</v>
      </c>
      <c r="Z1227" s="12">
        <f>IF(N1227&lt;=1,9,9+0.8*ROUNDUP(N1227-1,0))</f>
        <v>10.6</v>
      </c>
      <c r="AA1227" s="11">
        <v>-2</v>
      </c>
      <c r="AB1227" s="11">
        <v>0</v>
      </c>
      <c r="AC1227" s="11">
        <v>0</v>
      </c>
      <c r="AD1227" s="11">
        <v>0</v>
      </c>
      <c r="AE1227" s="11">
        <v>0</v>
      </c>
      <c r="AF1227" s="11">
        <f t="shared" si="57"/>
        <v>0.51600000000000001</v>
      </c>
      <c r="AG1227" s="11">
        <f t="shared" si="58"/>
        <v>9.1159999999999997</v>
      </c>
      <c r="AH1227" s="11">
        <v>0</v>
      </c>
      <c r="AI1227" s="11">
        <f t="shared" si="59"/>
        <v>9.1159999999999997</v>
      </c>
      <c r="AJ1227" t="s">
        <v>62</v>
      </c>
    </row>
    <row r="1228" spans="1:36" ht="15" customHeight="1" x14ac:dyDescent="0.35">
      <c r="A1228">
        <v>10428918</v>
      </c>
      <c r="B1228" t="s">
        <v>36</v>
      </c>
      <c r="C1228" t="s">
        <v>37</v>
      </c>
      <c r="D1228" s="6" t="s">
        <v>38</v>
      </c>
      <c r="E1228" t="s">
        <v>3722</v>
      </c>
      <c r="F1228" t="s">
        <v>40</v>
      </c>
      <c r="G1228" t="s">
        <v>41</v>
      </c>
      <c r="H1228" t="s">
        <v>3723</v>
      </c>
      <c r="I1228" t="s">
        <v>43</v>
      </c>
      <c r="J1228">
        <v>2</v>
      </c>
      <c r="K1228" t="s">
        <v>44</v>
      </c>
      <c r="L1228" t="s">
        <v>45</v>
      </c>
      <c r="M1228" t="s">
        <v>46</v>
      </c>
      <c r="N1228" s="7">
        <v>1</v>
      </c>
      <c r="O1228" s="8">
        <v>45631.432824074072</v>
      </c>
      <c r="P1228" s="9">
        <v>45633</v>
      </c>
      <c r="Q1228" t="s">
        <v>74</v>
      </c>
      <c r="R1228" t="s">
        <v>48</v>
      </c>
      <c r="S1228" t="s">
        <v>49</v>
      </c>
      <c r="T1228" t="s">
        <v>161</v>
      </c>
      <c r="U1228" t="s">
        <v>3724</v>
      </c>
      <c r="V1228">
        <v>13100</v>
      </c>
      <c r="W1228" t="s">
        <v>48</v>
      </c>
      <c r="X1228" t="s">
        <v>812</v>
      </c>
      <c r="Y1228" t="s">
        <v>54</v>
      </c>
      <c r="Z1228" s="12">
        <f>IF(N1228&lt;=1,9,9+0.8*ROUNDUP(N1228-1,0))</f>
        <v>9</v>
      </c>
      <c r="AA1228" s="11">
        <v>-2</v>
      </c>
      <c r="AB1228" s="11">
        <v>0</v>
      </c>
      <c r="AC1228" s="11">
        <v>0</v>
      </c>
      <c r="AD1228" s="11">
        <v>0</v>
      </c>
      <c r="AE1228" s="11">
        <v>0</v>
      </c>
      <c r="AF1228" s="11">
        <f t="shared" si="57"/>
        <v>0.42</v>
      </c>
      <c r="AG1228" s="11">
        <f t="shared" si="58"/>
        <v>7.42</v>
      </c>
      <c r="AH1228" s="11">
        <v>0</v>
      </c>
      <c r="AI1228" s="11">
        <f t="shared" si="59"/>
        <v>7.42</v>
      </c>
      <c r="AJ1228" t="s">
        <v>62</v>
      </c>
    </row>
    <row r="1229" spans="1:36" ht="15" customHeight="1" x14ac:dyDescent="0.35">
      <c r="A1229">
        <v>10428918</v>
      </c>
      <c r="B1229" t="s">
        <v>36</v>
      </c>
      <c r="C1229" t="s">
        <v>37</v>
      </c>
      <c r="D1229" s="6" t="s">
        <v>38</v>
      </c>
      <c r="E1229" t="s">
        <v>3725</v>
      </c>
      <c r="F1229" t="s">
        <v>40</v>
      </c>
      <c r="G1229" t="s">
        <v>41</v>
      </c>
      <c r="H1229" t="s">
        <v>3704</v>
      </c>
      <c r="I1229" t="s">
        <v>43</v>
      </c>
      <c r="J1229">
        <v>2</v>
      </c>
      <c r="K1229" t="s">
        <v>44</v>
      </c>
      <c r="L1229" t="s">
        <v>45</v>
      </c>
      <c r="M1229" t="s">
        <v>46</v>
      </c>
      <c r="N1229" s="7">
        <v>1</v>
      </c>
      <c r="O1229" s="8">
        <v>45631.441435185188</v>
      </c>
      <c r="P1229" s="9">
        <v>45633</v>
      </c>
      <c r="Q1229" t="s">
        <v>74</v>
      </c>
      <c r="R1229" t="s">
        <v>48</v>
      </c>
      <c r="S1229" t="s">
        <v>49</v>
      </c>
      <c r="T1229" t="s">
        <v>80</v>
      </c>
      <c r="U1229" t="s">
        <v>3705</v>
      </c>
      <c r="V1229">
        <v>9600</v>
      </c>
      <c r="W1229" t="s">
        <v>48</v>
      </c>
      <c r="X1229" t="s">
        <v>53</v>
      </c>
      <c r="Y1229" t="s">
        <v>54</v>
      </c>
      <c r="Z1229" s="12">
        <f>IF(N1229&lt;=1,9,9+0.8*ROUNDUP(N1229-1,0))</f>
        <v>9</v>
      </c>
      <c r="AA1229" s="11">
        <v>-2</v>
      </c>
      <c r="AB1229" s="11">
        <v>0</v>
      </c>
      <c r="AC1229" s="11">
        <v>0</v>
      </c>
      <c r="AD1229" s="11">
        <v>0</v>
      </c>
      <c r="AE1229" s="11">
        <v>0</v>
      </c>
      <c r="AF1229" s="11">
        <f t="shared" si="57"/>
        <v>0.42</v>
      </c>
      <c r="AG1229" s="11">
        <f t="shared" si="58"/>
        <v>7.42</v>
      </c>
      <c r="AH1229" s="11">
        <v>0</v>
      </c>
      <c r="AI1229" s="11">
        <f t="shared" si="59"/>
        <v>7.42</v>
      </c>
      <c r="AJ1229" t="s">
        <v>62</v>
      </c>
    </row>
    <row r="1230" spans="1:36" ht="15" customHeight="1" x14ac:dyDescent="0.35">
      <c r="A1230">
        <v>10428918</v>
      </c>
      <c r="B1230" t="s">
        <v>36</v>
      </c>
      <c r="C1230" t="s">
        <v>37</v>
      </c>
      <c r="D1230" s="6" t="s">
        <v>38</v>
      </c>
      <c r="E1230" t="s">
        <v>3726</v>
      </c>
      <c r="F1230" t="s">
        <v>40</v>
      </c>
      <c r="G1230" t="s">
        <v>41</v>
      </c>
      <c r="H1230" t="s">
        <v>3727</v>
      </c>
      <c r="I1230" t="s">
        <v>43</v>
      </c>
      <c r="J1230">
        <v>2</v>
      </c>
      <c r="K1230" t="s">
        <v>44</v>
      </c>
      <c r="L1230" t="s">
        <v>45</v>
      </c>
      <c r="M1230" t="s">
        <v>46</v>
      </c>
      <c r="N1230" s="7">
        <v>2</v>
      </c>
      <c r="O1230" s="8">
        <v>45631.813564814816</v>
      </c>
      <c r="P1230" s="9">
        <v>45633</v>
      </c>
      <c r="Q1230" t="s">
        <v>58</v>
      </c>
      <c r="R1230" t="s">
        <v>48</v>
      </c>
      <c r="S1230" t="s">
        <v>49</v>
      </c>
      <c r="T1230" t="s">
        <v>117</v>
      </c>
      <c r="U1230" t="s">
        <v>3728</v>
      </c>
      <c r="V1230">
        <v>42700</v>
      </c>
      <c r="W1230" t="s">
        <v>48</v>
      </c>
      <c r="X1230" t="s">
        <v>53</v>
      </c>
      <c r="Y1230" t="s">
        <v>54</v>
      </c>
      <c r="Z1230" s="12">
        <f>IF(N1230&lt;=1,9,9+0.8*ROUNDUP(N1230-1,0))</f>
        <v>9.8000000000000007</v>
      </c>
      <c r="AA1230" s="11">
        <v>-2</v>
      </c>
      <c r="AB1230" s="11">
        <v>0</v>
      </c>
      <c r="AC1230" s="11">
        <v>0</v>
      </c>
      <c r="AD1230" s="11">
        <v>0</v>
      </c>
      <c r="AE1230" s="11">
        <v>0</v>
      </c>
      <c r="AF1230" s="11">
        <f t="shared" si="57"/>
        <v>0.46800000000000003</v>
      </c>
      <c r="AG1230" s="11">
        <f t="shared" si="58"/>
        <v>8.2680000000000007</v>
      </c>
      <c r="AH1230" s="11">
        <v>0</v>
      </c>
      <c r="AI1230" s="11">
        <f t="shared" si="59"/>
        <v>8.2680000000000007</v>
      </c>
      <c r="AJ1230" t="s">
        <v>62</v>
      </c>
    </row>
    <row r="1231" spans="1:36" ht="15" customHeight="1" x14ac:dyDescent="0.35">
      <c r="A1231">
        <v>10428918</v>
      </c>
      <c r="B1231" t="s">
        <v>36</v>
      </c>
      <c r="C1231" t="s">
        <v>37</v>
      </c>
      <c r="D1231" s="6" t="s">
        <v>38</v>
      </c>
      <c r="E1231" t="s">
        <v>3729</v>
      </c>
      <c r="F1231" t="s">
        <v>40</v>
      </c>
      <c r="G1231" t="s">
        <v>41</v>
      </c>
      <c r="H1231" t="s">
        <v>3730</v>
      </c>
      <c r="I1231" t="s">
        <v>43</v>
      </c>
      <c r="J1231">
        <v>2</v>
      </c>
      <c r="K1231" t="s">
        <v>44</v>
      </c>
      <c r="L1231" t="s">
        <v>45</v>
      </c>
      <c r="M1231" t="s">
        <v>46</v>
      </c>
      <c r="N1231" s="7">
        <v>1</v>
      </c>
      <c r="O1231" s="8">
        <v>45631.432824074072</v>
      </c>
      <c r="P1231" s="9">
        <v>45633</v>
      </c>
      <c r="Q1231" t="s">
        <v>74</v>
      </c>
      <c r="R1231" t="s">
        <v>48</v>
      </c>
      <c r="S1231" t="s">
        <v>49</v>
      </c>
      <c r="T1231" t="s">
        <v>85</v>
      </c>
      <c r="U1231" t="s">
        <v>3731</v>
      </c>
      <c r="V1231">
        <v>71300</v>
      </c>
      <c r="W1231" t="s">
        <v>48</v>
      </c>
      <c r="X1231" t="s">
        <v>114</v>
      </c>
      <c r="Y1231" t="s">
        <v>54</v>
      </c>
      <c r="Z1231" s="12">
        <f>IF(N1231&lt;=1,9,9+0.8*ROUNDUP(N1231-1,0))</f>
        <v>9</v>
      </c>
      <c r="AA1231" s="11">
        <v>-2</v>
      </c>
      <c r="AB1231" s="11">
        <v>0</v>
      </c>
      <c r="AC1231" s="11">
        <v>0</v>
      </c>
      <c r="AD1231" s="11">
        <v>0</v>
      </c>
      <c r="AE1231" s="11">
        <v>0</v>
      </c>
      <c r="AF1231" s="11">
        <f t="shared" si="57"/>
        <v>0.42</v>
      </c>
      <c r="AG1231" s="11">
        <f t="shared" si="58"/>
        <v>7.42</v>
      </c>
      <c r="AH1231" s="11">
        <v>0</v>
      </c>
      <c r="AI1231" s="11">
        <f t="shared" si="59"/>
        <v>7.42</v>
      </c>
      <c r="AJ1231" t="s">
        <v>62</v>
      </c>
    </row>
    <row r="1232" spans="1:36" ht="15" customHeight="1" x14ac:dyDescent="0.35">
      <c r="A1232">
        <v>10428918</v>
      </c>
      <c r="B1232" t="s">
        <v>36</v>
      </c>
      <c r="C1232" t="s">
        <v>37</v>
      </c>
      <c r="D1232" s="6" t="s">
        <v>38</v>
      </c>
      <c r="E1232" t="s">
        <v>3732</v>
      </c>
      <c r="F1232" t="s">
        <v>40</v>
      </c>
      <c r="G1232" t="s">
        <v>41</v>
      </c>
      <c r="H1232" t="s">
        <v>3733</v>
      </c>
      <c r="I1232" t="s">
        <v>43</v>
      </c>
      <c r="J1232">
        <v>2</v>
      </c>
      <c r="K1232" t="s">
        <v>44</v>
      </c>
      <c r="L1232" t="s">
        <v>45</v>
      </c>
      <c r="M1232" t="s">
        <v>46</v>
      </c>
      <c r="N1232" s="7">
        <v>2</v>
      </c>
      <c r="O1232" s="8">
        <v>45631.601689814815</v>
      </c>
      <c r="P1232" s="9">
        <v>45633</v>
      </c>
      <c r="Q1232" t="s">
        <v>74</v>
      </c>
      <c r="R1232" t="s">
        <v>48</v>
      </c>
      <c r="S1232" t="s">
        <v>49</v>
      </c>
      <c r="T1232" t="s">
        <v>117</v>
      </c>
      <c r="U1232" t="s">
        <v>3734</v>
      </c>
      <c r="V1232">
        <v>40170</v>
      </c>
      <c r="W1232" t="s">
        <v>48</v>
      </c>
      <c r="X1232" t="s">
        <v>53</v>
      </c>
      <c r="Y1232" t="s">
        <v>54</v>
      </c>
      <c r="Z1232" s="12">
        <f>IF(N1232&lt;=1,9,9+0.8*ROUNDUP(N1232-1,0))</f>
        <v>9.8000000000000007</v>
      </c>
      <c r="AA1232" s="11">
        <v>-2</v>
      </c>
      <c r="AB1232" s="11">
        <v>0</v>
      </c>
      <c r="AC1232" s="11">
        <v>0</v>
      </c>
      <c r="AD1232" s="11">
        <v>0</v>
      </c>
      <c r="AE1232" s="11">
        <v>0</v>
      </c>
      <c r="AF1232" s="11">
        <f t="shared" si="57"/>
        <v>0.46800000000000003</v>
      </c>
      <c r="AG1232" s="11">
        <f t="shared" si="58"/>
        <v>8.2680000000000007</v>
      </c>
      <c r="AH1232" s="11">
        <v>0</v>
      </c>
      <c r="AI1232" s="11">
        <f t="shared" si="59"/>
        <v>8.2680000000000007</v>
      </c>
      <c r="AJ1232" t="s">
        <v>62</v>
      </c>
    </row>
    <row r="1233" spans="1:36" ht="15" customHeight="1" x14ac:dyDescent="0.35">
      <c r="A1233">
        <v>10428918</v>
      </c>
      <c r="B1233" t="s">
        <v>36</v>
      </c>
      <c r="C1233" t="s">
        <v>37</v>
      </c>
      <c r="D1233" s="6" t="s">
        <v>38</v>
      </c>
      <c r="E1233" t="s">
        <v>3735</v>
      </c>
      <c r="F1233" t="s">
        <v>40</v>
      </c>
      <c r="G1233" t="s">
        <v>41</v>
      </c>
      <c r="H1233" t="s">
        <v>3736</v>
      </c>
      <c r="I1233" t="s">
        <v>43</v>
      </c>
      <c r="J1233">
        <v>2</v>
      </c>
      <c r="K1233" t="s">
        <v>44</v>
      </c>
      <c r="L1233" t="s">
        <v>45</v>
      </c>
      <c r="M1233" t="s">
        <v>46</v>
      </c>
      <c r="N1233" s="7">
        <v>1</v>
      </c>
      <c r="O1233" s="8">
        <v>45631.45039351852</v>
      </c>
      <c r="P1233" s="9">
        <v>45633</v>
      </c>
      <c r="Q1233" t="s">
        <v>74</v>
      </c>
      <c r="R1233" t="s">
        <v>48</v>
      </c>
      <c r="S1233" t="s">
        <v>49</v>
      </c>
      <c r="T1233" t="s">
        <v>170</v>
      </c>
      <c r="U1233" t="s">
        <v>3737</v>
      </c>
      <c r="V1233">
        <v>53300</v>
      </c>
      <c r="W1233" t="s">
        <v>48</v>
      </c>
      <c r="X1233" t="s">
        <v>378</v>
      </c>
      <c r="Y1233" t="s">
        <v>54</v>
      </c>
      <c r="Z1233" s="12">
        <f>IF(N1233&lt;=1,9,9+0.8*ROUNDUP(N1233-1,0))</f>
        <v>9</v>
      </c>
      <c r="AA1233" s="11">
        <v>-2</v>
      </c>
      <c r="AB1233" s="11">
        <v>0</v>
      </c>
      <c r="AC1233" s="11">
        <v>0</v>
      </c>
      <c r="AD1233" s="11">
        <v>0</v>
      </c>
      <c r="AE1233" s="11">
        <v>0</v>
      </c>
      <c r="AF1233" s="11">
        <f t="shared" si="57"/>
        <v>0.42</v>
      </c>
      <c r="AG1233" s="11">
        <f t="shared" si="58"/>
        <v>7.42</v>
      </c>
      <c r="AH1233" s="11">
        <v>0</v>
      </c>
      <c r="AI1233" s="11">
        <f t="shared" si="59"/>
        <v>7.42</v>
      </c>
      <c r="AJ1233" t="s">
        <v>62</v>
      </c>
    </row>
    <row r="1234" spans="1:36" ht="15" customHeight="1" x14ac:dyDescent="0.35">
      <c r="A1234">
        <v>10428918</v>
      </c>
      <c r="B1234" t="s">
        <v>36</v>
      </c>
      <c r="C1234" t="s">
        <v>37</v>
      </c>
      <c r="D1234" s="6" t="s">
        <v>38</v>
      </c>
      <c r="E1234" t="s">
        <v>3738</v>
      </c>
      <c r="F1234" t="s">
        <v>40</v>
      </c>
      <c r="G1234" t="s">
        <v>41</v>
      </c>
      <c r="H1234" t="s">
        <v>3739</v>
      </c>
      <c r="I1234" t="s">
        <v>43</v>
      </c>
      <c r="J1234">
        <v>2</v>
      </c>
      <c r="K1234" t="s">
        <v>44</v>
      </c>
      <c r="L1234" t="s">
        <v>45</v>
      </c>
      <c r="M1234" t="s">
        <v>46</v>
      </c>
      <c r="N1234" s="7">
        <v>2</v>
      </c>
      <c r="O1234" s="8">
        <v>45628.739085648151</v>
      </c>
      <c r="P1234" s="9">
        <v>45633</v>
      </c>
      <c r="Q1234" t="s">
        <v>74</v>
      </c>
      <c r="R1234" t="s">
        <v>48</v>
      </c>
      <c r="S1234" t="s">
        <v>49</v>
      </c>
      <c r="T1234" t="s">
        <v>117</v>
      </c>
      <c r="U1234" t="s">
        <v>3740</v>
      </c>
      <c r="V1234">
        <v>46150</v>
      </c>
      <c r="W1234" t="s">
        <v>48</v>
      </c>
      <c r="X1234" t="s">
        <v>1973</v>
      </c>
      <c r="Y1234" t="s">
        <v>54</v>
      </c>
      <c r="Z1234" s="12">
        <f>IF(N1234&lt;=1,9,9+0.8*ROUNDUP(N1234-1,0))</f>
        <v>9.8000000000000007</v>
      </c>
      <c r="AA1234" s="11">
        <v>-2</v>
      </c>
      <c r="AB1234" s="11">
        <v>0</v>
      </c>
      <c r="AC1234" s="11">
        <v>0</v>
      </c>
      <c r="AD1234" s="11">
        <v>0</v>
      </c>
      <c r="AE1234" s="11">
        <v>0</v>
      </c>
      <c r="AF1234" s="11">
        <f t="shared" si="57"/>
        <v>0.46800000000000003</v>
      </c>
      <c r="AG1234" s="11">
        <f t="shared" si="58"/>
        <v>8.2680000000000007</v>
      </c>
      <c r="AH1234" s="11">
        <v>0</v>
      </c>
      <c r="AI1234" s="11">
        <f t="shared" si="59"/>
        <v>8.2680000000000007</v>
      </c>
      <c r="AJ1234" t="s">
        <v>62</v>
      </c>
    </row>
    <row r="1235" spans="1:36" ht="15" customHeight="1" x14ac:dyDescent="0.35">
      <c r="A1235">
        <v>10428918</v>
      </c>
      <c r="B1235" t="s">
        <v>36</v>
      </c>
      <c r="C1235" t="s">
        <v>37</v>
      </c>
      <c r="D1235" s="6" t="s">
        <v>38</v>
      </c>
      <c r="E1235" t="s">
        <v>3741</v>
      </c>
      <c r="F1235" t="s">
        <v>40</v>
      </c>
      <c r="G1235" t="s">
        <v>41</v>
      </c>
      <c r="H1235" t="s">
        <v>2848</v>
      </c>
      <c r="I1235" t="s">
        <v>43</v>
      </c>
      <c r="J1235">
        <v>2</v>
      </c>
      <c r="K1235" t="s">
        <v>44</v>
      </c>
      <c r="L1235" t="s">
        <v>45</v>
      </c>
      <c r="M1235" t="s">
        <v>46</v>
      </c>
      <c r="N1235" s="7">
        <v>1</v>
      </c>
      <c r="O1235" s="8">
        <v>45631.823518518519</v>
      </c>
      <c r="P1235" s="9">
        <v>45633</v>
      </c>
      <c r="Q1235" t="s">
        <v>58</v>
      </c>
      <c r="R1235" t="s">
        <v>48</v>
      </c>
      <c r="S1235" t="s">
        <v>49</v>
      </c>
      <c r="T1235" t="s">
        <v>170</v>
      </c>
      <c r="U1235" t="s">
        <v>2849</v>
      </c>
      <c r="V1235">
        <v>58200</v>
      </c>
      <c r="W1235" t="s">
        <v>48</v>
      </c>
      <c r="X1235" t="s">
        <v>53</v>
      </c>
      <c r="Y1235" t="s">
        <v>54</v>
      </c>
      <c r="Z1235" s="12">
        <f>IF(N1235&lt;=1,9,9+0.8*ROUNDUP(N1235-1,0))</f>
        <v>9</v>
      </c>
      <c r="AA1235" s="11">
        <v>-2</v>
      </c>
      <c r="AB1235" s="11">
        <v>0</v>
      </c>
      <c r="AC1235" s="11">
        <v>0</v>
      </c>
      <c r="AD1235" s="11">
        <v>0</v>
      </c>
      <c r="AE1235" s="11">
        <v>0</v>
      </c>
      <c r="AF1235" s="11">
        <f t="shared" si="57"/>
        <v>0.42</v>
      </c>
      <c r="AG1235" s="11">
        <f t="shared" si="58"/>
        <v>7.42</v>
      </c>
      <c r="AH1235" s="11">
        <v>0</v>
      </c>
      <c r="AI1235" s="11">
        <f t="shared" si="59"/>
        <v>7.42</v>
      </c>
      <c r="AJ1235" t="s">
        <v>62</v>
      </c>
    </row>
    <row r="1236" spans="1:36" ht="15" customHeight="1" x14ac:dyDescent="0.35">
      <c r="A1236">
        <v>10428918</v>
      </c>
      <c r="B1236" t="s">
        <v>36</v>
      </c>
      <c r="C1236" t="s">
        <v>37</v>
      </c>
      <c r="D1236" s="6" t="s">
        <v>38</v>
      </c>
      <c r="E1236" t="s">
        <v>3742</v>
      </c>
      <c r="F1236" t="s">
        <v>40</v>
      </c>
      <c r="G1236" t="s">
        <v>41</v>
      </c>
      <c r="H1236" t="s">
        <v>3743</v>
      </c>
      <c r="I1236" t="s">
        <v>43</v>
      </c>
      <c r="J1236">
        <v>2</v>
      </c>
      <c r="K1236" t="s">
        <v>44</v>
      </c>
      <c r="L1236" t="s">
        <v>45</v>
      </c>
      <c r="M1236" t="s">
        <v>46</v>
      </c>
      <c r="N1236" s="7">
        <v>1</v>
      </c>
      <c r="O1236" s="8">
        <v>45631.662395833337</v>
      </c>
      <c r="P1236" s="9">
        <v>45633</v>
      </c>
      <c r="Q1236" t="s">
        <v>74</v>
      </c>
      <c r="R1236" t="s">
        <v>48</v>
      </c>
      <c r="S1236" t="s">
        <v>49</v>
      </c>
      <c r="T1236" t="s">
        <v>161</v>
      </c>
      <c r="U1236" t="s">
        <v>3744</v>
      </c>
      <c r="V1236">
        <v>13700</v>
      </c>
      <c r="W1236" t="s">
        <v>48</v>
      </c>
      <c r="X1236" t="s">
        <v>53</v>
      </c>
      <c r="Y1236" t="s">
        <v>54</v>
      </c>
      <c r="Z1236" s="12">
        <f>IF(N1236&lt;=1,9,9+0.8*ROUNDUP(N1236-1,0))</f>
        <v>9</v>
      </c>
      <c r="AA1236" s="11">
        <v>-2</v>
      </c>
      <c r="AB1236" s="11">
        <v>0</v>
      </c>
      <c r="AC1236" s="11">
        <v>0</v>
      </c>
      <c r="AD1236" s="11">
        <v>0</v>
      </c>
      <c r="AE1236" s="11">
        <v>0</v>
      </c>
      <c r="AF1236" s="11">
        <f t="shared" si="57"/>
        <v>0.42</v>
      </c>
      <c r="AG1236" s="11">
        <f t="shared" si="58"/>
        <v>7.42</v>
      </c>
      <c r="AH1236" s="11">
        <v>0</v>
      </c>
      <c r="AI1236" s="11">
        <f t="shared" si="59"/>
        <v>7.42</v>
      </c>
      <c r="AJ1236" t="s">
        <v>62</v>
      </c>
    </row>
    <row r="1237" spans="1:36" ht="15" customHeight="1" x14ac:dyDescent="0.35">
      <c r="A1237">
        <v>10428918</v>
      </c>
      <c r="B1237" t="s">
        <v>36</v>
      </c>
      <c r="C1237" t="s">
        <v>37</v>
      </c>
      <c r="D1237" s="6" t="s">
        <v>38</v>
      </c>
      <c r="E1237" t="s">
        <v>3745</v>
      </c>
      <c r="F1237" t="s">
        <v>40</v>
      </c>
      <c r="G1237" t="s">
        <v>41</v>
      </c>
      <c r="H1237" t="s">
        <v>3746</v>
      </c>
      <c r="I1237" t="s">
        <v>43</v>
      </c>
      <c r="J1237">
        <v>2</v>
      </c>
      <c r="K1237" t="s">
        <v>44</v>
      </c>
      <c r="L1237" t="s">
        <v>45</v>
      </c>
      <c r="M1237" t="s">
        <v>46</v>
      </c>
      <c r="N1237" s="7">
        <v>1</v>
      </c>
      <c r="O1237" s="8">
        <v>45631.432824074072</v>
      </c>
      <c r="P1237" s="9">
        <v>45633</v>
      </c>
      <c r="Q1237" t="s">
        <v>74</v>
      </c>
      <c r="R1237" t="s">
        <v>48</v>
      </c>
      <c r="S1237" t="s">
        <v>49</v>
      </c>
      <c r="T1237" t="s">
        <v>101</v>
      </c>
      <c r="U1237" t="s">
        <v>3747</v>
      </c>
      <c r="V1237">
        <v>33310</v>
      </c>
      <c r="W1237" t="s">
        <v>48</v>
      </c>
      <c r="X1237" t="s">
        <v>53</v>
      </c>
      <c r="Y1237" t="s">
        <v>54</v>
      </c>
      <c r="Z1237" s="12">
        <f>IF(N1237&lt;=1,9,9+0.8*ROUNDUP(N1237-1,0))</f>
        <v>9</v>
      </c>
      <c r="AA1237" s="11">
        <v>-2</v>
      </c>
      <c r="AB1237" s="11">
        <v>0</v>
      </c>
      <c r="AC1237" s="11">
        <v>0</v>
      </c>
      <c r="AD1237" s="11">
        <v>0</v>
      </c>
      <c r="AE1237" s="11">
        <v>0</v>
      </c>
      <c r="AF1237" s="11">
        <f t="shared" si="57"/>
        <v>0.42</v>
      </c>
      <c r="AG1237" s="11">
        <f t="shared" si="58"/>
        <v>7.42</v>
      </c>
      <c r="AH1237" s="11">
        <v>0</v>
      </c>
      <c r="AI1237" s="11">
        <f t="shared" si="59"/>
        <v>7.42</v>
      </c>
      <c r="AJ1237" t="s">
        <v>62</v>
      </c>
    </row>
    <row r="1238" spans="1:36" ht="15" customHeight="1" x14ac:dyDescent="0.35">
      <c r="A1238">
        <v>10428918</v>
      </c>
      <c r="B1238" t="s">
        <v>36</v>
      </c>
      <c r="C1238" t="s">
        <v>37</v>
      </c>
      <c r="D1238" s="6" t="s">
        <v>38</v>
      </c>
      <c r="E1238" t="s">
        <v>3748</v>
      </c>
      <c r="F1238" t="s">
        <v>40</v>
      </c>
      <c r="G1238" t="s">
        <v>41</v>
      </c>
      <c r="H1238" t="s">
        <v>2609</v>
      </c>
      <c r="I1238" t="s">
        <v>43</v>
      </c>
      <c r="J1238">
        <v>2</v>
      </c>
      <c r="K1238" t="s">
        <v>44</v>
      </c>
      <c r="L1238" t="s">
        <v>45</v>
      </c>
      <c r="M1238" t="s">
        <v>46</v>
      </c>
      <c r="N1238" s="7">
        <v>3</v>
      </c>
      <c r="O1238" s="8">
        <v>45631.422592592593</v>
      </c>
      <c r="P1238" s="9">
        <v>45633</v>
      </c>
      <c r="Q1238" t="s">
        <v>74</v>
      </c>
      <c r="R1238" t="s">
        <v>48</v>
      </c>
      <c r="S1238" t="s">
        <v>49</v>
      </c>
      <c r="T1238" t="s">
        <v>80</v>
      </c>
      <c r="U1238" t="s">
        <v>3749</v>
      </c>
      <c r="V1238">
        <v>9100</v>
      </c>
      <c r="W1238" t="s">
        <v>48</v>
      </c>
      <c r="X1238" t="s">
        <v>1388</v>
      </c>
      <c r="Y1238" t="s">
        <v>54</v>
      </c>
      <c r="Z1238" s="12">
        <f>IF(N1238&lt;=1,9,9+0.8*ROUNDUP(N1238-1,0))</f>
        <v>10.6</v>
      </c>
      <c r="AA1238" s="11">
        <v>-2</v>
      </c>
      <c r="AB1238" s="11">
        <v>0</v>
      </c>
      <c r="AC1238" s="11">
        <v>0</v>
      </c>
      <c r="AD1238" s="11">
        <v>0</v>
      </c>
      <c r="AE1238" s="11">
        <v>0</v>
      </c>
      <c r="AF1238" s="11">
        <f t="shared" si="57"/>
        <v>0.51600000000000001</v>
      </c>
      <c r="AG1238" s="11">
        <f t="shared" si="58"/>
        <v>9.1159999999999997</v>
      </c>
      <c r="AH1238" s="11">
        <v>0</v>
      </c>
      <c r="AI1238" s="11">
        <f t="shared" si="59"/>
        <v>9.1159999999999997</v>
      </c>
      <c r="AJ1238" t="s">
        <v>62</v>
      </c>
    </row>
    <row r="1239" spans="1:36" ht="15" customHeight="1" x14ac:dyDescent="0.35">
      <c r="A1239">
        <v>10428918</v>
      </c>
      <c r="B1239" t="s">
        <v>36</v>
      </c>
      <c r="C1239" t="s">
        <v>37</v>
      </c>
      <c r="D1239" s="6" t="s">
        <v>38</v>
      </c>
      <c r="E1239" t="s">
        <v>3750</v>
      </c>
      <c r="F1239" t="s">
        <v>40</v>
      </c>
      <c r="G1239" t="s">
        <v>41</v>
      </c>
      <c r="H1239" t="s">
        <v>3751</v>
      </c>
      <c r="I1239" t="s">
        <v>43</v>
      </c>
      <c r="J1239">
        <v>2</v>
      </c>
      <c r="K1239" t="s">
        <v>44</v>
      </c>
      <c r="L1239" t="s">
        <v>45</v>
      </c>
      <c r="M1239" t="s">
        <v>46</v>
      </c>
      <c r="N1239" s="7">
        <v>1</v>
      </c>
      <c r="O1239" s="8">
        <v>45630.827233796299</v>
      </c>
      <c r="P1239" s="9">
        <v>45633</v>
      </c>
      <c r="Q1239" t="s">
        <v>74</v>
      </c>
      <c r="R1239" t="s">
        <v>48</v>
      </c>
      <c r="S1239" t="s">
        <v>49</v>
      </c>
      <c r="T1239" t="s">
        <v>161</v>
      </c>
      <c r="U1239" t="s">
        <v>3752</v>
      </c>
      <c r="V1239">
        <v>10150</v>
      </c>
      <c r="W1239" t="s">
        <v>48</v>
      </c>
      <c r="X1239" t="s">
        <v>163</v>
      </c>
      <c r="Y1239" t="s">
        <v>54</v>
      </c>
      <c r="Z1239" s="12">
        <f>IF(N1239&lt;=1,9,9+0.8*ROUNDUP(N1239-1,0))</f>
        <v>9</v>
      </c>
      <c r="AA1239" s="11">
        <v>-2</v>
      </c>
      <c r="AB1239" s="11">
        <v>0</v>
      </c>
      <c r="AC1239" s="11">
        <v>0</v>
      </c>
      <c r="AD1239" s="11">
        <v>0</v>
      </c>
      <c r="AE1239" s="11">
        <v>0</v>
      </c>
      <c r="AF1239" s="11">
        <f t="shared" si="57"/>
        <v>0.42</v>
      </c>
      <c r="AG1239" s="11">
        <f t="shared" si="58"/>
        <v>7.42</v>
      </c>
      <c r="AH1239" s="11">
        <v>0</v>
      </c>
      <c r="AI1239" s="11">
        <f t="shared" si="59"/>
        <v>7.42</v>
      </c>
      <c r="AJ1239" t="s">
        <v>62</v>
      </c>
    </row>
    <row r="1240" spans="1:36" ht="15" customHeight="1" x14ac:dyDescent="0.35">
      <c r="A1240">
        <v>10428918</v>
      </c>
      <c r="B1240" t="s">
        <v>36</v>
      </c>
      <c r="C1240" t="s">
        <v>37</v>
      </c>
      <c r="D1240" s="6" t="s">
        <v>38</v>
      </c>
      <c r="E1240" t="s">
        <v>3753</v>
      </c>
      <c r="F1240" t="s">
        <v>40</v>
      </c>
      <c r="G1240" t="s">
        <v>41</v>
      </c>
      <c r="H1240" t="s">
        <v>1247</v>
      </c>
      <c r="I1240" t="s">
        <v>43</v>
      </c>
      <c r="J1240">
        <v>2</v>
      </c>
      <c r="K1240" t="s">
        <v>44</v>
      </c>
      <c r="L1240" t="s">
        <v>45</v>
      </c>
      <c r="M1240" t="s">
        <v>46</v>
      </c>
      <c r="N1240" s="7">
        <v>1</v>
      </c>
      <c r="O1240" s="8">
        <v>45631.796585648146</v>
      </c>
      <c r="P1240" s="9">
        <v>45633</v>
      </c>
      <c r="Q1240" t="s">
        <v>58</v>
      </c>
      <c r="R1240" t="s">
        <v>48</v>
      </c>
      <c r="S1240" t="s">
        <v>49</v>
      </c>
      <c r="T1240" t="s">
        <v>170</v>
      </c>
      <c r="U1240" t="s">
        <v>3754</v>
      </c>
      <c r="V1240">
        <v>58200</v>
      </c>
      <c r="W1240" t="s">
        <v>48</v>
      </c>
      <c r="X1240" t="s">
        <v>2850</v>
      </c>
      <c r="Y1240" t="s">
        <v>54</v>
      </c>
      <c r="Z1240" s="12">
        <f>IF(N1240&lt;=1,9,9+0.8*ROUNDUP(N1240-1,0))</f>
        <v>9</v>
      </c>
      <c r="AA1240" s="11">
        <v>-2</v>
      </c>
      <c r="AB1240" s="11">
        <v>0</v>
      </c>
      <c r="AC1240" s="11">
        <v>0</v>
      </c>
      <c r="AD1240" s="11">
        <v>0</v>
      </c>
      <c r="AE1240" s="11">
        <v>0</v>
      </c>
      <c r="AF1240" s="11">
        <f t="shared" si="57"/>
        <v>0.42</v>
      </c>
      <c r="AG1240" s="11">
        <f t="shared" si="58"/>
        <v>7.42</v>
      </c>
      <c r="AH1240" s="11">
        <v>0</v>
      </c>
      <c r="AI1240" s="11">
        <f t="shared" si="59"/>
        <v>7.42</v>
      </c>
      <c r="AJ1240" t="s">
        <v>62</v>
      </c>
    </row>
    <row r="1241" spans="1:36" ht="15" customHeight="1" x14ac:dyDescent="0.35">
      <c r="A1241">
        <v>10428918</v>
      </c>
      <c r="B1241" t="s">
        <v>36</v>
      </c>
      <c r="C1241" t="s">
        <v>37</v>
      </c>
      <c r="D1241" s="6" t="s">
        <v>38</v>
      </c>
      <c r="E1241" t="s">
        <v>3755</v>
      </c>
      <c r="F1241" t="s">
        <v>40</v>
      </c>
      <c r="G1241" t="s">
        <v>41</v>
      </c>
      <c r="H1241" t="s">
        <v>3756</v>
      </c>
      <c r="I1241" t="s">
        <v>43</v>
      </c>
      <c r="J1241">
        <v>2</v>
      </c>
      <c r="K1241" t="s">
        <v>44</v>
      </c>
      <c r="L1241" t="s">
        <v>45</v>
      </c>
      <c r="M1241" t="s">
        <v>46</v>
      </c>
      <c r="N1241" s="7">
        <v>1</v>
      </c>
      <c r="O1241" s="8">
        <v>45629.775983796295</v>
      </c>
      <c r="P1241" s="9">
        <v>45633</v>
      </c>
      <c r="Q1241" t="s">
        <v>74</v>
      </c>
      <c r="R1241" t="s">
        <v>48</v>
      </c>
      <c r="S1241" t="s">
        <v>49</v>
      </c>
      <c r="T1241" t="s">
        <v>80</v>
      </c>
      <c r="U1241" t="s">
        <v>3757</v>
      </c>
      <c r="V1241">
        <v>5400</v>
      </c>
      <c r="W1241" t="s">
        <v>48</v>
      </c>
      <c r="X1241" t="s">
        <v>266</v>
      </c>
      <c r="Y1241" t="s">
        <v>54</v>
      </c>
      <c r="Z1241" s="12">
        <f>IF(N1241&lt;=1,9,9+0.8*ROUNDUP(N1241-1,0))</f>
        <v>9</v>
      </c>
      <c r="AA1241" s="11">
        <v>-2</v>
      </c>
      <c r="AB1241" s="11">
        <v>0</v>
      </c>
      <c r="AC1241" s="11">
        <v>0</v>
      </c>
      <c r="AD1241" s="11">
        <v>0</v>
      </c>
      <c r="AE1241" s="11">
        <v>0</v>
      </c>
      <c r="AF1241" s="11">
        <f t="shared" si="57"/>
        <v>0.42</v>
      </c>
      <c r="AG1241" s="11">
        <f t="shared" si="58"/>
        <v>7.42</v>
      </c>
      <c r="AH1241" s="11">
        <v>0</v>
      </c>
      <c r="AI1241" s="11">
        <f t="shared" si="59"/>
        <v>7.42</v>
      </c>
      <c r="AJ1241" t="s">
        <v>62</v>
      </c>
    </row>
    <row r="1242" spans="1:36" ht="15" customHeight="1" x14ac:dyDescent="0.35">
      <c r="A1242">
        <v>10428918</v>
      </c>
      <c r="B1242" t="s">
        <v>36</v>
      </c>
      <c r="C1242" t="s">
        <v>37</v>
      </c>
      <c r="D1242" s="6" t="s">
        <v>38</v>
      </c>
      <c r="E1242" t="s">
        <v>3758</v>
      </c>
      <c r="F1242" t="s">
        <v>40</v>
      </c>
      <c r="G1242" t="s">
        <v>41</v>
      </c>
      <c r="H1242" t="s">
        <v>3759</v>
      </c>
      <c r="I1242" t="s">
        <v>43</v>
      </c>
      <c r="J1242">
        <v>2</v>
      </c>
      <c r="K1242" t="s">
        <v>44</v>
      </c>
      <c r="L1242" t="s">
        <v>45</v>
      </c>
      <c r="M1242" t="s">
        <v>46</v>
      </c>
      <c r="N1242" s="7">
        <v>1</v>
      </c>
      <c r="O1242" s="8">
        <v>45631.478171296294</v>
      </c>
      <c r="P1242" s="9">
        <v>45633</v>
      </c>
      <c r="Q1242" t="s">
        <v>74</v>
      </c>
      <c r="R1242" t="s">
        <v>48</v>
      </c>
      <c r="S1242" t="s">
        <v>49</v>
      </c>
      <c r="T1242" t="s">
        <v>161</v>
      </c>
      <c r="U1242" t="s">
        <v>3760</v>
      </c>
      <c r="V1242">
        <v>11900</v>
      </c>
      <c r="W1242" t="s">
        <v>48</v>
      </c>
      <c r="X1242" t="s">
        <v>820</v>
      </c>
      <c r="Y1242" t="s">
        <v>54</v>
      </c>
      <c r="Z1242" s="12">
        <f>IF(N1242&lt;=1,9,9+0.8*ROUNDUP(N1242-1,0))</f>
        <v>9</v>
      </c>
      <c r="AA1242" s="11">
        <v>-2</v>
      </c>
      <c r="AB1242" s="11">
        <v>0</v>
      </c>
      <c r="AC1242" s="11">
        <v>0</v>
      </c>
      <c r="AD1242" s="11">
        <v>0</v>
      </c>
      <c r="AE1242" s="11">
        <v>0</v>
      </c>
      <c r="AF1242" s="11">
        <f t="shared" si="57"/>
        <v>0.42</v>
      </c>
      <c r="AG1242" s="11">
        <f t="shared" si="58"/>
        <v>7.42</v>
      </c>
      <c r="AH1242" s="11">
        <v>0</v>
      </c>
      <c r="AI1242" s="11">
        <f t="shared" si="59"/>
        <v>7.42</v>
      </c>
      <c r="AJ1242" t="s">
        <v>62</v>
      </c>
    </row>
    <row r="1243" spans="1:36" ht="15" customHeight="1" x14ac:dyDescent="0.35">
      <c r="A1243">
        <v>10428918</v>
      </c>
      <c r="B1243" t="s">
        <v>36</v>
      </c>
      <c r="C1243" t="s">
        <v>37</v>
      </c>
      <c r="D1243" s="6" t="s">
        <v>38</v>
      </c>
      <c r="E1243" t="s">
        <v>3761</v>
      </c>
      <c r="F1243" t="s">
        <v>40</v>
      </c>
      <c r="G1243" t="s">
        <v>41</v>
      </c>
      <c r="H1243" t="s">
        <v>2848</v>
      </c>
      <c r="I1243" t="s">
        <v>43</v>
      </c>
      <c r="J1243">
        <v>2</v>
      </c>
      <c r="K1243" t="s">
        <v>44</v>
      </c>
      <c r="L1243" t="s">
        <v>45</v>
      </c>
      <c r="M1243" t="s">
        <v>46</v>
      </c>
      <c r="N1243" s="7">
        <v>1</v>
      </c>
      <c r="O1243" s="8">
        <v>45631.410937499997</v>
      </c>
      <c r="P1243" s="9">
        <v>45633</v>
      </c>
      <c r="Q1243" t="s">
        <v>74</v>
      </c>
      <c r="R1243" t="s">
        <v>48</v>
      </c>
      <c r="S1243" t="s">
        <v>49</v>
      </c>
      <c r="T1243" t="s">
        <v>170</v>
      </c>
      <c r="U1243" t="s">
        <v>2849</v>
      </c>
      <c r="V1243">
        <v>58200</v>
      </c>
      <c r="W1243" t="s">
        <v>48</v>
      </c>
      <c r="X1243" t="s">
        <v>53</v>
      </c>
      <c r="Y1243" t="s">
        <v>54</v>
      </c>
      <c r="Z1243" s="12">
        <f>IF(N1243&lt;=1,9,9+0.8*ROUNDUP(N1243-1,0))</f>
        <v>9</v>
      </c>
      <c r="AA1243" s="11">
        <v>-2</v>
      </c>
      <c r="AB1243" s="11">
        <v>0</v>
      </c>
      <c r="AC1243" s="11">
        <v>0</v>
      </c>
      <c r="AD1243" s="11">
        <v>0</v>
      </c>
      <c r="AE1243" s="11">
        <v>0</v>
      </c>
      <c r="AF1243" s="11">
        <f t="shared" si="57"/>
        <v>0.42</v>
      </c>
      <c r="AG1243" s="11">
        <f t="shared" si="58"/>
        <v>7.42</v>
      </c>
      <c r="AH1243" s="11">
        <v>0</v>
      </c>
      <c r="AI1243" s="11">
        <f t="shared" si="59"/>
        <v>7.42</v>
      </c>
      <c r="AJ1243" t="s">
        <v>62</v>
      </c>
    </row>
    <row r="1244" spans="1:36" ht="15" customHeight="1" x14ac:dyDescent="0.35">
      <c r="A1244">
        <v>10428918</v>
      </c>
      <c r="B1244" t="s">
        <v>36</v>
      </c>
      <c r="C1244" t="s">
        <v>37</v>
      </c>
      <c r="D1244" s="6" t="s">
        <v>38</v>
      </c>
      <c r="E1244" t="s">
        <v>3762</v>
      </c>
      <c r="F1244" t="s">
        <v>40</v>
      </c>
      <c r="G1244" t="s">
        <v>41</v>
      </c>
      <c r="H1244" t="s">
        <v>3763</v>
      </c>
      <c r="I1244" t="s">
        <v>43</v>
      </c>
      <c r="J1244">
        <v>2</v>
      </c>
      <c r="K1244" t="s">
        <v>44</v>
      </c>
      <c r="L1244" t="s">
        <v>45</v>
      </c>
      <c r="M1244" t="s">
        <v>46</v>
      </c>
      <c r="N1244" s="7">
        <v>2</v>
      </c>
      <c r="O1244" s="8">
        <v>45631.432824074072</v>
      </c>
      <c r="P1244" s="9">
        <v>45633</v>
      </c>
      <c r="Q1244" t="s">
        <v>74</v>
      </c>
      <c r="R1244" t="s">
        <v>48</v>
      </c>
      <c r="S1244" t="s">
        <v>49</v>
      </c>
      <c r="T1244" t="s">
        <v>75</v>
      </c>
      <c r="U1244" t="s">
        <v>3764</v>
      </c>
      <c r="V1244">
        <v>25150</v>
      </c>
      <c r="W1244" t="s">
        <v>48</v>
      </c>
      <c r="X1244" t="s">
        <v>77</v>
      </c>
      <c r="Y1244" t="s">
        <v>54</v>
      </c>
      <c r="Z1244" s="12">
        <f>IF(N1244&lt;=1,9,9+0.8*ROUNDUP(N1244-1,0))</f>
        <v>9.8000000000000007</v>
      </c>
      <c r="AA1244" s="11">
        <v>-2</v>
      </c>
      <c r="AB1244" s="11">
        <v>0</v>
      </c>
      <c r="AC1244" s="11">
        <v>0</v>
      </c>
      <c r="AD1244" s="11">
        <v>0</v>
      </c>
      <c r="AE1244" s="11">
        <v>0</v>
      </c>
      <c r="AF1244" s="11">
        <f t="shared" si="57"/>
        <v>0.46800000000000003</v>
      </c>
      <c r="AG1244" s="11">
        <f t="shared" si="58"/>
        <v>8.2680000000000007</v>
      </c>
      <c r="AH1244" s="11">
        <v>0</v>
      </c>
      <c r="AI1244" s="11">
        <f t="shared" si="59"/>
        <v>8.2680000000000007</v>
      </c>
      <c r="AJ1244" t="s">
        <v>62</v>
      </c>
    </row>
    <row r="1245" spans="1:36" ht="15" customHeight="1" x14ac:dyDescent="0.35">
      <c r="A1245">
        <v>10428918</v>
      </c>
      <c r="B1245" t="s">
        <v>36</v>
      </c>
      <c r="C1245" t="s">
        <v>37</v>
      </c>
      <c r="D1245" s="6" t="s">
        <v>38</v>
      </c>
      <c r="E1245" t="s">
        <v>3765</v>
      </c>
      <c r="F1245" t="s">
        <v>40</v>
      </c>
      <c r="G1245" t="s">
        <v>41</v>
      </c>
      <c r="H1245" t="s">
        <v>3766</v>
      </c>
      <c r="I1245" t="s">
        <v>43</v>
      </c>
      <c r="J1245">
        <v>2</v>
      </c>
      <c r="K1245" t="s">
        <v>44</v>
      </c>
      <c r="L1245" t="s">
        <v>45</v>
      </c>
      <c r="M1245" t="s">
        <v>46</v>
      </c>
      <c r="N1245" s="7">
        <v>1</v>
      </c>
      <c r="O1245" s="8">
        <v>45623.664363425924</v>
      </c>
      <c r="P1245" s="9">
        <v>45633</v>
      </c>
      <c r="Q1245" t="s">
        <v>74</v>
      </c>
      <c r="R1245" t="s">
        <v>48</v>
      </c>
      <c r="S1245" t="s">
        <v>49</v>
      </c>
      <c r="T1245" t="s">
        <v>75</v>
      </c>
      <c r="U1245" t="s">
        <v>3767</v>
      </c>
      <c r="V1245">
        <v>26600</v>
      </c>
      <c r="W1245" t="s">
        <v>48</v>
      </c>
      <c r="X1245" t="s">
        <v>53</v>
      </c>
      <c r="Y1245" t="s">
        <v>54</v>
      </c>
      <c r="Z1245" s="12">
        <f>IF(N1245&lt;=1,9,9+0.8*ROUNDUP(N1245-1,0))</f>
        <v>9</v>
      </c>
      <c r="AA1245" s="11">
        <v>-2</v>
      </c>
      <c r="AB1245" s="11">
        <v>0</v>
      </c>
      <c r="AC1245" s="11">
        <v>0</v>
      </c>
      <c r="AD1245" s="11">
        <v>0</v>
      </c>
      <c r="AE1245" s="11">
        <v>0</v>
      </c>
      <c r="AF1245" s="11">
        <f t="shared" si="57"/>
        <v>0.42</v>
      </c>
      <c r="AG1245" s="11">
        <f t="shared" si="58"/>
        <v>7.42</v>
      </c>
      <c r="AH1245" s="11">
        <v>0</v>
      </c>
      <c r="AI1245" s="11">
        <f t="shared" si="59"/>
        <v>7.42</v>
      </c>
      <c r="AJ1245" t="s">
        <v>62</v>
      </c>
    </row>
    <row r="1246" spans="1:36" ht="15" customHeight="1" x14ac:dyDescent="0.35">
      <c r="A1246">
        <v>10428918</v>
      </c>
      <c r="B1246" t="s">
        <v>36</v>
      </c>
      <c r="C1246" t="s">
        <v>37</v>
      </c>
      <c r="D1246" s="6" t="s">
        <v>38</v>
      </c>
      <c r="E1246" t="s">
        <v>3768</v>
      </c>
      <c r="F1246" t="s">
        <v>40</v>
      </c>
      <c r="G1246" t="s">
        <v>41</v>
      </c>
      <c r="H1246" t="s">
        <v>3769</v>
      </c>
      <c r="I1246" t="s">
        <v>43</v>
      </c>
      <c r="J1246">
        <v>2</v>
      </c>
      <c r="K1246" t="s">
        <v>44</v>
      </c>
      <c r="L1246" t="s">
        <v>45</v>
      </c>
      <c r="M1246" t="s">
        <v>46</v>
      </c>
      <c r="N1246" s="7">
        <v>1</v>
      </c>
      <c r="O1246" s="8">
        <v>45631.84270833333</v>
      </c>
      <c r="P1246" s="9">
        <v>45634</v>
      </c>
      <c r="Q1246" t="s">
        <v>58</v>
      </c>
      <c r="R1246" t="s">
        <v>48</v>
      </c>
      <c r="S1246" t="s">
        <v>49</v>
      </c>
      <c r="T1246" t="s">
        <v>69</v>
      </c>
      <c r="U1246" t="s">
        <v>3770</v>
      </c>
      <c r="V1246">
        <v>86000</v>
      </c>
      <c r="W1246" t="s">
        <v>48</v>
      </c>
      <c r="X1246" t="s">
        <v>613</v>
      </c>
      <c r="Y1246" t="s">
        <v>54</v>
      </c>
      <c r="Z1246" s="12">
        <f>IF(N1246&lt;=1,9,9+0.8*ROUNDUP(N1246-1,0))</f>
        <v>9</v>
      </c>
      <c r="AA1246" s="11">
        <v>-2</v>
      </c>
      <c r="AB1246" s="11">
        <v>0</v>
      </c>
      <c r="AC1246" s="11">
        <v>0</v>
      </c>
      <c r="AD1246" s="11">
        <v>0</v>
      </c>
      <c r="AE1246" s="11">
        <v>0</v>
      </c>
      <c r="AF1246" s="11">
        <f t="shared" si="57"/>
        <v>0.42</v>
      </c>
      <c r="AG1246" s="11">
        <f t="shared" si="58"/>
        <v>7.42</v>
      </c>
      <c r="AH1246" s="11">
        <v>0</v>
      </c>
      <c r="AI1246" s="11">
        <f t="shared" si="59"/>
        <v>7.42</v>
      </c>
      <c r="AJ1246" t="s">
        <v>62</v>
      </c>
    </row>
    <row r="1247" spans="1:36" ht="15" customHeight="1" x14ac:dyDescent="0.35">
      <c r="A1247">
        <v>10428918</v>
      </c>
      <c r="B1247" t="s">
        <v>36</v>
      </c>
      <c r="C1247" t="s">
        <v>37</v>
      </c>
      <c r="D1247" s="6" t="s">
        <v>38</v>
      </c>
      <c r="E1247" t="s">
        <v>3771</v>
      </c>
      <c r="F1247" t="s">
        <v>40</v>
      </c>
      <c r="G1247" t="s">
        <v>41</v>
      </c>
      <c r="H1247" t="s">
        <v>3772</v>
      </c>
      <c r="I1247" t="s">
        <v>43</v>
      </c>
      <c r="J1247">
        <v>2</v>
      </c>
      <c r="K1247" t="s">
        <v>44</v>
      </c>
      <c r="L1247" t="s">
        <v>45</v>
      </c>
      <c r="M1247" t="s">
        <v>46</v>
      </c>
      <c r="N1247" s="7">
        <v>1</v>
      </c>
      <c r="O1247" s="8">
        <v>45633.716365740744</v>
      </c>
      <c r="P1247" s="9">
        <v>45634</v>
      </c>
      <c r="Q1247" t="s">
        <v>74</v>
      </c>
      <c r="R1247" t="s">
        <v>48</v>
      </c>
      <c r="S1247" t="s">
        <v>49</v>
      </c>
      <c r="T1247" t="s">
        <v>90</v>
      </c>
      <c r="U1247" t="s">
        <v>3773</v>
      </c>
      <c r="V1247">
        <v>21200</v>
      </c>
      <c r="W1247" t="s">
        <v>48</v>
      </c>
      <c r="X1247" t="s">
        <v>92</v>
      </c>
      <c r="Y1247" t="s">
        <v>54</v>
      </c>
      <c r="Z1247" s="12">
        <f>IF(N1247&lt;=1,9,9+0.8*ROUNDUP(N1247-1,0))</f>
        <v>9</v>
      </c>
      <c r="AA1247" s="11">
        <v>-2</v>
      </c>
      <c r="AB1247" s="11">
        <v>0</v>
      </c>
      <c r="AC1247" s="11">
        <v>0</v>
      </c>
      <c r="AD1247" s="11">
        <v>0</v>
      </c>
      <c r="AE1247" s="11">
        <v>0</v>
      </c>
      <c r="AF1247" s="11">
        <f t="shared" si="57"/>
        <v>0.42</v>
      </c>
      <c r="AG1247" s="11">
        <f t="shared" si="58"/>
        <v>7.42</v>
      </c>
      <c r="AH1247" s="11">
        <v>0</v>
      </c>
      <c r="AI1247" s="11">
        <f t="shared" si="59"/>
        <v>7.42</v>
      </c>
      <c r="AJ1247" t="s">
        <v>62</v>
      </c>
    </row>
    <row r="1248" spans="1:36" ht="15" customHeight="1" x14ac:dyDescent="0.35">
      <c r="A1248">
        <v>10428918</v>
      </c>
      <c r="B1248" t="s">
        <v>36</v>
      </c>
      <c r="C1248" t="s">
        <v>37</v>
      </c>
      <c r="D1248" s="6" t="s">
        <v>38</v>
      </c>
      <c r="E1248" t="s">
        <v>3774</v>
      </c>
      <c r="F1248" t="s">
        <v>40</v>
      </c>
      <c r="G1248" t="s">
        <v>41</v>
      </c>
      <c r="H1248" t="s">
        <v>3775</v>
      </c>
      <c r="I1248" t="s">
        <v>43</v>
      </c>
      <c r="J1248">
        <v>2</v>
      </c>
      <c r="K1248" t="s">
        <v>44</v>
      </c>
      <c r="L1248" t="s">
        <v>45</v>
      </c>
      <c r="M1248" t="s">
        <v>46</v>
      </c>
      <c r="N1248" s="7">
        <v>2</v>
      </c>
      <c r="O1248" s="8">
        <v>45631.796574074076</v>
      </c>
      <c r="P1248" s="9">
        <v>45634</v>
      </c>
      <c r="Q1248" t="s">
        <v>58</v>
      </c>
      <c r="R1248" t="s">
        <v>48</v>
      </c>
      <c r="S1248" t="s">
        <v>49</v>
      </c>
      <c r="T1248" t="s">
        <v>101</v>
      </c>
      <c r="U1248" t="s">
        <v>3776</v>
      </c>
      <c r="V1248">
        <v>31400</v>
      </c>
      <c r="W1248" t="s">
        <v>48</v>
      </c>
      <c r="X1248" t="s">
        <v>2545</v>
      </c>
      <c r="Y1248" t="s">
        <v>54</v>
      </c>
      <c r="Z1248" s="12">
        <f>IF(N1248&lt;=1,9,9+0.8*ROUNDUP(N1248-1,0))</f>
        <v>9.8000000000000007</v>
      </c>
      <c r="AA1248" s="11">
        <v>-2</v>
      </c>
      <c r="AB1248" s="11">
        <v>0</v>
      </c>
      <c r="AC1248" s="11">
        <v>0</v>
      </c>
      <c r="AD1248" s="11">
        <v>0</v>
      </c>
      <c r="AE1248" s="11">
        <v>0</v>
      </c>
      <c r="AF1248" s="11">
        <f t="shared" si="57"/>
        <v>0.46800000000000003</v>
      </c>
      <c r="AG1248" s="11">
        <f t="shared" si="58"/>
        <v>8.2680000000000007</v>
      </c>
      <c r="AH1248" s="11">
        <v>0</v>
      </c>
      <c r="AI1248" s="11">
        <f t="shared" si="59"/>
        <v>8.2680000000000007</v>
      </c>
      <c r="AJ1248" t="s">
        <v>62</v>
      </c>
    </row>
    <row r="1249" spans="1:36" ht="15" customHeight="1" x14ac:dyDescent="0.35">
      <c r="A1249">
        <v>10428918</v>
      </c>
      <c r="B1249" t="s">
        <v>36</v>
      </c>
      <c r="C1249" t="s">
        <v>37</v>
      </c>
      <c r="D1249" s="6" t="s">
        <v>38</v>
      </c>
      <c r="E1249" t="s">
        <v>3777</v>
      </c>
      <c r="F1249" t="s">
        <v>40</v>
      </c>
      <c r="G1249" t="s">
        <v>41</v>
      </c>
      <c r="H1249" t="s">
        <v>3778</v>
      </c>
      <c r="I1249" t="s">
        <v>43</v>
      </c>
      <c r="J1249">
        <v>2</v>
      </c>
      <c r="K1249" t="s">
        <v>44</v>
      </c>
      <c r="L1249" t="s">
        <v>45</v>
      </c>
      <c r="M1249" t="s">
        <v>46</v>
      </c>
      <c r="N1249" s="7">
        <v>3</v>
      </c>
      <c r="O1249" s="8">
        <v>45633.569537037038</v>
      </c>
      <c r="P1249" s="9">
        <v>45634</v>
      </c>
      <c r="Q1249" t="s">
        <v>74</v>
      </c>
      <c r="R1249" t="s">
        <v>48</v>
      </c>
      <c r="S1249" t="s">
        <v>49</v>
      </c>
      <c r="T1249" t="s">
        <v>59</v>
      </c>
      <c r="U1249" t="s">
        <v>3779</v>
      </c>
      <c r="V1249">
        <v>18000</v>
      </c>
      <c r="W1249" t="s">
        <v>48</v>
      </c>
      <c r="X1249" t="s">
        <v>2151</v>
      </c>
      <c r="Y1249" t="s">
        <v>54</v>
      </c>
      <c r="Z1249" s="12">
        <f>IF(N1249&lt;=1,9,9+0.8*ROUNDUP(N1249-1,0))</f>
        <v>10.6</v>
      </c>
      <c r="AA1249" s="11">
        <v>-2</v>
      </c>
      <c r="AB1249" s="11">
        <v>0</v>
      </c>
      <c r="AC1249" s="11">
        <v>0</v>
      </c>
      <c r="AD1249" s="11">
        <v>0</v>
      </c>
      <c r="AE1249" s="11">
        <v>0</v>
      </c>
      <c r="AF1249" s="11">
        <f t="shared" si="57"/>
        <v>0.51600000000000001</v>
      </c>
      <c r="AG1249" s="11">
        <f t="shared" si="58"/>
        <v>9.1159999999999997</v>
      </c>
      <c r="AH1249" s="11">
        <v>0</v>
      </c>
      <c r="AI1249" s="11">
        <f t="shared" si="59"/>
        <v>9.1159999999999997</v>
      </c>
      <c r="AJ1249" t="s">
        <v>62</v>
      </c>
    </row>
    <row r="1250" spans="1:36" ht="15" customHeight="1" x14ac:dyDescent="0.35">
      <c r="A1250">
        <v>10428918</v>
      </c>
      <c r="B1250" t="s">
        <v>36</v>
      </c>
      <c r="C1250" t="s">
        <v>37</v>
      </c>
      <c r="D1250" s="6" t="s">
        <v>38</v>
      </c>
      <c r="E1250" t="s">
        <v>3780</v>
      </c>
      <c r="F1250" t="s">
        <v>40</v>
      </c>
      <c r="G1250" t="s">
        <v>41</v>
      </c>
      <c r="H1250" t="s">
        <v>3781</v>
      </c>
      <c r="I1250" t="s">
        <v>43</v>
      </c>
      <c r="J1250">
        <v>2</v>
      </c>
      <c r="K1250" t="s">
        <v>44</v>
      </c>
      <c r="L1250" t="s">
        <v>45</v>
      </c>
      <c r="M1250" t="s">
        <v>46</v>
      </c>
      <c r="N1250" s="7">
        <v>1</v>
      </c>
      <c r="O1250" s="8">
        <v>45629.790150462963</v>
      </c>
      <c r="P1250" s="9">
        <v>45634</v>
      </c>
      <c r="Q1250" t="s">
        <v>74</v>
      </c>
      <c r="R1250" t="s">
        <v>48</v>
      </c>
      <c r="S1250" t="s">
        <v>49</v>
      </c>
      <c r="T1250" t="s">
        <v>117</v>
      </c>
      <c r="U1250" t="s">
        <v>3782</v>
      </c>
      <c r="V1250">
        <v>68000</v>
      </c>
      <c r="W1250" t="s">
        <v>48</v>
      </c>
      <c r="X1250" t="s">
        <v>53</v>
      </c>
      <c r="Y1250" t="s">
        <v>54</v>
      </c>
      <c r="Z1250" s="12">
        <f>IF(N1250&lt;=1,9,9+0.8*ROUNDUP(N1250-1,0))</f>
        <v>9</v>
      </c>
      <c r="AA1250" s="11">
        <v>-2</v>
      </c>
      <c r="AB1250" s="11">
        <v>0</v>
      </c>
      <c r="AC1250" s="11">
        <v>0</v>
      </c>
      <c r="AD1250" s="11">
        <v>0</v>
      </c>
      <c r="AE1250" s="11">
        <v>0</v>
      </c>
      <c r="AF1250" s="11">
        <f t="shared" si="57"/>
        <v>0.42</v>
      </c>
      <c r="AG1250" s="11">
        <f t="shared" si="58"/>
        <v>7.42</v>
      </c>
      <c r="AH1250" s="11">
        <v>0</v>
      </c>
      <c r="AI1250" s="11">
        <f t="shared" si="59"/>
        <v>7.42</v>
      </c>
      <c r="AJ1250" t="s">
        <v>62</v>
      </c>
    </row>
    <row r="1251" spans="1:36" ht="15" customHeight="1" x14ac:dyDescent="0.35">
      <c r="A1251">
        <v>10428918</v>
      </c>
      <c r="B1251" t="s">
        <v>36</v>
      </c>
      <c r="C1251" t="s">
        <v>37</v>
      </c>
      <c r="D1251" s="6" t="s">
        <v>38</v>
      </c>
      <c r="E1251" t="s">
        <v>3783</v>
      </c>
      <c r="F1251" t="s">
        <v>40</v>
      </c>
      <c r="G1251" t="s">
        <v>41</v>
      </c>
      <c r="H1251" t="s">
        <v>3784</v>
      </c>
      <c r="I1251" t="s">
        <v>43</v>
      </c>
      <c r="J1251">
        <v>2</v>
      </c>
      <c r="K1251" t="s">
        <v>44</v>
      </c>
      <c r="L1251" t="s">
        <v>45</v>
      </c>
      <c r="M1251" t="s">
        <v>46</v>
      </c>
      <c r="N1251" s="7">
        <v>1</v>
      </c>
      <c r="O1251" s="8">
        <v>45631.834733796299</v>
      </c>
      <c r="P1251" s="9">
        <v>45634</v>
      </c>
      <c r="Q1251" t="s">
        <v>58</v>
      </c>
      <c r="R1251" t="s">
        <v>48</v>
      </c>
      <c r="S1251" t="s">
        <v>49</v>
      </c>
      <c r="T1251" t="s">
        <v>161</v>
      </c>
      <c r="U1251" t="s">
        <v>3785</v>
      </c>
      <c r="V1251">
        <v>13200</v>
      </c>
      <c r="W1251" t="s">
        <v>48</v>
      </c>
      <c r="X1251" t="s">
        <v>812</v>
      </c>
      <c r="Y1251" t="s">
        <v>54</v>
      </c>
      <c r="Z1251" s="12">
        <f>IF(N1251&lt;=1,9,9+0.8*ROUNDUP(N1251-1,0))</f>
        <v>9</v>
      </c>
      <c r="AA1251" s="11">
        <v>-2</v>
      </c>
      <c r="AB1251" s="11">
        <v>0</v>
      </c>
      <c r="AC1251" s="11">
        <v>0</v>
      </c>
      <c r="AD1251" s="11">
        <v>0</v>
      </c>
      <c r="AE1251" s="11">
        <v>0</v>
      </c>
      <c r="AF1251" s="11">
        <f t="shared" si="57"/>
        <v>0.42</v>
      </c>
      <c r="AG1251" s="11">
        <f t="shared" si="58"/>
        <v>7.42</v>
      </c>
      <c r="AH1251" s="11">
        <v>0</v>
      </c>
      <c r="AI1251" s="11">
        <f t="shared" si="59"/>
        <v>7.42</v>
      </c>
      <c r="AJ1251" t="s">
        <v>62</v>
      </c>
    </row>
    <row r="1252" spans="1:36" ht="15" customHeight="1" x14ac:dyDescent="0.35">
      <c r="A1252">
        <v>10428918</v>
      </c>
      <c r="B1252" t="s">
        <v>36</v>
      </c>
      <c r="C1252" t="s">
        <v>37</v>
      </c>
      <c r="D1252" s="6" t="s">
        <v>38</v>
      </c>
      <c r="E1252" t="s">
        <v>3786</v>
      </c>
      <c r="F1252" t="s">
        <v>40</v>
      </c>
      <c r="G1252" t="s">
        <v>41</v>
      </c>
      <c r="H1252" t="s">
        <v>3039</v>
      </c>
      <c r="I1252" t="s">
        <v>43</v>
      </c>
      <c r="J1252">
        <v>2</v>
      </c>
      <c r="K1252" t="s">
        <v>44</v>
      </c>
      <c r="L1252" t="s">
        <v>45</v>
      </c>
      <c r="M1252" t="s">
        <v>46</v>
      </c>
      <c r="N1252" s="7">
        <v>1</v>
      </c>
      <c r="O1252" s="8">
        <v>45633.721828703703</v>
      </c>
      <c r="P1252" s="9">
        <v>45634</v>
      </c>
      <c r="Q1252" t="s">
        <v>74</v>
      </c>
      <c r="R1252" t="s">
        <v>48</v>
      </c>
      <c r="S1252" t="s">
        <v>49</v>
      </c>
      <c r="T1252" t="s">
        <v>75</v>
      </c>
      <c r="U1252" t="s">
        <v>3787</v>
      </c>
      <c r="V1252">
        <v>26100</v>
      </c>
      <c r="W1252" t="s">
        <v>48</v>
      </c>
      <c r="X1252" t="s">
        <v>77</v>
      </c>
      <c r="Y1252" t="s">
        <v>54</v>
      </c>
      <c r="Z1252" s="12">
        <f>IF(N1252&lt;=1,9,9+0.8*ROUNDUP(N1252-1,0))</f>
        <v>9</v>
      </c>
      <c r="AA1252" s="11">
        <v>-2</v>
      </c>
      <c r="AB1252" s="11">
        <v>0</v>
      </c>
      <c r="AC1252" s="11">
        <v>0</v>
      </c>
      <c r="AD1252" s="11">
        <v>0</v>
      </c>
      <c r="AE1252" s="11">
        <v>0</v>
      </c>
      <c r="AF1252" s="11">
        <f t="shared" si="57"/>
        <v>0.42</v>
      </c>
      <c r="AG1252" s="11">
        <f t="shared" si="58"/>
        <v>7.42</v>
      </c>
      <c r="AH1252" s="11">
        <v>0</v>
      </c>
      <c r="AI1252" s="11">
        <f t="shared" si="59"/>
        <v>7.42</v>
      </c>
      <c r="AJ1252" t="s">
        <v>62</v>
      </c>
    </row>
    <row r="1253" spans="1:36" ht="15" customHeight="1" x14ac:dyDescent="0.35">
      <c r="A1253">
        <v>10428918</v>
      </c>
      <c r="B1253" t="s">
        <v>36</v>
      </c>
      <c r="C1253" t="s">
        <v>37</v>
      </c>
      <c r="D1253" s="6" t="s">
        <v>38</v>
      </c>
      <c r="E1253" t="s">
        <v>3788</v>
      </c>
      <c r="F1253" t="s">
        <v>40</v>
      </c>
      <c r="G1253" t="s">
        <v>41</v>
      </c>
      <c r="H1253" t="s">
        <v>3789</v>
      </c>
      <c r="I1253" t="s">
        <v>43</v>
      </c>
      <c r="J1253">
        <v>2</v>
      </c>
      <c r="K1253" t="s">
        <v>44</v>
      </c>
      <c r="L1253" t="s">
        <v>45</v>
      </c>
      <c r="M1253" t="s">
        <v>46</v>
      </c>
      <c r="N1253" s="7">
        <v>1</v>
      </c>
      <c r="O1253" s="8">
        <v>45633.649085648147</v>
      </c>
      <c r="P1253" s="9">
        <v>45634</v>
      </c>
      <c r="Q1253" t="s">
        <v>74</v>
      </c>
      <c r="R1253" t="s">
        <v>48</v>
      </c>
      <c r="S1253" t="s">
        <v>49</v>
      </c>
      <c r="T1253" t="s">
        <v>117</v>
      </c>
      <c r="U1253" t="s">
        <v>2458</v>
      </c>
      <c r="V1253">
        <v>43000</v>
      </c>
      <c r="W1253" t="s">
        <v>48</v>
      </c>
      <c r="X1253" t="s">
        <v>330</v>
      </c>
      <c r="Y1253" t="s">
        <v>54</v>
      </c>
      <c r="Z1253" s="12">
        <f>IF(N1253&lt;=1,9,9+0.8*ROUNDUP(N1253-1,0))</f>
        <v>9</v>
      </c>
      <c r="AA1253" s="11">
        <v>-2</v>
      </c>
      <c r="AB1253" s="11">
        <v>0</v>
      </c>
      <c r="AC1253" s="11">
        <v>0</v>
      </c>
      <c r="AD1253" s="11">
        <v>0</v>
      </c>
      <c r="AE1253" s="11">
        <v>0</v>
      </c>
      <c r="AF1253" s="11">
        <f t="shared" si="57"/>
        <v>0.42</v>
      </c>
      <c r="AG1253" s="11">
        <f t="shared" si="58"/>
        <v>7.42</v>
      </c>
      <c r="AH1253" s="11">
        <v>0</v>
      </c>
      <c r="AI1253" s="11">
        <f t="shared" si="59"/>
        <v>7.42</v>
      </c>
      <c r="AJ1253" t="s">
        <v>62</v>
      </c>
    </row>
    <row r="1254" spans="1:36" ht="15" customHeight="1" x14ac:dyDescent="0.35">
      <c r="A1254">
        <v>10428918</v>
      </c>
      <c r="B1254" t="s">
        <v>36</v>
      </c>
      <c r="C1254" t="s">
        <v>37</v>
      </c>
      <c r="D1254" s="6" t="s">
        <v>38</v>
      </c>
      <c r="E1254" t="s">
        <v>3790</v>
      </c>
      <c r="F1254" t="s">
        <v>40</v>
      </c>
      <c r="G1254" t="s">
        <v>41</v>
      </c>
      <c r="H1254" t="s">
        <v>3791</v>
      </c>
      <c r="I1254" t="s">
        <v>43</v>
      </c>
      <c r="J1254">
        <v>2</v>
      </c>
      <c r="K1254" t="s">
        <v>44</v>
      </c>
      <c r="L1254" t="s">
        <v>45</v>
      </c>
      <c r="M1254" t="s">
        <v>46</v>
      </c>
      <c r="N1254" s="7">
        <v>1</v>
      </c>
      <c r="O1254" s="8">
        <v>45633.712673611109</v>
      </c>
      <c r="P1254" s="9">
        <v>45634</v>
      </c>
      <c r="Q1254" t="s">
        <v>74</v>
      </c>
      <c r="R1254" t="s">
        <v>48</v>
      </c>
      <c r="S1254" t="s">
        <v>49</v>
      </c>
      <c r="T1254" t="s">
        <v>75</v>
      </c>
      <c r="U1254" t="s">
        <v>3792</v>
      </c>
      <c r="V1254">
        <v>26060</v>
      </c>
      <c r="W1254" t="s">
        <v>48</v>
      </c>
      <c r="X1254" t="s">
        <v>77</v>
      </c>
      <c r="Y1254" t="s">
        <v>54</v>
      </c>
      <c r="Z1254" s="12">
        <f>IF(N1254&lt;=1,9,9+0.8*ROUNDUP(N1254-1,0))</f>
        <v>9</v>
      </c>
      <c r="AA1254" s="11">
        <v>-2</v>
      </c>
      <c r="AB1254" s="11">
        <v>0</v>
      </c>
      <c r="AC1254" s="11">
        <v>0</v>
      </c>
      <c r="AD1254" s="11">
        <v>0</v>
      </c>
      <c r="AE1254" s="11">
        <v>0</v>
      </c>
      <c r="AF1254" s="11">
        <f t="shared" si="57"/>
        <v>0.42</v>
      </c>
      <c r="AG1254" s="11">
        <f t="shared" si="58"/>
        <v>7.42</v>
      </c>
      <c r="AH1254" s="11">
        <v>0</v>
      </c>
      <c r="AI1254" s="11">
        <f t="shared" si="59"/>
        <v>7.42</v>
      </c>
      <c r="AJ1254" t="s">
        <v>62</v>
      </c>
    </row>
    <row r="1255" spans="1:36" ht="15" customHeight="1" x14ac:dyDescent="0.35">
      <c r="A1255">
        <v>10428918</v>
      </c>
      <c r="B1255" t="s">
        <v>36</v>
      </c>
      <c r="C1255" t="s">
        <v>37</v>
      </c>
      <c r="D1255" s="6" t="s">
        <v>38</v>
      </c>
      <c r="E1255" t="s">
        <v>3793</v>
      </c>
      <c r="F1255" t="s">
        <v>40</v>
      </c>
      <c r="G1255" t="s">
        <v>41</v>
      </c>
      <c r="H1255" t="s">
        <v>3794</v>
      </c>
      <c r="I1255" t="s">
        <v>43</v>
      </c>
      <c r="J1255">
        <v>2</v>
      </c>
      <c r="K1255" t="s">
        <v>44</v>
      </c>
      <c r="L1255" t="s">
        <v>45</v>
      </c>
      <c r="M1255" t="s">
        <v>46</v>
      </c>
      <c r="N1255" s="7">
        <v>1</v>
      </c>
      <c r="O1255" s="8">
        <v>45631.810694444444</v>
      </c>
      <c r="P1255" s="9">
        <v>45634</v>
      </c>
      <c r="Q1255" t="s">
        <v>58</v>
      </c>
      <c r="R1255" t="s">
        <v>48</v>
      </c>
      <c r="S1255" t="s">
        <v>49</v>
      </c>
      <c r="T1255" t="s">
        <v>69</v>
      </c>
      <c r="U1255" t="s">
        <v>3795</v>
      </c>
      <c r="V1255">
        <v>84200</v>
      </c>
      <c r="W1255" t="s">
        <v>48</v>
      </c>
      <c r="X1255" t="s">
        <v>1714</v>
      </c>
      <c r="Y1255" t="s">
        <v>54</v>
      </c>
      <c r="Z1255" s="12">
        <f>IF(N1255&lt;=1,9,9+0.8*ROUNDUP(N1255-1,0))</f>
        <v>9</v>
      </c>
      <c r="AA1255" s="11">
        <v>-2</v>
      </c>
      <c r="AB1255" s="11">
        <v>0</v>
      </c>
      <c r="AC1255" s="11">
        <v>0</v>
      </c>
      <c r="AD1255" s="11">
        <v>0</v>
      </c>
      <c r="AE1255" s="11">
        <v>0</v>
      </c>
      <c r="AF1255" s="11">
        <f t="shared" si="57"/>
        <v>0.42</v>
      </c>
      <c r="AG1255" s="11">
        <f t="shared" si="58"/>
        <v>7.42</v>
      </c>
      <c r="AH1255" s="11">
        <v>0</v>
      </c>
      <c r="AI1255" s="11">
        <f t="shared" si="59"/>
        <v>7.42</v>
      </c>
      <c r="AJ1255" t="s">
        <v>62</v>
      </c>
    </row>
    <row r="1256" spans="1:36" ht="15" customHeight="1" x14ac:dyDescent="0.35">
      <c r="A1256">
        <v>10428918</v>
      </c>
      <c r="B1256" t="s">
        <v>36</v>
      </c>
      <c r="C1256" t="s">
        <v>37</v>
      </c>
      <c r="D1256" s="6" t="s">
        <v>38</v>
      </c>
      <c r="E1256" t="s">
        <v>3796</v>
      </c>
      <c r="F1256" t="s">
        <v>40</v>
      </c>
      <c r="G1256" t="s">
        <v>41</v>
      </c>
      <c r="H1256" t="s">
        <v>3797</v>
      </c>
      <c r="I1256" t="s">
        <v>43</v>
      </c>
      <c r="J1256">
        <v>2</v>
      </c>
      <c r="K1256" t="s">
        <v>44</v>
      </c>
      <c r="L1256" t="s">
        <v>45</v>
      </c>
      <c r="M1256" t="s">
        <v>46</v>
      </c>
      <c r="N1256" s="7">
        <v>1</v>
      </c>
      <c r="O1256" s="8">
        <v>45631.839756944442</v>
      </c>
      <c r="P1256" s="9">
        <v>45634</v>
      </c>
      <c r="Q1256" t="s">
        <v>58</v>
      </c>
      <c r="R1256" t="s">
        <v>48</v>
      </c>
      <c r="S1256" t="s">
        <v>49</v>
      </c>
      <c r="T1256" t="s">
        <v>161</v>
      </c>
      <c r="U1256" t="s">
        <v>3798</v>
      </c>
      <c r="V1256">
        <v>13200</v>
      </c>
      <c r="W1256" t="s">
        <v>48</v>
      </c>
      <c r="X1256" t="s">
        <v>812</v>
      </c>
      <c r="Y1256" t="s">
        <v>54</v>
      </c>
      <c r="Z1256" s="12">
        <f>IF(N1256&lt;=1,9,9+0.8*ROUNDUP(N1256-1,0))</f>
        <v>9</v>
      </c>
      <c r="AA1256" s="11">
        <v>-2</v>
      </c>
      <c r="AB1256" s="11">
        <v>0</v>
      </c>
      <c r="AC1256" s="11">
        <v>0</v>
      </c>
      <c r="AD1256" s="11">
        <v>0</v>
      </c>
      <c r="AE1256" s="11">
        <v>0</v>
      </c>
      <c r="AF1256" s="11">
        <f t="shared" si="57"/>
        <v>0.42</v>
      </c>
      <c r="AG1256" s="11">
        <f t="shared" si="58"/>
        <v>7.42</v>
      </c>
      <c r="AH1256" s="11">
        <v>0</v>
      </c>
      <c r="AI1256" s="11">
        <f t="shared" si="59"/>
        <v>7.42</v>
      </c>
      <c r="AJ1256" t="s">
        <v>62</v>
      </c>
    </row>
    <row r="1257" spans="1:36" ht="15" customHeight="1" x14ac:dyDescent="0.35">
      <c r="A1257">
        <v>10428918</v>
      </c>
      <c r="B1257" t="s">
        <v>36</v>
      </c>
      <c r="C1257" t="s">
        <v>37</v>
      </c>
      <c r="D1257" s="6" t="s">
        <v>38</v>
      </c>
      <c r="E1257" t="s">
        <v>3799</v>
      </c>
      <c r="F1257" t="s">
        <v>40</v>
      </c>
      <c r="G1257" t="s">
        <v>41</v>
      </c>
      <c r="H1257" t="s">
        <v>3800</v>
      </c>
      <c r="I1257" t="s">
        <v>43</v>
      </c>
      <c r="J1257">
        <v>2</v>
      </c>
      <c r="K1257" t="s">
        <v>44</v>
      </c>
      <c r="L1257" t="s">
        <v>45</v>
      </c>
      <c r="M1257" t="s">
        <v>46</v>
      </c>
      <c r="N1257" s="7">
        <v>7</v>
      </c>
      <c r="O1257" s="8">
        <v>45630.836076388892</v>
      </c>
      <c r="P1257" s="9">
        <v>45634</v>
      </c>
      <c r="Q1257" t="s">
        <v>74</v>
      </c>
      <c r="R1257" t="s">
        <v>48</v>
      </c>
      <c r="S1257" t="s">
        <v>49</v>
      </c>
      <c r="T1257" t="s">
        <v>117</v>
      </c>
      <c r="U1257" t="s">
        <v>3801</v>
      </c>
      <c r="V1257">
        <v>42100</v>
      </c>
      <c r="W1257" t="s">
        <v>48</v>
      </c>
      <c r="X1257" t="s">
        <v>623</v>
      </c>
      <c r="Y1257" t="s">
        <v>54</v>
      </c>
      <c r="Z1257" s="12">
        <f>IF(N1257&lt;=1,9,9+0.8*ROUNDUP(N1257-1,0))</f>
        <v>13.8</v>
      </c>
      <c r="AA1257" s="11">
        <v>-2</v>
      </c>
      <c r="AB1257" s="11">
        <v>0</v>
      </c>
      <c r="AC1257" s="11">
        <v>0</v>
      </c>
      <c r="AD1257" s="11">
        <v>0</v>
      </c>
      <c r="AE1257" s="11">
        <v>0</v>
      </c>
      <c r="AF1257" s="11">
        <f t="shared" si="57"/>
        <v>0.70799999999999996</v>
      </c>
      <c r="AG1257" s="11">
        <f t="shared" si="58"/>
        <v>12.508000000000001</v>
      </c>
      <c r="AH1257" s="11">
        <v>0</v>
      </c>
      <c r="AI1257" s="11">
        <f t="shared" si="59"/>
        <v>12.508000000000001</v>
      </c>
      <c r="AJ1257" t="s">
        <v>62</v>
      </c>
    </row>
    <row r="1258" spans="1:36" ht="15" customHeight="1" x14ac:dyDescent="0.35">
      <c r="A1258">
        <v>10428918</v>
      </c>
      <c r="B1258" t="s">
        <v>36</v>
      </c>
      <c r="C1258" t="s">
        <v>37</v>
      </c>
      <c r="D1258" s="6" t="s">
        <v>38</v>
      </c>
      <c r="E1258" t="s">
        <v>3802</v>
      </c>
      <c r="F1258" t="s">
        <v>40</v>
      </c>
      <c r="G1258" t="s">
        <v>41</v>
      </c>
      <c r="H1258" t="s">
        <v>3803</v>
      </c>
      <c r="I1258" t="s">
        <v>43</v>
      </c>
      <c r="J1258">
        <v>2</v>
      </c>
      <c r="K1258" t="s">
        <v>44</v>
      </c>
      <c r="L1258" t="s">
        <v>45</v>
      </c>
      <c r="M1258" t="s">
        <v>46</v>
      </c>
      <c r="N1258" s="7">
        <v>1</v>
      </c>
      <c r="O1258" s="8">
        <v>45631.422592592593</v>
      </c>
      <c r="P1258" s="9">
        <v>45634</v>
      </c>
      <c r="Q1258" t="s">
        <v>74</v>
      </c>
      <c r="R1258" t="s">
        <v>48</v>
      </c>
      <c r="S1258" t="s">
        <v>49</v>
      </c>
      <c r="T1258" t="s">
        <v>59</v>
      </c>
      <c r="U1258" t="s">
        <v>3804</v>
      </c>
      <c r="V1258">
        <v>16600</v>
      </c>
      <c r="W1258" t="s">
        <v>48</v>
      </c>
      <c r="X1258" t="s">
        <v>61</v>
      </c>
      <c r="Y1258" t="s">
        <v>54</v>
      </c>
      <c r="Z1258" s="12">
        <f>IF(N1258&lt;=1,9,9+0.8*ROUNDUP(N1258-1,0))</f>
        <v>9</v>
      </c>
      <c r="AA1258" s="11">
        <v>-2</v>
      </c>
      <c r="AB1258" s="11">
        <v>0</v>
      </c>
      <c r="AC1258" s="11">
        <v>0</v>
      </c>
      <c r="AD1258" s="11">
        <v>0</v>
      </c>
      <c r="AE1258" s="11">
        <v>0</v>
      </c>
      <c r="AF1258" s="11">
        <f t="shared" si="57"/>
        <v>0.42</v>
      </c>
      <c r="AG1258" s="11">
        <f t="shared" si="58"/>
        <v>7.42</v>
      </c>
      <c r="AH1258" s="11">
        <v>0</v>
      </c>
      <c r="AI1258" s="11">
        <f t="shared" si="59"/>
        <v>7.42</v>
      </c>
      <c r="AJ1258" t="s">
        <v>62</v>
      </c>
    </row>
    <row r="1259" spans="1:36" ht="15" customHeight="1" x14ac:dyDescent="0.35">
      <c r="A1259">
        <v>10428918</v>
      </c>
      <c r="B1259" t="s">
        <v>36</v>
      </c>
      <c r="C1259" t="s">
        <v>37</v>
      </c>
      <c r="D1259" s="6" t="s">
        <v>38</v>
      </c>
      <c r="E1259" t="s">
        <v>3805</v>
      </c>
      <c r="F1259" t="s">
        <v>40</v>
      </c>
      <c r="G1259" t="s">
        <v>41</v>
      </c>
      <c r="H1259" t="s">
        <v>2236</v>
      </c>
      <c r="I1259" t="s">
        <v>43</v>
      </c>
      <c r="J1259">
        <v>2</v>
      </c>
      <c r="K1259" t="s">
        <v>44</v>
      </c>
      <c r="L1259" t="s">
        <v>45</v>
      </c>
      <c r="M1259" t="s">
        <v>46</v>
      </c>
      <c r="N1259" s="7">
        <v>1</v>
      </c>
      <c r="O1259" s="8">
        <v>45631.839745370373</v>
      </c>
      <c r="P1259" s="9">
        <v>45634</v>
      </c>
      <c r="Q1259" t="s">
        <v>58</v>
      </c>
      <c r="R1259" t="s">
        <v>48</v>
      </c>
      <c r="S1259" t="s">
        <v>49</v>
      </c>
      <c r="T1259" t="s">
        <v>69</v>
      </c>
      <c r="U1259" t="s">
        <v>3806</v>
      </c>
      <c r="V1259">
        <v>80350</v>
      </c>
      <c r="W1259" t="s">
        <v>48</v>
      </c>
      <c r="X1259" t="s">
        <v>761</v>
      </c>
      <c r="Y1259" t="s">
        <v>54</v>
      </c>
      <c r="Z1259" s="12">
        <f>IF(N1259&lt;=1,9,9+0.8*ROUNDUP(N1259-1,0))</f>
        <v>9</v>
      </c>
      <c r="AA1259" s="11">
        <v>-2</v>
      </c>
      <c r="AB1259" s="11">
        <v>0</v>
      </c>
      <c r="AC1259" s="11">
        <v>0</v>
      </c>
      <c r="AD1259" s="11">
        <v>0</v>
      </c>
      <c r="AE1259" s="11">
        <v>0</v>
      </c>
      <c r="AF1259" s="11">
        <f t="shared" si="57"/>
        <v>0.42</v>
      </c>
      <c r="AG1259" s="11">
        <f t="shared" si="58"/>
        <v>7.42</v>
      </c>
      <c r="AH1259" s="11">
        <v>0</v>
      </c>
      <c r="AI1259" s="11">
        <f t="shared" si="59"/>
        <v>7.42</v>
      </c>
      <c r="AJ1259" t="s">
        <v>62</v>
      </c>
    </row>
    <row r="1260" spans="1:36" ht="15" customHeight="1" x14ac:dyDescent="0.35">
      <c r="A1260">
        <v>10428918</v>
      </c>
      <c r="B1260" t="s">
        <v>36</v>
      </c>
      <c r="C1260" t="s">
        <v>37</v>
      </c>
      <c r="D1260" s="6" t="s">
        <v>38</v>
      </c>
      <c r="E1260" t="s">
        <v>3807</v>
      </c>
      <c r="F1260" t="s">
        <v>40</v>
      </c>
      <c r="G1260" t="s">
        <v>41</v>
      </c>
      <c r="H1260" t="s">
        <v>3808</v>
      </c>
      <c r="I1260" t="s">
        <v>43</v>
      </c>
      <c r="J1260">
        <v>2</v>
      </c>
      <c r="K1260" t="s">
        <v>44</v>
      </c>
      <c r="L1260" t="s">
        <v>45</v>
      </c>
      <c r="M1260" t="s">
        <v>46</v>
      </c>
      <c r="N1260" s="7">
        <v>1</v>
      </c>
      <c r="O1260" s="8">
        <v>45631.800324074073</v>
      </c>
      <c r="P1260" s="9">
        <v>45634</v>
      </c>
      <c r="Q1260" t="s">
        <v>58</v>
      </c>
      <c r="R1260" t="s">
        <v>48</v>
      </c>
      <c r="S1260" t="s">
        <v>49</v>
      </c>
      <c r="T1260" t="s">
        <v>693</v>
      </c>
      <c r="U1260" t="s">
        <v>3809</v>
      </c>
      <c r="V1260">
        <v>2400</v>
      </c>
      <c r="W1260" t="s">
        <v>48</v>
      </c>
      <c r="X1260" t="s">
        <v>1874</v>
      </c>
      <c r="Y1260" t="s">
        <v>54</v>
      </c>
      <c r="Z1260" s="12">
        <f>IF(N1260&lt;=1,9,9+0.8*ROUNDUP(N1260-1,0))</f>
        <v>9</v>
      </c>
      <c r="AA1260" s="11">
        <v>-2</v>
      </c>
      <c r="AB1260" s="11">
        <v>0</v>
      </c>
      <c r="AC1260" s="11">
        <v>0</v>
      </c>
      <c r="AD1260" s="11">
        <v>0</v>
      </c>
      <c r="AE1260" s="11">
        <v>0</v>
      </c>
      <c r="AF1260" s="11">
        <f t="shared" si="57"/>
        <v>0.42</v>
      </c>
      <c r="AG1260" s="11">
        <f t="shared" si="58"/>
        <v>7.42</v>
      </c>
      <c r="AH1260" s="11">
        <v>0</v>
      </c>
      <c r="AI1260" s="11">
        <f t="shared" si="59"/>
        <v>7.42</v>
      </c>
      <c r="AJ1260" t="s">
        <v>62</v>
      </c>
    </row>
    <row r="1261" spans="1:36" ht="15" customHeight="1" x14ac:dyDescent="0.35">
      <c r="A1261">
        <v>10428918</v>
      </c>
      <c r="B1261" t="s">
        <v>36</v>
      </c>
      <c r="C1261" t="s">
        <v>37</v>
      </c>
      <c r="D1261" s="6" t="s">
        <v>38</v>
      </c>
      <c r="E1261" t="s">
        <v>3810</v>
      </c>
      <c r="F1261" t="s">
        <v>40</v>
      </c>
      <c r="G1261" t="s">
        <v>41</v>
      </c>
      <c r="H1261" t="s">
        <v>3811</v>
      </c>
      <c r="I1261" t="s">
        <v>43</v>
      </c>
      <c r="J1261">
        <v>2</v>
      </c>
      <c r="K1261" t="s">
        <v>44</v>
      </c>
      <c r="L1261" t="s">
        <v>45</v>
      </c>
      <c r="M1261" t="s">
        <v>46</v>
      </c>
      <c r="N1261" s="7">
        <v>1</v>
      </c>
      <c r="O1261" s="8">
        <v>45631.796585648146</v>
      </c>
      <c r="P1261" s="9">
        <v>45634</v>
      </c>
      <c r="Q1261" t="s">
        <v>58</v>
      </c>
      <c r="R1261" t="s">
        <v>48</v>
      </c>
      <c r="S1261" t="s">
        <v>49</v>
      </c>
      <c r="T1261" t="s">
        <v>80</v>
      </c>
      <c r="U1261" t="s">
        <v>3812</v>
      </c>
      <c r="V1261">
        <v>8000</v>
      </c>
      <c r="W1261" t="s">
        <v>48</v>
      </c>
      <c r="X1261" t="s">
        <v>145</v>
      </c>
      <c r="Y1261" t="s">
        <v>54</v>
      </c>
      <c r="Z1261" s="12">
        <f>IF(N1261&lt;=1,9,9+0.8*ROUNDUP(N1261-1,0))</f>
        <v>9</v>
      </c>
      <c r="AA1261" s="11">
        <v>-2</v>
      </c>
      <c r="AB1261" s="11">
        <v>0</v>
      </c>
      <c r="AC1261" s="11">
        <v>0</v>
      </c>
      <c r="AD1261" s="11">
        <v>0</v>
      </c>
      <c r="AE1261" s="11">
        <v>0</v>
      </c>
      <c r="AF1261" s="11">
        <f t="shared" si="57"/>
        <v>0.42</v>
      </c>
      <c r="AG1261" s="11">
        <f t="shared" si="58"/>
        <v>7.42</v>
      </c>
      <c r="AH1261" s="11">
        <v>0</v>
      </c>
      <c r="AI1261" s="11">
        <f t="shared" si="59"/>
        <v>7.42</v>
      </c>
      <c r="AJ1261" t="s">
        <v>62</v>
      </c>
    </row>
    <row r="1262" spans="1:36" ht="15" customHeight="1" x14ac:dyDescent="0.35">
      <c r="A1262">
        <v>10428918</v>
      </c>
      <c r="B1262" t="s">
        <v>36</v>
      </c>
      <c r="C1262" t="s">
        <v>37</v>
      </c>
      <c r="D1262" s="6" t="s">
        <v>38</v>
      </c>
      <c r="E1262" t="s">
        <v>3813</v>
      </c>
      <c r="F1262" t="s">
        <v>40</v>
      </c>
      <c r="G1262" t="s">
        <v>41</v>
      </c>
      <c r="H1262" t="s">
        <v>3814</v>
      </c>
      <c r="I1262" t="s">
        <v>43</v>
      </c>
      <c r="J1262">
        <v>2</v>
      </c>
      <c r="K1262" t="s">
        <v>44</v>
      </c>
      <c r="L1262" t="s">
        <v>45</v>
      </c>
      <c r="M1262" t="s">
        <v>46</v>
      </c>
      <c r="N1262" s="7">
        <v>1</v>
      </c>
      <c r="O1262" s="8">
        <v>45631.823518518519</v>
      </c>
      <c r="P1262" s="9">
        <v>45634</v>
      </c>
      <c r="Q1262" t="s">
        <v>58</v>
      </c>
      <c r="R1262" t="s">
        <v>48</v>
      </c>
      <c r="S1262" t="s">
        <v>49</v>
      </c>
      <c r="T1262" t="s">
        <v>80</v>
      </c>
      <c r="U1262" t="s">
        <v>3815</v>
      </c>
      <c r="V1262">
        <v>6000</v>
      </c>
      <c r="W1262" t="s">
        <v>48</v>
      </c>
      <c r="X1262" t="s">
        <v>522</v>
      </c>
      <c r="Y1262" t="s">
        <v>54</v>
      </c>
      <c r="Z1262" s="12">
        <f>IF(N1262&lt;=1,9,9+0.8*ROUNDUP(N1262-1,0))</f>
        <v>9</v>
      </c>
      <c r="AA1262" s="11">
        <v>-2</v>
      </c>
      <c r="AB1262" s="11">
        <v>0</v>
      </c>
      <c r="AC1262" s="11">
        <v>0</v>
      </c>
      <c r="AD1262" s="11">
        <v>0</v>
      </c>
      <c r="AE1262" s="11">
        <v>0</v>
      </c>
      <c r="AF1262" s="11">
        <f t="shared" si="57"/>
        <v>0.42</v>
      </c>
      <c r="AG1262" s="11">
        <f t="shared" si="58"/>
        <v>7.42</v>
      </c>
      <c r="AH1262" s="11">
        <v>0</v>
      </c>
      <c r="AI1262" s="11">
        <f t="shared" si="59"/>
        <v>7.42</v>
      </c>
      <c r="AJ1262" t="s">
        <v>62</v>
      </c>
    </row>
    <row r="1263" spans="1:36" ht="15" customHeight="1" x14ac:dyDescent="0.35">
      <c r="A1263">
        <v>10428918</v>
      </c>
      <c r="B1263" t="s">
        <v>36</v>
      </c>
      <c r="C1263" t="s">
        <v>37</v>
      </c>
      <c r="D1263" s="6" t="s">
        <v>38</v>
      </c>
      <c r="E1263" t="s">
        <v>3816</v>
      </c>
      <c r="F1263" t="s">
        <v>40</v>
      </c>
      <c r="G1263" t="s">
        <v>41</v>
      </c>
      <c r="H1263" t="s">
        <v>3817</v>
      </c>
      <c r="I1263" t="s">
        <v>43</v>
      </c>
      <c r="J1263">
        <v>2</v>
      </c>
      <c r="K1263" t="s">
        <v>44</v>
      </c>
      <c r="L1263" t="s">
        <v>45</v>
      </c>
      <c r="M1263" t="s">
        <v>46</v>
      </c>
      <c r="N1263" s="7">
        <v>1</v>
      </c>
      <c r="O1263" s="8">
        <v>45632.732905092591</v>
      </c>
      <c r="P1263" s="9">
        <v>45634</v>
      </c>
      <c r="Q1263" t="s">
        <v>74</v>
      </c>
      <c r="R1263" t="s">
        <v>48</v>
      </c>
      <c r="S1263" t="s">
        <v>49</v>
      </c>
      <c r="T1263" t="s">
        <v>59</v>
      </c>
      <c r="U1263" t="s">
        <v>3818</v>
      </c>
      <c r="V1263">
        <v>16400</v>
      </c>
      <c r="W1263" t="s">
        <v>48</v>
      </c>
      <c r="X1263" t="s">
        <v>61</v>
      </c>
      <c r="Y1263" t="s">
        <v>54</v>
      </c>
      <c r="Z1263" s="12">
        <f>IF(N1263&lt;=1,9,9+0.8*ROUNDUP(N1263-1,0))</f>
        <v>9</v>
      </c>
      <c r="AA1263" s="11">
        <v>-2</v>
      </c>
      <c r="AB1263" s="11">
        <v>0</v>
      </c>
      <c r="AC1263" s="11">
        <v>0</v>
      </c>
      <c r="AD1263" s="11">
        <v>0</v>
      </c>
      <c r="AE1263" s="11">
        <v>0</v>
      </c>
      <c r="AF1263" s="11">
        <f t="shared" si="57"/>
        <v>0.42</v>
      </c>
      <c r="AG1263" s="11">
        <f t="shared" si="58"/>
        <v>7.42</v>
      </c>
      <c r="AH1263" s="11">
        <v>0</v>
      </c>
      <c r="AI1263" s="11">
        <f t="shared" si="59"/>
        <v>7.42</v>
      </c>
      <c r="AJ1263" t="s">
        <v>62</v>
      </c>
    </row>
    <row r="1264" spans="1:36" ht="15" customHeight="1" x14ac:dyDescent="0.35">
      <c r="A1264">
        <v>10428918</v>
      </c>
      <c r="B1264" t="s">
        <v>36</v>
      </c>
      <c r="C1264" t="s">
        <v>37</v>
      </c>
      <c r="D1264" s="6" t="s">
        <v>38</v>
      </c>
      <c r="E1264" t="s">
        <v>3819</v>
      </c>
      <c r="F1264" t="s">
        <v>40</v>
      </c>
      <c r="G1264" t="s">
        <v>41</v>
      </c>
      <c r="H1264" t="s">
        <v>3820</v>
      </c>
      <c r="I1264" t="s">
        <v>43</v>
      </c>
      <c r="J1264">
        <v>2</v>
      </c>
      <c r="K1264" t="s">
        <v>44</v>
      </c>
      <c r="L1264" t="s">
        <v>45</v>
      </c>
      <c r="M1264" t="s">
        <v>46</v>
      </c>
      <c r="N1264" s="7">
        <v>4</v>
      </c>
      <c r="O1264" s="8">
        <v>45630.829074074078</v>
      </c>
      <c r="P1264" s="9">
        <v>45634</v>
      </c>
      <c r="Q1264" t="s">
        <v>74</v>
      </c>
      <c r="R1264" t="s">
        <v>48</v>
      </c>
      <c r="S1264" t="s">
        <v>49</v>
      </c>
      <c r="T1264" t="s">
        <v>117</v>
      </c>
      <c r="U1264" t="s">
        <v>3821</v>
      </c>
      <c r="V1264">
        <v>56000</v>
      </c>
      <c r="W1264" t="s">
        <v>48</v>
      </c>
      <c r="X1264" t="s">
        <v>584</v>
      </c>
      <c r="Y1264" t="s">
        <v>54</v>
      </c>
      <c r="Z1264" s="12">
        <f>IF(N1264&lt;=1,9,9+0.8*ROUNDUP(N1264-1,0))</f>
        <v>11.4</v>
      </c>
      <c r="AA1264" s="11">
        <v>-2</v>
      </c>
      <c r="AB1264" s="11">
        <v>0</v>
      </c>
      <c r="AC1264" s="11">
        <v>0</v>
      </c>
      <c r="AD1264" s="11">
        <v>0</v>
      </c>
      <c r="AE1264" s="11">
        <v>0</v>
      </c>
      <c r="AF1264" s="11">
        <f t="shared" si="57"/>
        <v>0.56399999999999995</v>
      </c>
      <c r="AG1264" s="11">
        <f t="shared" si="58"/>
        <v>9.9640000000000004</v>
      </c>
      <c r="AH1264" s="11">
        <v>0</v>
      </c>
      <c r="AI1264" s="11">
        <f t="shared" si="59"/>
        <v>9.9640000000000004</v>
      </c>
      <c r="AJ1264" t="s">
        <v>62</v>
      </c>
    </row>
    <row r="1265" spans="1:36" ht="15" customHeight="1" x14ac:dyDescent="0.35">
      <c r="A1265">
        <v>10428918</v>
      </c>
      <c r="B1265" t="s">
        <v>36</v>
      </c>
      <c r="C1265" t="s">
        <v>37</v>
      </c>
      <c r="D1265" s="6" t="s">
        <v>38</v>
      </c>
      <c r="E1265" t="s">
        <v>3822</v>
      </c>
      <c r="F1265" t="s">
        <v>40</v>
      </c>
      <c r="G1265" t="s">
        <v>41</v>
      </c>
      <c r="H1265" t="s">
        <v>570</v>
      </c>
      <c r="I1265" t="s">
        <v>43</v>
      </c>
      <c r="J1265">
        <v>2</v>
      </c>
      <c r="K1265" t="s">
        <v>44</v>
      </c>
      <c r="L1265" t="s">
        <v>45</v>
      </c>
      <c r="M1265" t="s">
        <v>46</v>
      </c>
      <c r="N1265" s="7">
        <v>8</v>
      </c>
      <c r="O1265" s="8">
        <v>45631.73537037037</v>
      </c>
      <c r="P1265" s="9">
        <v>45634</v>
      </c>
      <c r="Q1265" t="s">
        <v>74</v>
      </c>
      <c r="R1265" t="s">
        <v>48</v>
      </c>
      <c r="S1265" t="s">
        <v>49</v>
      </c>
      <c r="T1265" t="s">
        <v>117</v>
      </c>
      <c r="U1265" t="s">
        <v>571</v>
      </c>
      <c r="V1265">
        <v>40000</v>
      </c>
      <c r="W1265" t="s">
        <v>48</v>
      </c>
      <c r="X1265" t="s">
        <v>473</v>
      </c>
      <c r="Y1265" t="s">
        <v>54</v>
      </c>
      <c r="Z1265" s="12">
        <f>IF(N1265&lt;=1,9,9+0.8*ROUNDUP(N1265-1,0))</f>
        <v>14.600000000000001</v>
      </c>
      <c r="AA1265" s="11">
        <v>-2</v>
      </c>
      <c r="AB1265" s="11">
        <v>0</v>
      </c>
      <c r="AC1265" s="11">
        <v>0</v>
      </c>
      <c r="AD1265" s="11">
        <v>0</v>
      </c>
      <c r="AE1265" s="11">
        <v>0</v>
      </c>
      <c r="AF1265" s="11">
        <f t="shared" si="57"/>
        <v>0.75600000000000001</v>
      </c>
      <c r="AG1265" s="11">
        <f t="shared" si="58"/>
        <v>13.356000000000002</v>
      </c>
      <c r="AH1265" s="11">
        <v>0</v>
      </c>
      <c r="AI1265" s="11">
        <f t="shared" si="59"/>
        <v>13.356000000000002</v>
      </c>
      <c r="AJ1265" t="s">
        <v>62</v>
      </c>
    </row>
    <row r="1266" spans="1:36" ht="15" customHeight="1" x14ac:dyDescent="0.35">
      <c r="A1266">
        <v>10428918</v>
      </c>
      <c r="B1266" t="s">
        <v>36</v>
      </c>
      <c r="C1266" t="s">
        <v>37</v>
      </c>
      <c r="D1266" s="6" t="s">
        <v>38</v>
      </c>
      <c r="E1266" t="s">
        <v>3823</v>
      </c>
      <c r="F1266" t="s">
        <v>40</v>
      </c>
      <c r="G1266" t="s">
        <v>41</v>
      </c>
      <c r="H1266" t="s">
        <v>3824</v>
      </c>
      <c r="I1266" t="s">
        <v>43</v>
      </c>
      <c r="J1266">
        <v>2</v>
      </c>
      <c r="K1266" t="s">
        <v>44</v>
      </c>
      <c r="L1266" t="s">
        <v>45</v>
      </c>
      <c r="M1266" t="s">
        <v>46</v>
      </c>
      <c r="N1266" s="7">
        <v>1</v>
      </c>
      <c r="O1266" s="8">
        <v>45629.808981481481</v>
      </c>
      <c r="P1266" s="9">
        <v>45634</v>
      </c>
      <c r="Q1266" t="s">
        <v>74</v>
      </c>
      <c r="R1266" t="s">
        <v>48</v>
      </c>
      <c r="S1266" t="s">
        <v>49</v>
      </c>
      <c r="T1266" t="s">
        <v>101</v>
      </c>
      <c r="U1266" t="s">
        <v>3825</v>
      </c>
      <c r="V1266">
        <v>30020</v>
      </c>
      <c r="W1266" t="s">
        <v>48</v>
      </c>
      <c r="X1266" t="s">
        <v>418</v>
      </c>
      <c r="Y1266" t="s">
        <v>54</v>
      </c>
      <c r="Z1266" s="12">
        <f>IF(N1266&lt;=1,9,9+0.8*ROUNDUP(N1266-1,0))</f>
        <v>9</v>
      </c>
      <c r="AA1266" s="11">
        <v>-2</v>
      </c>
      <c r="AB1266" s="11">
        <v>0</v>
      </c>
      <c r="AC1266" s="11">
        <v>0</v>
      </c>
      <c r="AD1266" s="11">
        <v>0</v>
      </c>
      <c r="AE1266" s="11">
        <v>0</v>
      </c>
      <c r="AF1266" s="11">
        <f t="shared" si="57"/>
        <v>0.42</v>
      </c>
      <c r="AG1266" s="11">
        <f t="shared" si="58"/>
        <v>7.42</v>
      </c>
      <c r="AH1266" s="11">
        <v>0</v>
      </c>
      <c r="AI1266" s="11">
        <f t="shared" si="59"/>
        <v>7.42</v>
      </c>
      <c r="AJ1266" t="s">
        <v>62</v>
      </c>
    </row>
    <row r="1267" spans="1:36" ht="15" customHeight="1" x14ac:dyDescent="0.35">
      <c r="A1267">
        <v>10428918</v>
      </c>
      <c r="B1267" t="s">
        <v>36</v>
      </c>
      <c r="C1267" t="s">
        <v>37</v>
      </c>
      <c r="D1267" s="6" t="s">
        <v>38</v>
      </c>
      <c r="E1267" t="s">
        <v>3826</v>
      </c>
      <c r="F1267" t="s">
        <v>40</v>
      </c>
      <c r="G1267" t="s">
        <v>41</v>
      </c>
      <c r="H1267" t="s">
        <v>3827</v>
      </c>
      <c r="I1267" t="s">
        <v>43</v>
      </c>
      <c r="J1267">
        <v>2</v>
      </c>
      <c r="K1267" t="s">
        <v>44</v>
      </c>
      <c r="L1267" t="s">
        <v>45</v>
      </c>
      <c r="M1267" t="s">
        <v>46</v>
      </c>
      <c r="N1267" s="7">
        <v>1</v>
      </c>
      <c r="O1267" s="8">
        <v>45631.834733796299</v>
      </c>
      <c r="P1267" s="9">
        <v>45634</v>
      </c>
      <c r="Q1267" t="s">
        <v>58</v>
      </c>
      <c r="R1267" t="s">
        <v>48</v>
      </c>
      <c r="S1267" t="s">
        <v>49</v>
      </c>
      <c r="T1267" t="s">
        <v>69</v>
      </c>
      <c r="U1267" t="s">
        <v>3828</v>
      </c>
      <c r="V1267">
        <v>81900</v>
      </c>
      <c r="W1267" t="s">
        <v>48</v>
      </c>
      <c r="X1267" t="s">
        <v>1310</v>
      </c>
      <c r="Y1267" t="s">
        <v>54</v>
      </c>
      <c r="Z1267" s="12">
        <f>IF(N1267&lt;=1,9,9+0.8*ROUNDUP(N1267-1,0))</f>
        <v>9</v>
      </c>
      <c r="AA1267" s="11">
        <v>-2</v>
      </c>
      <c r="AB1267" s="11">
        <v>0</v>
      </c>
      <c r="AC1267" s="11">
        <v>0</v>
      </c>
      <c r="AD1267" s="11">
        <v>0</v>
      </c>
      <c r="AE1267" s="11">
        <v>0</v>
      </c>
      <c r="AF1267" s="11">
        <f t="shared" si="57"/>
        <v>0.42</v>
      </c>
      <c r="AG1267" s="11">
        <f t="shared" si="58"/>
        <v>7.42</v>
      </c>
      <c r="AH1267" s="11">
        <v>0</v>
      </c>
      <c r="AI1267" s="11">
        <f t="shared" si="59"/>
        <v>7.42</v>
      </c>
      <c r="AJ1267" t="s">
        <v>62</v>
      </c>
    </row>
    <row r="1268" spans="1:36" ht="15" customHeight="1" x14ac:dyDescent="0.35">
      <c r="A1268">
        <v>10428918</v>
      </c>
      <c r="B1268" t="s">
        <v>36</v>
      </c>
      <c r="C1268" t="s">
        <v>37</v>
      </c>
      <c r="D1268" s="6" t="s">
        <v>38</v>
      </c>
      <c r="E1268" t="s">
        <v>3829</v>
      </c>
      <c r="F1268" t="s">
        <v>40</v>
      </c>
      <c r="G1268" t="s">
        <v>41</v>
      </c>
      <c r="H1268" t="s">
        <v>3830</v>
      </c>
      <c r="I1268" t="s">
        <v>43</v>
      </c>
      <c r="J1268">
        <v>2</v>
      </c>
      <c r="K1268" t="s">
        <v>44</v>
      </c>
      <c r="L1268" t="s">
        <v>45</v>
      </c>
      <c r="M1268" t="s">
        <v>46</v>
      </c>
      <c r="N1268" s="7">
        <v>1</v>
      </c>
      <c r="O1268" s="8">
        <v>45631.800324074073</v>
      </c>
      <c r="P1268" s="9">
        <v>45634</v>
      </c>
      <c r="Q1268" t="s">
        <v>58</v>
      </c>
      <c r="R1268" t="s">
        <v>48</v>
      </c>
      <c r="S1268" t="s">
        <v>49</v>
      </c>
      <c r="T1268" t="s">
        <v>80</v>
      </c>
      <c r="U1268" t="s">
        <v>3831</v>
      </c>
      <c r="V1268">
        <v>6200</v>
      </c>
      <c r="W1268" t="s">
        <v>48</v>
      </c>
      <c r="X1268" t="s">
        <v>522</v>
      </c>
      <c r="Y1268" t="s">
        <v>54</v>
      </c>
      <c r="Z1268" s="12">
        <f>IF(N1268&lt;=1,9,9+0.8*ROUNDUP(N1268-1,0))</f>
        <v>9</v>
      </c>
      <c r="AA1268" s="11">
        <v>-2</v>
      </c>
      <c r="AB1268" s="11">
        <v>0</v>
      </c>
      <c r="AC1268" s="11">
        <v>0</v>
      </c>
      <c r="AD1268" s="11">
        <v>0</v>
      </c>
      <c r="AE1268" s="11">
        <v>0</v>
      </c>
      <c r="AF1268" s="11">
        <f t="shared" si="57"/>
        <v>0.42</v>
      </c>
      <c r="AG1268" s="11">
        <f t="shared" si="58"/>
        <v>7.42</v>
      </c>
      <c r="AH1268" s="11">
        <v>0</v>
      </c>
      <c r="AI1268" s="11">
        <f t="shared" si="59"/>
        <v>7.42</v>
      </c>
      <c r="AJ1268" t="s">
        <v>62</v>
      </c>
    </row>
    <row r="1269" spans="1:36" ht="15" customHeight="1" x14ac:dyDescent="0.35">
      <c r="A1269">
        <v>10428918</v>
      </c>
      <c r="B1269" t="s">
        <v>36</v>
      </c>
      <c r="C1269" t="s">
        <v>37</v>
      </c>
      <c r="D1269" s="6" t="s">
        <v>38</v>
      </c>
      <c r="E1269" t="s">
        <v>3832</v>
      </c>
      <c r="F1269" t="s">
        <v>40</v>
      </c>
      <c r="G1269" t="s">
        <v>41</v>
      </c>
      <c r="H1269" t="s">
        <v>3833</v>
      </c>
      <c r="I1269" t="s">
        <v>43</v>
      </c>
      <c r="J1269">
        <v>2</v>
      </c>
      <c r="K1269" t="s">
        <v>44</v>
      </c>
      <c r="L1269" t="s">
        <v>45</v>
      </c>
      <c r="M1269" t="s">
        <v>46</v>
      </c>
      <c r="N1269" s="7">
        <v>1</v>
      </c>
      <c r="O1269" s="8">
        <v>45631.834733796299</v>
      </c>
      <c r="P1269" s="9">
        <v>45634</v>
      </c>
      <c r="Q1269" t="s">
        <v>58</v>
      </c>
      <c r="R1269" t="s">
        <v>48</v>
      </c>
      <c r="S1269" t="s">
        <v>49</v>
      </c>
      <c r="T1269" t="s">
        <v>101</v>
      </c>
      <c r="U1269" t="s">
        <v>3834</v>
      </c>
      <c r="V1269">
        <v>32000</v>
      </c>
      <c r="W1269" t="s">
        <v>48</v>
      </c>
      <c r="X1269" t="s">
        <v>53</v>
      </c>
      <c r="Y1269" t="s">
        <v>54</v>
      </c>
      <c r="Z1269" s="12">
        <f>IF(N1269&lt;=1,9,9+0.8*ROUNDUP(N1269-1,0))</f>
        <v>9</v>
      </c>
      <c r="AA1269" s="11">
        <v>-2</v>
      </c>
      <c r="AB1269" s="11">
        <v>0</v>
      </c>
      <c r="AC1269" s="11">
        <v>0</v>
      </c>
      <c r="AD1269" s="11">
        <v>0</v>
      </c>
      <c r="AE1269" s="11">
        <v>0</v>
      </c>
      <c r="AF1269" s="11">
        <f t="shared" si="57"/>
        <v>0.42</v>
      </c>
      <c r="AG1269" s="11">
        <f t="shared" si="58"/>
        <v>7.42</v>
      </c>
      <c r="AH1269" s="11">
        <v>0</v>
      </c>
      <c r="AI1269" s="11">
        <f t="shared" si="59"/>
        <v>7.42</v>
      </c>
      <c r="AJ1269" t="s">
        <v>62</v>
      </c>
    </row>
    <row r="1270" spans="1:36" ht="15" customHeight="1" x14ac:dyDescent="0.35">
      <c r="A1270">
        <v>10428918</v>
      </c>
      <c r="B1270" t="s">
        <v>36</v>
      </c>
      <c r="C1270" t="s">
        <v>37</v>
      </c>
      <c r="D1270" s="6" t="s">
        <v>38</v>
      </c>
      <c r="E1270" t="s">
        <v>3835</v>
      </c>
      <c r="F1270" t="s">
        <v>40</v>
      </c>
      <c r="G1270" t="s">
        <v>41</v>
      </c>
      <c r="H1270" t="s">
        <v>3836</v>
      </c>
      <c r="I1270" t="s">
        <v>43</v>
      </c>
      <c r="J1270">
        <v>2</v>
      </c>
      <c r="K1270" t="s">
        <v>44</v>
      </c>
      <c r="L1270" t="s">
        <v>45</v>
      </c>
      <c r="M1270" t="s">
        <v>46</v>
      </c>
      <c r="N1270" s="7">
        <v>1</v>
      </c>
      <c r="O1270" s="8">
        <v>45632.671574074076</v>
      </c>
      <c r="P1270" s="9">
        <v>45634</v>
      </c>
      <c r="Q1270" t="s">
        <v>74</v>
      </c>
      <c r="R1270" t="s">
        <v>48</v>
      </c>
      <c r="S1270" t="s">
        <v>49</v>
      </c>
      <c r="T1270" t="s">
        <v>117</v>
      </c>
      <c r="U1270" t="s">
        <v>3837</v>
      </c>
      <c r="V1270">
        <v>68000</v>
      </c>
      <c r="W1270" t="s">
        <v>48</v>
      </c>
      <c r="X1270" t="s">
        <v>584</v>
      </c>
      <c r="Y1270" t="s">
        <v>54</v>
      </c>
      <c r="Z1270" s="12">
        <f>IF(N1270&lt;=1,9,9+0.8*ROUNDUP(N1270-1,0))</f>
        <v>9</v>
      </c>
      <c r="AA1270" s="11">
        <v>-2</v>
      </c>
      <c r="AB1270" s="11">
        <v>0</v>
      </c>
      <c r="AC1270" s="11">
        <v>0</v>
      </c>
      <c r="AD1270" s="11">
        <v>0</v>
      </c>
      <c r="AE1270" s="11">
        <v>0</v>
      </c>
      <c r="AF1270" s="11">
        <f t="shared" si="57"/>
        <v>0.42</v>
      </c>
      <c r="AG1270" s="11">
        <f t="shared" si="58"/>
        <v>7.42</v>
      </c>
      <c r="AH1270" s="11">
        <v>0</v>
      </c>
      <c r="AI1270" s="11">
        <f t="shared" si="59"/>
        <v>7.42</v>
      </c>
      <c r="AJ1270" t="s">
        <v>62</v>
      </c>
    </row>
    <row r="1271" spans="1:36" ht="15" customHeight="1" x14ac:dyDescent="0.35">
      <c r="A1271">
        <v>10428918</v>
      </c>
      <c r="B1271" t="s">
        <v>36</v>
      </c>
      <c r="C1271" t="s">
        <v>37</v>
      </c>
      <c r="D1271" s="6" t="s">
        <v>38</v>
      </c>
      <c r="E1271" t="s">
        <v>3838</v>
      </c>
      <c r="F1271" t="s">
        <v>40</v>
      </c>
      <c r="G1271" t="s">
        <v>41</v>
      </c>
      <c r="H1271" t="s">
        <v>3839</v>
      </c>
      <c r="I1271" t="s">
        <v>43</v>
      </c>
      <c r="J1271">
        <v>2</v>
      </c>
      <c r="K1271" t="s">
        <v>44</v>
      </c>
      <c r="L1271" t="s">
        <v>45</v>
      </c>
      <c r="M1271" t="s">
        <v>46</v>
      </c>
      <c r="N1271" s="7">
        <v>1</v>
      </c>
      <c r="O1271" s="8">
        <v>45630.801481481481</v>
      </c>
      <c r="P1271" s="9">
        <v>45634</v>
      </c>
      <c r="Q1271" t="s">
        <v>74</v>
      </c>
      <c r="R1271" t="s">
        <v>48</v>
      </c>
      <c r="S1271" t="s">
        <v>49</v>
      </c>
      <c r="T1271" t="s">
        <v>80</v>
      </c>
      <c r="U1271" t="s">
        <v>3840</v>
      </c>
      <c r="V1271">
        <v>9010</v>
      </c>
      <c r="W1271" t="s">
        <v>48</v>
      </c>
      <c r="X1271" t="s">
        <v>690</v>
      </c>
      <c r="Y1271" t="s">
        <v>54</v>
      </c>
      <c r="Z1271" s="12">
        <f>IF(N1271&lt;=1,9,9+0.8*ROUNDUP(N1271-1,0))</f>
        <v>9</v>
      </c>
      <c r="AA1271" s="11">
        <v>-2</v>
      </c>
      <c r="AB1271" s="11">
        <v>0</v>
      </c>
      <c r="AC1271" s="11">
        <v>0</v>
      </c>
      <c r="AD1271" s="11">
        <v>0</v>
      </c>
      <c r="AE1271" s="11">
        <v>0</v>
      </c>
      <c r="AF1271" s="11">
        <f t="shared" si="57"/>
        <v>0.42</v>
      </c>
      <c r="AG1271" s="11">
        <f t="shared" si="58"/>
        <v>7.42</v>
      </c>
      <c r="AH1271" s="11">
        <v>0</v>
      </c>
      <c r="AI1271" s="11">
        <f t="shared" si="59"/>
        <v>7.42</v>
      </c>
      <c r="AJ1271" t="s">
        <v>62</v>
      </c>
    </row>
    <row r="1272" spans="1:36" ht="15" customHeight="1" x14ac:dyDescent="0.35">
      <c r="A1272">
        <v>10428918</v>
      </c>
      <c r="B1272" t="s">
        <v>36</v>
      </c>
      <c r="C1272" t="s">
        <v>37</v>
      </c>
      <c r="D1272" s="6" t="s">
        <v>38</v>
      </c>
      <c r="E1272" t="s">
        <v>3841</v>
      </c>
      <c r="F1272" t="s">
        <v>40</v>
      </c>
      <c r="G1272" t="s">
        <v>41</v>
      </c>
      <c r="H1272" t="s">
        <v>241</v>
      </c>
      <c r="I1272" t="s">
        <v>43</v>
      </c>
      <c r="J1272">
        <v>2</v>
      </c>
      <c r="K1272" t="s">
        <v>44</v>
      </c>
      <c r="L1272" t="s">
        <v>45</v>
      </c>
      <c r="M1272" t="s">
        <v>46</v>
      </c>
      <c r="N1272" s="7">
        <v>1</v>
      </c>
      <c r="O1272" s="8">
        <v>45633.4216087963</v>
      </c>
      <c r="P1272" s="9">
        <v>45634</v>
      </c>
      <c r="Q1272" t="s">
        <v>74</v>
      </c>
      <c r="R1272" t="s">
        <v>48</v>
      </c>
      <c r="S1272" t="s">
        <v>49</v>
      </c>
      <c r="T1272" t="s">
        <v>117</v>
      </c>
      <c r="U1272" t="s">
        <v>3842</v>
      </c>
      <c r="V1272">
        <v>46200</v>
      </c>
      <c r="W1272" t="s">
        <v>48</v>
      </c>
      <c r="X1272" t="s">
        <v>455</v>
      </c>
      <c r="Y1272" t="s">
        <v>54</v>
      </c>
      <c r="Z1272" s="12">
        <f>IF(N1272&lt;=1,9,9+0.8*ROUNDUP(N1272-1,0))</f>
        <v>9</v>
      </c>
      <c r="AA1272" s="11">
        <v>-2</v>
      </c>
      <c r="AB1272" s="11">
        <v>0</v>
      </c>
      <c r="AC1272" s="11">
        <v>0</v>
      </c>
      <c r="AD1272" s="11">
        <v>0</v>
      </c>
      <c r="AE1272" s="11">
        <v>0</v>
      </c>
      <c r="AF1272" s="11">
        <f t="shared" si="57"/>
        <v>0.42</v>
      </c>
      <c r="AG1272" s="11">
        <f t="shared" si="58"/>
        <v>7.42</v>
      </c>
      <c r="AH1272" s="11">
        <v>0</v>
      </c>
      <c r="AI1272" s="11">
        <f t="shared" si="59"/>
        <v>7.42</v>
      </c>
      <c r="AJ1272" t="s">
        <v>62</v>
      </c>
    </row>
    <row r="1273" spans="1:36" ht="15" customHeight="1" x14ac:dyDescent="0.35">
      <c r="A1273">
        <v>10428918</v>
      </c>
      <c r="B1273" t="s">
        <v>36</v>
      </c>
      <c r="C1273" t="s">
        <v>37</v>
      </c>
      <c r="D1273" s="6" t="s">
        <v>38</v>
      </c>
      <c r="E1273" t="s">
        <v>3843</v>
      </c>
      <c r="F1273" t="s">
        <v>40</v>
      </c>
      <c r="G1273" t="s">
        <v>41</v>
      </c>
      <c r="H1273" t="s">
        <v>3844</v>
      </c>
      <c r="I1273" t="s">
        <v>43</v>
      </c>
      <c r="J1273">
        <v>2</v>
      </c>
      <c r="K1273" t="s">
        <v>44</v>
      </c>
      <c r="L1273" t="s">
        <v>45</v>
      </c>
      <c r="M1273" t="s">
        <v>46</v>
      </c>
      <c r="N1273" s="7">
        <v>1</v>
      </c>
      <c r="O1273" s="8">
        <v>45631.796574074076</v>
      </c>
      <c r="P1273" s="9">
        <v>45634</v>
      </c>
      <c r="Q1273" t="s">
        <v>58</v>
      </c>
      <c r="R1273" t="s">
        <v>48</v>
      </c>
      <c r="S1273" t="s">
        <v>49</v>
      </c>
      <c r="T1273" t="s">
        <v>117</v>
      </c>
      <c r="U1273" t="s">
        <v>3845</v>
      </c>
      <c r="V1273">
        <v>43650</v>
      </c>
      <c r="W1273" t="s">
        <v>48</v>
      </c>
      <c r="X1273" t="s">
        <v>53</v>
      </c>
      <c r="Y1273" t="s">
        <v>54</v>
      </c>
      <c r="Z1273" s="12">
        <f>IF(N1273&lt;=1,9,9+0.8*ROUNDUP(N1273-1,0))</f>
        <v>9</v>
      </c>
      <c r="AA1273" s="11">
        <v>-2</v>
      </c>
      <c r="AB1273" s="11">
        <v>0</v>
      </c>
      <c r="AC1273" s="11">
        <v>0</v>
      </c>
      <c r="AD1273" s="11">
        <v>0</v>
      </c>
      <c r="AE1273" s="11">
        <v>0</v>
      </c>
      <c r="AF1273" s="11">
        <f t="shared" si="57"/>
        <v>0.42</v>
      </c>
      <c r="AG1273" s="11">
        <f t="shared" si="58"/>
        <v>7.42</v>
      </c>
      <c r="AH1273" s="11">
        <v>0</v>
      </c>
      <c r="AI1273" s="11">
        <f t="shared" si="59"/>
        <v>7.42</v>
      </c>
      <c r="AJ1273" t="s">
        <v>62</v>
      </c>
    </row>
    <row r="1274" spans="1:36" ht="15" customHeight="1" x14ac:dyDescent="0.35">
      <c r="A1274">
        <v>10428918</v>
      </c>
      <c r="B1274" t="s">
        <v>36</v>
      </c>
      <c r="C1274" t="s">
        <v>37</v>
      </c>
      <c r="D1274" s="6" t="s">
        <v>38</v>
      </c>
      <c r="E1274" t="s">
        <v>3846</v>
      </c>
      <c r="F1274" t="s">
        <v>40</v>
      </c>
      <c r="G1274" t="s">
        <v>41</v>
      </c>
      <c r="H1274" t="s">
        <v>3847</v>
      </c>
      <c r="I1274" t="s">
        <v>43</v>
      </c>
      <c r="J1274">
        <v>2</v>
      </c>
      <c r="K1274" t="s">
        <v>44</v>
      </c>
      <c r="L1274" t="s">
        <v>45</v>
      </c>
      <c r="M1274" t="s">
        <v>46</v>
      </c>
      <c r="N1274" s="7">
        <v>2</v>
      </c>
      <c r="O1274" s="8">
        <v>45631.800324074073</v>
      </c>
      <c r="P1274" s="9">
        <v>45634</v>
      </c>
      <c r="Q1274" t="s">
        <v>58</v>
      </c>
      <c r="R1274" t="s">
        <v>48</v>
      </c>
      <c r="S1274" t="s">
        <v>49</v>
      </c>
      <c r="T1274" t="s">
        <v>69</v>
      </c>
      <c r="U1274" t="s">
        <v>3848</v>
      </c>
      <c r="V1274">
        <v>81300</v>
      </c>
      <c r="W1274" t="s">
        <v>48</v>
      </c>
      <c r="X1274" t="s">
        <v>394</v>
      </c>
      <c r="Y1274" t="s">
        <v>54</v>
      </c>
      <c r="Z1274" s="12">
        <f>IF(N1274&lt;=1,9,9+0.8*ROUNDUP(N1274-1,0))</f>
        <v>9.8000000000000007</v>
      </c>
      <c r="AA1274" s="11">
        <v>-2</v>
      </c>
      <c r="AB1274" s="11">
        <v>0</v>
      </c>
      <c r="AC1274" s="11">
        <v>0</v>
      </c>
      <c r="AD1274" s="11">
        <v>0</v>
      </c>
      <c r="AE1274" s="11">
        <v>0</v>
      </c>
      <c r="AF1274" s="11">
        <f t="shared" si="57"/>
        <v>0.46800000000000003</v>
      </c>
      <c r="AG1274" s="11">
        <f t="shared" si="58"/>
        <v>8.2680000000000007</v>
      </c>
      <c r="AH1274" s="11">
        <v>0</v>
      </c>
      <c r="AI1274" s="11">
        <f t="shared" si="59"/>
        <v>8.2680000000000007</v>
      </c>
      <c r="AJ1274" t="s">
        <v>62</v>
      </c>
    </row>
    <row r="1275" spans="1:36" ht="15" customHeight="1" x14ac:dyDescent="0.35">
      <c r="A1275">
        <v>10428918</v>
      </c>
      <c r="B1275" t="s">
        <v>36</v>
      </c>
      <c r="C1275" t="s">
        <v>37</v>
      </c>
      <c r="D1275" s="6" t="s">
        <v>38</v>
      </c>
      <c r="E1275" t="s">
        <v>3849</v>
      </c>
      <c r="F1275" t="s">
        <v>40</v>
      </c>
      <c r="G1275" t="s">
        <v>41</v>
      </c>
      <c r="H1275" t="s">
        <v>3850</v>
      </c>
      <c r="I1275" t="s">
        <v>43</v>
      </c>
      <c r="J1275">
        <v>2</v>
      </c>
      <c r="K1275" t="s">
        <v>44</v>
      </c>
      <c r="L1275" t="s">
        <v>45</v>
      </c>
      <c r="M1275" t="s">
        <v>46</v>
      </c>
      <c r="N1275" s="7">
        <v>1</v>
      </c>
      <c r="O1275" s="8">
        <v>45631.45039351852</v>
      </c>
      <c r="P1275" s="9">
        <v>45634</v>
      </c>
      <c r="Q1275" t="s">
        <v>74</v>
      </c>
      <c r="R1275" t="s">
        <v>48</v>
      </c>
      <c r="S1275" t="s">
        <v>49</v>
      </c>
      <c r="T1275" t="s">
        <v>170</v>
      </c>
      <c r="U1275" t="s">
        <v>3851</v>
      </c>
      <c r="V1275">
        <v>50470</v>
      </c>
      <c r="W1275" t="s">
        <v>48</v>
      </c>
      <c r="X1275" t="s">
        <v>53</v>
      </c>
      <c r="Y1275" t="s">
        <v>54</v>
      </c>
      <c r="Z1275" s="12">
        <f>IF(N1275&lt;=1,9,9+0.8*ROUNDUP(N1275-1,0))</f>
        <v>9</v>
      </c>
      <c r="AA1275" s="11">
        <v>-2</v>
      </c>
      <c r="AB1275" s="11">
        <v>0</v>
      </c>
      <c r="AC1275" s="11">
        <v>0</v>
      </c>
      <c r="AD1275" s="11">
        <v>0</v>
      </c>
      <c r="AE1275" s="11">
        <v>0</v>
      </c>
      <c r="AF1275" s="11">
        <f t="shared" si="57"/>
        <v>0.42</v>
      </c>
      <c r="AG1275" s="11">
        <f t="shared" si="58"/>
        <v>7.42</v>
      </c>
      <c r="AH1275" s="11">
        <v>0</v>
      </c>
      <c r="AI1275" s="11">
        <f t="shared" si="59"/>
        <v>7.42</v>
      </c>
      <c r="AJ1275" t="s">
        <v>62</v>
      </c>
    </row>
    <row r="1276" spans="1:36" ht="15" customHeight="1" x14ac:dyDescent="0.35">
      <c r="A1276">
        <v>10428918</v>
      </c>
      <c r="B1276" t="s">
        <v>36</v>
      </c>
      <c r="C1276" t="s">
        <v>37</v>
      </c>
      <c r="D1276" s="6" t="s">
        <v>38</v>
      </c>
      <c r="E1276" t="s">
        <v>3852</v>
      </c>
      <c r="F1276" t="s">
        <v>40</v>
      </c>
      <c r="G1276" t="s">
        <v>41</v>
      </c>
      <c r="H1276" t="s">
        <v>3853</v>
      </c>
      <c r="I1276" t="s">
        <v>43</v>
      </c>
      <c r="J1276">
        <v>2</v>
      </c>
      <c r="K1276" t="s">
        <v>44</v>
      </c>
      <c r="L1276" t="s">
        <v>45</v>
      </c>
      <c r="M1276" t="s">
        <v>46</v>
      </c>
      <c r="N1276" s="7">
        <v>8</v>
      </c>
      <c r="O1276" s="8">
        <v>45630.725868055553</v>
      </c>
      <c r="P1276" s="9">
        <v>45634</v>
      </c>
      <c r="Q1276" t="s">
        <v>74</v>
      </c>
      <c r="R1276" t="s">
        <v>48</v>
      </c>
      <c r="S1276" t="s">
        <v>49</v>
      </c>
      <c r="T1276" t="s">
        <v>278</v>
      </c>
      <c r="U1276" t="s">
        <v>3854</v>
      </c>
      <c r="V1276">
        <v>93450</v>
      </c>
      <c r="W1276" t="s">
        <v>52</v>
      </c>
      <c r="X1276" t="s">
        <v>53</v>
      </c>
      <c r="Y1276" t="s">
        <v>54</v>
      </c>
      <c r="Z1276" s="10">
        <f>IF(N1276&lt;=1,13,IF(N1276&lt;=2,23,IF(N1276&lt;=3,35,IF(N1276&lt;=4,43,IF(N1276&lt;=5,53,IF(N1276&lt;=6,63,IF(N1276&lt;=7,71,IF(N1276&lt;=8,79,IF(N1276&lt;=9,87,IF(N1276&lt;=10,95,IF(N1276&lt;=11,105,IF(N1276&lt;=12,114,IF(N1276&lt;=13,119,IF(N1276&lt;=14,127,IF(N1276&lt;=15,135,IF(N1276&lt;=16,143,IF(N1276&lt;=17,153,IF(N1276&lt;=18,163,IF(N1276&lt;=19,171,IF(N1276&lt;=20,185,IF(N1276&lt;=21,193,IF(N1276&lt;=22,201,IF(N1276&lt;=23,210,IF(N1276&lt;=24,220,IF(N1276&lt;=25,230,IF(N1276&lt;=26,240,IF(N1276&lt;=27,250,IF(N1276&lt;=28,260,IF(N1276&lt;=29,270,IF(N1276&lt;=30,280,280+10*ROUNDUP(N1276-30,0)))))))))))))))))))))))))))))))</f>
        <v>79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f t="shared" si="57"/>
        <v>4.74</v>
      </c>
      <c r="AG1276" s="11">
        <f t="shared" si="58"/>
        <v>83.74</v>
      </c>
      <c r="AH1276" s="11">
        <v>0</v>
      </c>
      <c r="AI1276" s="11">
        <f t="shared" si="59"/>
        <v>83.74</v>
      </c>
      <c r="AJ1276" t="s">
        <v>55</v>
      </c>
    </row>
    <row r="1277" spans="1:36" ht="15" customHeight="1" x14ac:dyDescent="0.35">
      <c r="A1277">
        <v>10428918</v>
      </c>
      <c r="B1277" t="s">
        <v>36</v>
      </c>
      <c r="C1277" t="s">
        <v>37</v>
      </c>
      <c r="D1277" s="6" t="s">
        <v>38</v>
      </c>
      <c r="E1277" t="s">
        <v>3855</v>
      </c>
      <c r="F1277" t="s">
        <v>40</v>
      </c>
      <c r="G1277" t="s">
        <v>41</v>
      </c>
      <c r="H1277" t="s">
        <v>3856</v>
      </c>
      <c r="I1277" t="s">
        <v>43</v>
      </c>
      <c r="J1277">
        <v>2</v>
      </c>
      <c r="K1277" t="s">
        <v>44</v>
      </c>
      <c r="L1277" t="s">
        <v>45</v>
      </c>
      <c r="M1277" t="s">
        <v>46</v>
      </c>
      <c r="N1277" s="7">
        <v>1</v>
      </c>
      <c r="O1277" s="8">
        <v>45633.838645833333</v>
      </c>
      <c r="P1277" s="9">
        <v>45635</v>
      </c>
      <c r="Q1277" t="s">
        <v>74</v>
      </c>
      <c r="R1277" t="s">
        <v>48</v>
      </c>
      <c r="S1277" t="s">
        <v>49</v>
      </c>
      <c r="T1277" t="s">
        <v>75</v>
      </c>
      <c r="U1277" t="s">
        <v>3857</v>
      </c>
      <c r="V1277">
        <v>28800</v>
      </c>
      <c r="W1277" t="s">
        <v>48</v>
      </c>
      <c r="X1277" t="s">
        <v>77</v>
      </c>
      <c r="Y1277" t="s">
        <v>54</v>
      </c>
      <c r="Z1277" s="12">
        <f>IF(N1277&lt;=1,9,9+0.8*ROUNDUP(N1277-1,0))</f>
        <v>9</v>
      </c>
      <c r="AA1277" s="11">
        <v>-2</v>
      </c>
      <c r="AB1277" s="11">
        <v>0</v>
      </c>
      <c r="AC1277" s="11">
        <v>0</v>
      </c>
      <c r="AD1277" s="11">
        <v>0</v>
      </c>
      <c r="AE1277" s="11">
        <v>0</v>
      </c>
      <c r="AF1277" s="11">
        <f t="shared" si="57"/>
        <v>0.42</v>
      </c>
      <c r="AG1277" s="11">
        <f t="shared" si="58"/>
        <v>7.42</v>
      </c>
      <c r="AH1277" s="11">
        <v>0</v>
      </c>
      <c r="AI1277" s="11">
        <f t="shared" si="59"/>
        <v>7.42</v>
      </c>
      <c r="AJ1277" t="s">
        <v>62</v>
      </c>
    </row>
    <row r="1278" spans="1:36" ht="15" customHeight="1" x14ac:dyDescent="0.35">
      <c r="A1278">
        <v>10428918</v>
      </c>
      <c r="B1278" t="s">
        <v>36</v>
      </c>
      <c r="C1278" t="s">
        <v>37</v>
      </c>
      <c r="D1278" s="6" t="s">
        <v>38</v>
      </c>
      <c r="E1278" t="s">
        <v>3858</v>
      </c>
      <c r="F1278" t="s">
        <v>40</v>
      </c>
      <c r="G1278" t="s">
        <v>41</v>
      </c>
      <c r="H1278" t="s">
        <v>3859</v>
      </c>
      <c r="I1278" t="s">
        <v>43</v>
      </c>
      <c r="J1278">
        <v>2</v>
      </c>
      <c r="K1278" t="s">
        <v>44</v>
      </c>
      <c r="L1278" t="s">
        <v>45</v>
      </c>
      <c r="M1278" t="s">
        <v>46</v>
      </c>
      <c r="N1278" s="7">
        <v>1</v>
      </c>
      <c r="O1278" s="8">
        <v>45630.806354166663</v>
      </c>
      <c r="P1278" s="9">
        <v>45635</v>
      </c>
      <c r="Q1278" t="s">
        <v>74</v>
      </c>
      <c r="R1278" t="s">
        <v>48</v>
      </c>
      <c r="S1278" t="s">
        <v>49</v>
      </c>
      <c r="T1278" t="s">
        <v>69</v>
      </c>
      <c r="U1278" t="s">
        <v>3860</v>
      </c>
      <c r="V1278">
        <v>86200</v>
      </c>
      <c r="W1278" t="s">
        <v>48</v>
      </c>
      <c r="X1278" t="s">
        <v>243</v>
      </c>
      <c r="Y1278" t="s">
        <v>54</v>
      </c>
      <c r="Z1278" s="12">
        <f>IF(N1278&lt;=1,9,9+0.8*ROUNDUP(N1278-1,0))</f>
        <v>9</v>
      </c>
      <c r="AA1278" s="11">
        <v>-2</v>
      </c>
      <c r="AB1278" s="11">
        <v>0</v>
      </c>
      <c r="AC1278" s="11">
        <v>0</v>
      </c>
      <c r="AD1278" s="11">
        <v>0</v>
      </c>
      <c r="AE1278" s="11">
        <v>0</v>
      </c>
      <c r="AF1278" s="11">
        <f t="shared" si="57"/>
        <v>0.42</v>
      </c>
      <c r="AG1278" s="11">
        <f t="shared" si="58"/>
        <v>7.42</v>
      </c>
      <c r="AH1278" s="11">
        <v>0</v>
      </c>
      <c r="AI1278" s="11">
        <f t="shared" si="59"/>
        <v>7.42</v>
      </c>
      <c r="AJ1278" t="s">
        <v>62</v>
      </c>
    </row>
    <row r="1279" spans="1:36" ht="15" customHeight="1" x14ac:dyDescent="0.35">
      <c r="A1279">
        <v>10428918</v>
      </c>
      <c r="B1279" t="s">
        <v>36</v>
      </c>
      <c r="C1279" t="s">
        <v>37</v>
      </c>
      <c r="D1279" s="6" t="s">
        <v>38</v>
      </c>
      <c r="E1279" t="s">
        <v>3861</v>
      </c>
      <c r="F1279" t="s">
        <v>40</v>
      </c>
      <c r="G1279" t="s">
        <v>41</v>
      </c>
      <c r="H1279" t="s">
        <v>3862</v>
      </c>
      <c r="I1279" t="s">
        <v>43</v>
      </c>
      <c r="J1279">
        <v>2</v>
      </c>
      <c r="K1279" t="s">
        <v>44</v>
      </c>
      <c r="L1279" t="s">
        <v>45</v>
      </c>
      <c r="M1279" t="s">
        <v>46</v>
      </c>
      <c r="N1279" s="7">
        <v>2</v>
      </c>
      <c r="O1279" s="8">
        <v>45630.747465277775</v>
      </c>
      <c r="P1279" s="9">
        <v>45635</v>
      </c>
      <c r="Q1279" t="s">
        <v>74</v>
      </c>
      <c r="R1279" t="s">
        <v>48</v>
      </c>
      <c r="S1279" t="s">
        <v>49</v>
      </c>
      <c r="T1279" t="s">
        <v>2200</v>
      </c>
      <c r="U1279" t="s">
        <v>3863</v>
      </c>
      <c r="V1279">
        <v>87000</v>
      </c>
      <c r="W1279" t="s">
        <v>52</v>
      </c>
      <c r="X1279" t="s">
        <v>53</v>
      </c>
      <c r="Y1279" t="s">
        <v>54</v>
      </c>
      <c r="Z1279" s="10">
        <f>IF(N1279&lt;=1,13,IF(N1279&lt;=2,23,IF(N1279&lt;=3,35,IF(N1279&lt;=4,43,IF(N1279&lt;=5,53,IF(N1279&lt;=6,63,IF(N1279&lt;=7,71,IF(N1279&lt;=8,79,IF(N1279&lt;=9,87,IF(N1279&lt;=10,95,IF(N1279&lt;=11,105,IF(N1279&lt;=12,114,IF(N1279&lt;=13,119,IF(N1279&lt;=14,127,IF(N1279&lt;=15,135,IF(N1279&lt;=16,143,IF(N1279&lt;=17,153,IF(N1279&lt;=18,163,IF(N1279&lt;=19,171,IF(N1279&lt;=20,185,IF(N1279&lt;=21,193,IF(N1279&lt;=22,201,IF(N1279&lt;=23,210,IF(N1279&lt;=24,220,IF(N1279&lt;=25,230,IF(N1279&lt;=26,240,IF(N1279&lt;=27,250,IF(N1279&lt;=28,260,IF(N1279&lt;=29,270,IF(N1279&lt;=30,280,280+10*ROUNDUP(N1279-30,0)))))))))))))))))))))))))))))))</f>
        <v>23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f t="shared" si="57"/>
        <v>1.38</v>
      </c>
      <c r="AG1279" s="11">
        <f t="shared" si="58"/>
        <v>24.38</v>
      </c>
      <c r="AH1279" s="11">
        <v>0</v>
      </c>
      <c r="AI1279" s="11">
        <f t="shared" si="59"/>
        <v>24.38</v>
      </c>
      <c r="AJ1279" t="s">
        <v>55</v>
      </c>
    </row>
    <row r="1280" spans="1:36" ht="15" customHeight="1" x14ac:dyDescent="0.35">
      <c r="A1280">
        <v>10428918</v>
      </c>
      <c r="B1280" t="s">
        <v>36</v>
      </c>
      <c r="C1280" t="s">
        <v>37</v>
      </c>
      <c r="D1280" s="6" t="s">
        <v>38</v>
      </c>
      <c r="E1280" t="s">
        <v>3864</v>
      </c>
      <c r="F1280" t="s">
        <v>40</v>
      </c>
      <c r="G1280" t="s">
        <v>41</v>
      </c>
      <c r="H1280" t="s">
        <v>3865</v>
      </c>
      <c r="I1280" t="s">
        <v>43</v>
      </c>
      <c r="J1280">
        <v>2</v>
      </c>
      <c r="K1280" t="s">
        <v>44</v>
      </c>
      <c r="L1280" t="s">
        <v>45</v>
      </c>
      <c r="M1280" t="s">
        <v>46</v>
      </c>
      <c r="N1280" s="7">
        <v>1</v>
      </c>
      <c r="O1280" s="8">
        <v>45633.83865740741</v>
      </c>
      <c r="P1280" s="9">
        <v>45635</v>
      </c>
      <c r="Q1280" t="s">
        <v>74</v>
      </c>
      <c r="R1280" t="s">
        <v>48</v>
      </c>
      <c r="S1280" t="s">
        <v>49</v>
      </c>
      <c r="T1280" t="s">
        <v>90</v>
      </c>
      <c r="U1280" t="s">
        <v>3866</v>
      </c>
      <c r="V1280">
        <v>21600</v>
      </c>
      <c r="W1280" t="s">
        <v>48</v>
      </c>
      <c r="X1280" t="s">
        <v>92</v>
      </c>
      <c r="Y1280" t="s">
        <v>54</v>
      </c>
      <c r="Z1280" s="12">
        <f>IF(N1280&lt;=1,9,9+0.8*ROUNDUP(N1280-1,0))</f>
        <v>9</v>
      </c>
      <c r="AA1280" s="11">
        <v>-2</v>
      </c>
      <c r="AB1280" s="11">
        <v>0</v>
      </c>
      <c r="AC1280" s="11">
        <v>0</v>
      </c>
      <c r="AD1280" s="11">
        <v>0</v>
      </c>
      <c r="AE1280" s="11">
        <v>0</v>
      </c>
      <c r="AF1280" s="11">
        <f t="shared" si="57"/>
        <v>0.42</v>
      </c>
      <c r="AG1280" s="11">
        <f t="shared" si="58"/>
        <v>7.42</v>
      </c>
      <c r="AH1280" s="11">
        <v>0</v>
      </c>
      <c r="AI1280" s="11">
        <f t="shared" si="59"/>
        <v>7.42</v>
      </c>
      <c r="AJ1280" t="s">
        <v>62</v>
      </c>
    </row>
    <row r="1281" spans="1:36" ht="15" customHeight="1" x14ac:dyDescent="0.35">
      <c r="A1281">
        <v>10428918</v>
      </c>
      <c r="B1281" t="s">
        <v>36</v>
      </c>
      <c r="C1281" t="s">
        <v>37</v>
      </c>
      <c r="D1281" s="6" t="s">
        <v>38</v>
      </c>
      <c r="E1281" t="s">
        <v>3867</v>
      </c>
      <c r="F1281" t="s">
        <v>40</v>
      </c>
      <c r="G1281" t="s">
        <v>41</v>
      </c>
      <c r="H1281" t="s">
        <v>226</v>
      </c>
      <c r="I1281" t="s">
        <v>43</v>
      </c>
      <c r="J1281">
        <v>2</v>
      </c>
      <c r="K1281" t="s">
        <v>44</v>
      </c>
      <c r="L1281" t="s">
        <v>45</v>
      </c>
      <c r="M1281" t="s">
        <v>46</v>
      </c>
      <c r="N1281" s="7">
        <v>13</v>
      </c>
      <c r="O1281" s="8">
        <v>45634.408425925925</v>
      </c>
      <c r="P1281" s="9">
        <v>45635</v>
      </c>
      <c r="Q1281" t="s">
        <v>74</v>
      </c>
      <c r="R1281" t="s">
        <v>48</v>
      </c>
      <c r="S1281" t="s">
        <v>49</v>
      </c>
      <c r="T1281" t="s">
        <v>117</v>
      </c>
      <c r="U1281" t="s">
        <v>227</v>
      </c>
      <c r="V1281">
        <v>43000</v>
      </c>
      <c r="W1281" t="s">
        <v>48</v>
      </c>
      <c r="X1281" t="s">
        <v>228</v>
      </c>
      <c r="Y1281" t="s">
        <v>54</v>
      </c>
      <c r="Z1281" s="12">
        <f>IF(N1281&lt;=1,9,9+0.8*ROUNDUP(N1281-1,0))</f>
        <v>18.600000000000001</v>
      </c>
      <c r="AA1281" s="11">
        <v>-2</v>
      </c>
      <c r="AB1281" s="11">
        <v>0</v>
      </c>
      <c r="AC1281" s="11">
        <v>0</v>
      </c>
      <c r="AD1281" s="11">
        <v>0</v>
      </c>
      <c r="AE1281" s="11">
        <v>0</v>
      </c>
      <c r="AF1281" s="11">
        <f t="shared" si="57"/>
        <v>0.996</v>
      </c>
      <c r="AG1281" s="11">
        <f t="shared" si="58"/>
        <v>17.596</v>
      </c>
      <c r="AH1281" s="11">
        <v>0</v>
      </c>
      <c r="AI1281" s="11">
        <f t="shared" si="59"/>
        <v>17.596</v>
      </c>
      <c r="AJ1281" t="s">
        <v>62</v>
      </c>
    </row>
    <row r="1282" spans="1:36" ht="15" customHeight="1" x14ac:dyDescent="0.35">
      <c r="A1282">
        <v>10428918</v>
      </c>
      <c r="B1282" t="s">
        <v>36</v>
      </c>
      <c r="C1282" t="s">
        <v>37</v>
      </c>
      <c r="D1282" s="6" t="s">
        <v>38</v>
      </c>
      <c r="E1282" t="s">
        <v>3868</v>
      </c>
      <c r="F1282" t="s">
        <v>40</v>
      </c>
      <c r="G1282" t="s">
        <v>41</v>
      </c>
      <c r="H1282" t="s">
        <v>3869</v>
      </c>
      <c r="I1282" t="s">
        <v>43</v>
      </c>
      <c r="J1282">
        <v>2</v>
      </c>
      <c r="K1282" t="s">
        <v>44</v>
      </c>
      <c r="L1282" t="s">
        <v>45</v>
      </c>
      <c r="M1282" t="s">
        <v>46</v>
      </c>
      <c r="N1282" s="7">
        <v>1</v>
      </c>
      <c r="O1282" s="8">
        <v>45633.843032407407</v>
      </c>
      <c r="P1282" s="9">
        <v>45635</v>
      </c>
      <c r="Q1282" t="s">
        <v>74</v>
      </c>
      <c r="R1282" t="s">
        <v>48</v>
      </c>
      <c r="S1282" t="s">
        <v>49</v>
      </c>
      <c r="T1282" t="s">
        <v>75</v>
      </c>
      <c r="U1282" t="s">
        <v>3870</v>
      </c>
      <c r="V1282">
        <v>28700</v>
      </c>
      <c r="W1282" t="s">
        <v>48</v>
      </c>
      <c r="X1282" t="s">
        <v>77</v>
      </c>
      <c r="Y1282" t="s">
        <v>54</v>
      </c>
      <c r="Z1282" s="12">
        <f>IF(N1282&lt;=1,9,9+0.8*ROUNDUP(N1282-1,0))</f>
        <v>9</v>
      </c>
      <c r="AA1282" s="11">
        <v>-2</v>
      </c>
      <c r="AB1282" s="11">
        <v>0</v>
      </c>
      <c r="AC1282" s="11">
        <v>0</v>
      </c>
      <c r="AD1282" s="11">
        <v>0</v>
      </c>
      <c r="AE1282" s="11">
        <v>0</v>
      </c>
      <c r="AF1282" s="11">
        <f t="shared" ref="AF1282:AF1345" si="60">(Z1282+AA1282+AC1282+AE1282)*6%</f>
        <v>0.42</v>
      </c>
      <c r="AG1282" s="11">
        <f t="shared" ref="AG1282:AG1345" si="61">Z1282+AA1282+AC1282+AE1282+AF1282</f>
        <v>7.42</v>
      </c>
      <c r="AH1282" s="11">
        <v>0</v>
      </c>
      <c r="AI1282" s="11">
        <f t="shared" ref="AI1282:AI1345" si="62">AG1282+AH1282</f>
        <v>7.42</v>
      </c>
      <c r="AJ1282" t="s">
        <v>62</v>
      </c>
    </row>
    <row r="1283" spans="1:36" ht="15" customHeight="1" x14ac:dyDescent="0.35">
      <c r="A1283">
        <v>10428918</v>
      </c>
      <c r="B1283" t="s">
        <v>36</v>
      </c>
      <c r="C1283" t="s">
        <v>37</v>
      </c>
      <c r="D1283" s="6" t="s">
        <v>38</v>
      </c>
      <c r="E1283" t="s">
        <v>3871</v>
      </c>
      <c r="F1283" t="s">
        <v>40</v>
      </c>
      <c r="G1283" t="s">
        <v>41</v>
      </c>
      <c r="H1283" t="s">
        <v>3872</v>
      </c>
      <c r="I1283" t="s">
        <v>43</v>
      </c>
      <c r="J1283">
        <v>2</v>
      </c>
      <c r="K1283" t="s">
        <v>44</v>
      </c>
      <c r="L1283" t="s">
        <v>45</v>
      </c>
      <c r="M1283" t="s">
        <v>46</v>
      </c>
      <c r="N1283" s="7">
        <v>1</v>
      </c>
      <c r="O1283" s="8">
        <v>45633.712673611109</v>
      </c>
      <c r="P1283" s="9">
        <v>45635</v>
      </c>
      <c r="Q1283" t="s">
        <v>74</v>
      </c>
      <c r="R1283" t="s">
        <v>48</v>
      </c>
      <c r="S1283" t="s">
        <v>49</v>
      </c>
      <c r="T1283" t="s">
        <v>117</v>
      </c>
      <c r="U1283" t="s">
        <v>3873</v>
      </c>
      <c r="V1283">
        <v>40300</v>
      </c>
      <c r="W1283" t="s">
        <v>48</v>
      </c>
      <c r="X1283" t="s">
        <v>53</v>
      </c>
      <c r="Y1283" t="s">
        <v>54</v>
      </c>
      <c r="Z1283" s="12">
        <f>IF(N1283&lt;=1,9,9+0.8*ROUNDUP(N1283-1,0))</f>
        <v>9</v>
      </c>
      <c r="AA1283" s="11">
        <v>-2</v>
      </c>
      <c r="AB1283" s="11">
        <v>0</v>
      </c>
      <c r="AC1283" s="11">
        <v>0</v>
      </c>
      <c r="AD1283" s="11">
        <v>0</v>
      </c>
      <c r="AE1283" s="11">
        <v>0</v>
      </c>
      <c r="AF1283" s="11">
        <f t="shared" si="60"/>
        <v>0.42</v>
      </c>
      <c r="AG1283" s="11">
        <f t="shared" si="61"/>
        <v>7.42</v>
      </c>
      <c r="AH1283" s="11">
        <v>0</v>
      </c>
      <c r="AI1283" s="11">
        <f t="shared" si="62"/>
        <v>7.42</v>
      </c>
      <c r="AJ1283" t="s">
        <v>62</v>
      </c>
    </row>
    <row r="1284" spans="1:36" ht="15" customHeight="1" x14ac:dyDescent="0.35">
      <c r="A1284">
        <v>10428918</v>
      </c>
      <c r="B1284" t="s">
        <v>36</v>
      </c>
      <c r="C1284" t="s">
        <v>37</v>
      </c>
      <c r="D1284" s="6" t="s">
        <v>38</v>
      </c>
      <c r="E1284" t="s">
        <v>3874</v>
      </c>
      <c r="F1284" t="s">
        <v>40</v>
      </c>
      <c r="G1284" t="s">
        <v>41</v>
      </c>
      <c r="H1284" t="s">
        <v>3875</v>
      </c>
      <c r="I1284" t="s">
        <v>43</v>
      </c>
      <c r="J1284">
        <v>2</v>
      </c>
      <c r="K1284" t="s">
        <v>44</v>
      </c>
      <c r="L1284" t="s">
        <v>45</v>
      </c>
      <c r="M1284" t="s">
        <v>46</v>
      </c>
      <c r="N1284" s="7">
        <v>1</v>
      </c>
      <c r="O1284" s="8">
        <v>45633.701226851852</v>
      </c>
      <c r="P1284" s="9">
        <v>45635</v>
      </c>
      <c r="Q1284" t="s">
        <v>74</v>
      </c>
      <c r="R1284" t="s">
        <v>48</v>
      </c>
      <c r="S1284" t="s">
        <v>49</v>
      </c>
      <c r="T1284" t="s">
        <v>85</v>
      </c>
      <c r="U1284" t="s">
        <v>3876</v>
      </c>
      <c r="V1284">
        <v>71500</v>
      </c>
      <c r="W1284" t="s">
        <v>48</v>
      </c>
      <c r="X1284" t="s">
        <v>53</v>
      </c>
      <c r="Y1284" t="s">
        <v>54</v>
      </c>
      <c r="Z1284" s="12">
        <f>IF(N1284&lt;=1,9,9+0.8*ROUNDUP(N1284-1,0))</f>
        <v>9</v>
      </c>
      <c r="AA1284" s="11">
        <v>-2</v>
      </c>
      <c r="AB1284" s="11">
        <v>0</v>
      </c>
      <c r="AC1284" s="11">
        <v>0</v>
      </c>
      <c r="AD1284" s="11">
        <v>0</v>
      </c>
      <c r="AE1284" s="11">
        <v>0</v>
      </c>
      <c r="AF1284" s="11">
        <f t="shared" si="60"/>
        <v>0.42</v>
      </c>
      <c r="AG1284" s="11">
        <f t="shared" si="61"/>
        <v>7.42</v>
      </c>
      <c r="AH1284" s="11">
        <v>0</v>
      </c>
      <c r="AI1284" s="11">
        <f t="shared" si="62"/>
        <v>7.42</v>
      </c>
      <c r="AJ1284" t="s">
        <v>62</v>
      </c>
    </row>
    <row r="1285" spans="1:36" ht="15" customHeight="1" x14ac:dyDescent="0.35">
      <c r="A1285">
        <v>10428918</v>
      </c>
      <c r="B1285" t="s">
        <v>36</v>
      </c>
      <c r="C1285" t="s">
        <v>37</v>
      </c>
      <c r="D1285" s="6" t="s">
        <v>38</v>
      </c>
      <c r="E1285" t="s">
        <v>3877</v>
      </c>
      <c r="F1285" t="s">
        <v>40</v>
      </c>
      <c r="G1285" t="s">
        <v>41</v>
      </c>
      <c r="H1285" t="s">
        <v>193</v>
      </c>
      <c r="I1285" t="s">
        <v>43</v>
      </c>
      <c r="J1285">
        <v>2</v>
      </c>
      <c r="K1285" t="s">
        <v>44</v>
      </c>
      <c r="L1285" t="s">
        <v>45</v>
      </c>
      <c r="M1285" t="s">
        <v>46</v>
      </c>
      <c r="N1285" s="7">
        <v>1</v>
      </c>
      <c r="O1285" s="8">
        <v>45633.83865740741</v>
      </c>
      <c r="P1285" s="9">
        <v>45635</v>
      </c>
      <c r="Q1285" t="s">
        <v>74</v>
      </c>
      <c r="R1285" t="s">
        <v>48</v>
      </c>
      <c r="S1285" t="s">
        <v>49</v>
      </c>
      <c r="T1285" t="s">
        <v>59</v>
      </c>
      <c r="U1285" t="s">
        <v>194</v>
      </c>
      <c r="V1285">
        <v>18300</v>
      </c>
      <c r="W1285" t="s">
        <v>48</v>
      </c>
      <c r="X1285" t="s">
        <v>61</v>
      </c>
      <c r="Y1285" t="s">
        <v>54</v>
      </c>
      <c r="Z1285" s="12">
        <f>IF(N1285&lt;=1,9,9+0.8*ROUNDUP(N1285-1,0))</f>
        <v>9</v>
      </c>
      <c r="AA1285" s="11">
        <v>-2</v>
      </c>
      <c r="AB1285" s="11">
        <v>0</v>
      </c>
      <c r="AC1285" s="11">
        <v>0</v>
      </c>
      <c r="AD1285" s="11">
        <v>0</v>
      </c>
      <c r="AE1285" s="11">
        <v>0</v>
      </c>
      <c r="AF1285" s="11">
        <f t="shared" si="60"/>
        <v>0.42</v>
      </c>
      <c r="AG1285" s="11">
        <f t="shared" si="61"/>
        <v>7.42</v>
      </c>
      <c r="AH1285" s="11">
        <v>0</v>
      </c>
      <c r="AI1285" s="11">
        <f t="shared" si="62"/>
        <v>7.42</v>
      </c>
      <c r="AJ1285" t="s">
        <v>62</v>
      </c>
    </row>
    <row r="1286" spans="1:36" ht="15" customHeight="1" x14ac:dyDescent="0.35">
      <c r="A1286">
        <v>10428918</v>
      </c>
      <c r="B1286" t="s">
        <v>36</v>
      </c>
      <c r="C1286" t="s">
        <v>37</v>
      </c>
      <c r="D1286" s="6" t="s">
        <v>38</v>
      </c>
      <c r="E1286" t="s">
        <v>3878</v>
      </c>
      <c r="F1286" t="s">
        <v>40</v>
      </c>
      <c r="G1286" t="s">
        <v>41</v>
      </c>
      <c r="H1286" t="s">
        <v>3879</v>
      </c>
      <c r="I1286" t="s">
        <v>43</v>
      </c>
      <c r="J1286">
        <v>2</v>
      </c>
      <c r="K1286" t="s">
        <v>44</v>
      </c>
      <c r="L1286" t="s">
        <v>45</v>
      </c>
      <c r="M1286" t="s">
        <v>46</v>
      </c>
      <c r="N1286" s="7">
        <v>1</v>
      </c>
      <c r="O1286" s="8">
        <v>45633.856504629628</v>
      </c>
      <c r="P1286" s="9">
        <v>45635</v>
      </c>
      <c r="Q1286" t="s">
        <v>74</v>
      </c>
      <c r="R1286" t="s">
        <v>48</v>
      </c>
      <c r="S1286" t="s">
        <v>49</v>
      </c>
      <c r="T1286" t="s">
        <v>59</v>
      </c>
      <c r="U1286" t="s">
        <v>3880</v>
      </c>
      <c r="V1286">
        <v>17000</v>
      </c>
      <c r="W1286" t="s">
        <v>48</v>
      </c>
      <c r="X1286" t="s">
        <v>61</v>
      </c>
      <c r="Y1286" t="s">
        <v>54</v>
      </c>
      <c r="Z1286" s="12">
        <f>IF(N1286&lt;=1,9,9+0.8*ROUNDUP(N1286-1,0))</f>
        <v>9</v>
      </c>
      <c r="AA1286" s="11">
        <v>-2</v>
      </c>
      <c r="AB1286" s="11">
        <v>0</v>
      </c>
      <c r="AC1286" s="11">
        <v>0</v>
      </c>
      <c r="AD1286" s="11">
        <v>0</v>
      </c>
      <c r="AE1286" s="11">
        <v>0</v>
      </c>
      <c r="AF1286" s="11">
        <f t="shared" si="60"/>
        <v>0.42</v>
      </c>
      <c r="AG1286" s="11">
        <f t="shared" si="61"/>
        <v>7.42</v>
      </c>
      <c r="AH1286" s="11">
        <v>0</v>
      </c>
      <c r="AI1286" s="11">
        <f t="shared" si="62"/>
        <v>7.42</v>
      </c>
      <c r="AJ1286" t="s">
        <v>62</v>
      </c>
    </row>
    <row r="1287" spans="1:36" ht="15" customHeight="1" x14ac:dyDescent="0.35">
      <c r="A1287">
        <v>10428918</v>
      </c>
      <c r="B1287" t="s">
        <v>36</v>
      </c>
      <c r="C1287" t="s">
        <v>37</v>
      </c>
      <c r="D1287" s="6" t="s">
        <v>38</v>
      </c>
      <c r="E1287" t="s">
        <v>3881</v>
      </c>
      <c r="F1287" t="s">
        <v>40</v>
      </c>
      <c r="G1287" t="s">
        <v>41</v>
      </c>
      <c r="H1287" t="s">
        <v>3882</v>
      </c>
      <c r="I1287" t="s">
        <v>43</v>
      </c>
      <c r="J1287">
        <v>2</v>
      </c>
      <c r="K1287" t="s">
        <v>44</v>
      </c>
      <c r="L1287" t="s">
        <v>45</v>
      </c>
      <c r="M1287" t="s">
        <v>46</v>
      </c>
      <c r="N1287" s="7">
        <v>1</v>
      </c>
      <c r="O1287" s="8">
        <v>45633.83865740741</v>
      </c>
      <c r="P1287" s="9">
        <v>45635</v>
      </c>
      <c r="Q1287" t="s">
        <v>74</v>
      </c>
      <c r="R1287" t="s">
        <v>48</v>
      </c>
      <c r="S1287" t="s">
        <v>49</v>
      </c>
      <c r="T1287" t="s">
        <v>117</v>
      </c>
      <c r="U1287" t="s">
        <v>3883</v>
      </c>
      <c r="V1287">
        <v>40460</v>
      </c>
      <c r="W1287" t="s">
        <v>48</v>
      </c>
      <c r="X1287" t="s">
        <v>1458</v>
      </c>
      <c r="Y1287" t="s">
        <v>54</v>
      </c>
      <c r="Z1287" s="12">
        <f>IF(N1287&lt;=1,9,9+0.8*ROUNDUP(N1287-1,0))</f>
        <v>9</v>
      </c>
      <c r="AA1287" s="11">
        <v>-2</v>
      </c>
      <c r="AB1287" s="11">
        <v>0</v>
      </c>
      <c r="AC1287" s="11">
        <v>0</v>
      </c>
      <c r="AD1287" s="11">
        <v>0</v>
      </c>
      <c r="AE1287" s="11">
        <v>0</v>
      </c>
      <c r="AF1287" s="11">
        <f t="shared" si="60"/>
        <v>0.42</v>
      </c>
      <c r="AG1287" s="11">
        <f t="shared" si="61"/>
        <v>7.42</v>
      </c>
      <c r="AH1287" s="11">
        <v>0</v>
      </c>
      <c r="AI1287" s="11">
        <f t="shared" si="62"/>
        <v>7.42</v>
      </c>
      <c r="AJ1287" t="s">
        <v>62</v>
      </c>
    </row>
    <row r="1288" spans="1:36" ht="15" customHeight="1" x14ac:dyDescent="0.35">
      <c r="A1288">
        <v>10428918</v>
      </c>
      <c r="B1288" t="s">
        <v>36</v>
      </c>
      <c r="C1288" t="s">
        <v>37</v>
      </c>
      <c r="D1288" s="6" t="s">
        <v>38</v>
      </c>
      <c r="E1288" t="s">
        <v>3884</v>
      </c>
      <c r="F1288" t="s">
        <v>40</v>
      </c>
      <c r="G1288" t="s">
        <v>41</v>
      </c>
      <c r="H1288" t="s">
        <v>3885</v>
      </c>
      <c r="I1288" t="s">
        <v>43</v>
      </c>
      <c r="J1288">
        <v>2</v>
      </c>
      <c r="K1288" t="s">
        <v>44</v>
      </c>
      <c r="L1288" t="s">
        <v>45</v>
      </c>
      <c r="M1288" t="s">
        <v>46</v>
      </c>
      <c r="N1288" s="7">
        <v>2</v>
      </c>
      <c r="O1288" s="8">
        <v>45633.856504629628</v>
      </c>
      <c r="P1288" s="9">
        <v>45635</v>
      </c>
      <c r="Q1288" t="s">
        <v>74</v>
      </c>
      <c r="R1288" t="s">
        <v>48</v>
      </c>
      <c r="S1288" t="s">
        <v>49</v>
      </c>
      <c r="T1288" t="s">
        <v>75</v>
      </c>
      <c r="U1288" t="s">
        <v>3886</v>
      </c>
      <c r="V1288">
        <v>25200</v>
      </c>
      <c r="W1288" t="s">
        <v>48</v>
      </c>
      <c r="X1288" t="s">
        <v>77</v>
      </c>
      <c r="Y1288" t="s">
        <v>54</v>
      </c>
      <c r="Z1288" s="12">
        <f>IF(N1288&lt;=1,9,9+0.8*ROUNDUP(N1288-1,0))</f>
        <v>9.8000000000000007</v>
      </c>
      <c r="AA1288" s="11">
        <v>-2</v>
      </c>
      <c r="AB1288" s="11">
        <v>0</v>
      </c>
      <c r="AC1288" s="11">
        <v>0</v>
      </c>
      <c r="AD1288" s="11">
        <v>0</v>
      </c>
      <c r="AE1288" s="11">
        <v>0</v>
      </c>
      <c r="AF1288" s="11">
        <f t="shared" si="60"/>
        <v>0.46800000000000003</v>
      </c>
      <c r="AG1288" s="11">
        <f t="shared" si="61"/>
        <v>8.2680000000000007</v>
      </c>
      <c r="AH1288" s="11">
        <v>0</v>
      </c>
      <c r="AI1288" s="11">
        <f t="shared" si="62"/>
        <v>8.2680000000000007</v>
      </c>
      <c r="AJ1288" t="s">
        <v>62</v>
      </c>
    </row>
    <row r="1289" spans="1:36" ht="15" customHeight="1" x14ac:dyDescent="0.35">
      <c r="A1289">
        <v>10428918</v>
      </c>
      <c r="B1289" t="s">
        <v>36</v>
      </c>
      <c r="C1289" t="s">
        <v>37</v>
      </c>
      <c r="D1289" s="6" t="s">
        <v>38</v>
      </c>
      <c r="E1289" t="s">
        <v>3887</v>
      </c>
      <c r="F1289" t="s">
        <v>40</v>
      </c>
      <c r="G1289" t="s">
        <v>41</v>
      </c>
      <c r="H1289" t="s">
        <v>3888</v>
      </c>
      <c r="I1289" t="s">
        <v>43</v>
      </c>
      <c r="J1289">
        <v>2</v>
      </c>
      <c r="K1289" t="s">
        <v>44</v>
      </c>
      <c r="L1289" t="s">
        <v>45</v>
      </c>
      <c r="M1289" t="s">
        <v>46</v>
      </c>
      <c r="N1289" s="7">
        <v>3</v>
      </c>
      <c r="O1289" s="8">
        <v>45631.454155092593</v>
      </c>
      <c r="P1289" s="9">
        <v>45635</v>
      </c>
      <c r="Q1289" t="s">
        <v>74</v>
      </c>
      <c r="R1289" t="s">
        <v>48</v>
      </c>
      <c r="S1289" t="s">
        <v>49</v>
      </c>
      <c r="T1289" t="s">
        <v>50</v>
      </c>
      <c r="U1289" t="s">
        <v>3889</v>
      </c>
      <c r="V1289">
        <v>91000</v>
      </c>
      <c r="W1289" t="s">
        <v>52</v>
      </c>
      <c r="X1289" t="s">
        <v>3890</v>
      </c>
      <c r="Y1289" t="s">
        <v>54</v>
      </c>
      <c r="Z1289" s="10">
        <f>IF(N1289&lt;=1,13,IF(N1289&lt;=2,23,IF(N1289&lt;=3,35,IF(N1289&lt;=4,43,IF(N1289&lt;=5,53,IF(N1289&lt;=6,63,IF(N1289&lt;=7,71,IF(N1289&lt;=8,79,IF(N1289&lt;=9,87,IF(N1289&lt;=10,95,IF(N1289&lt;=11,105,IF(N1289&lt;=12,114,IF(N1289&lt;=13,119,IF(N1289&lt;=14,127,IF(N1289&lt;=15,135,IF(N1289&lt;=16,143,IF(N1289&lt;=17,153,IF(N1289&lt;=18,163,IF(N1289&lt;=19,171,IF(N1289&lt;=20,185,IF(N1289&lt;=21,193,IF(N1289&lt;=22,201,IF(N1289&lt;=23,210,IF(N1289&lt;=24,220,IF(N1289&lt;=25,230,IF(N1289&lt;=26,240,IF(N1289&lt;=27,250,IF(N1289&lt;=28,260,IF(N1289&lt;=29,270,IF(N1289&lt;=30,280,280+10*ROUNDUP(N1289-30,0)))))))))))))))))))))))))))))))</f>
        <v>35</v>
      </c>
      <c r="AA1289" s="11">
        <v>0</v>
      </c>
      <c r="AB1289" s="11">
        <v>0</v>
      </c>
      <c r="AC1289" s="11">
        <v>0</v>
      </c>
      <c r="AD1289" s="11">
        <v>0</v>
      </c>
      <c r="AE1289" s="11">
        <v>0</v>
      </c>
      <c r="AF1289" s="11">
        <f t="shared" si="60"/>
        <v>2.1</v>
      </c>
      <c r="AG1289" s="11">
        <f t="shared" si="61"/>
        <v>37.1</v>
      </c>
      <c r="AH1289" s="11">
        <v>0</v>
      </c>
      <c r="AI1289" s="11">
        <f t="shared" si="62"/>
        <v>37.1</v>
      </c>
      <c r="AJ1289" t="s">
        <v>55</v>
      </c>
    </row>
    <row r="1290" spans="1:36" ht="15" customHeight="1" x14ac:dyDescent="0.35">
      <c r="A1290">
        <v>10428918</v>
      </c>
      <c r="B1290" t="s">
        <v>36</v>
      </c>
      <c r="C1290" t="s">
        <v>37</v>
      </c>
      <c r="D1290" s="6" t="s">
        <v>38</v>
      </c>
      <c r="E1290" t="s">
        <v>3891</v>
      </c>
      <c r="F1290" t="s">
        <v>40</v>
      </c>
      <c r="G1290" t="s">
        <v>41</v>
      </c>
      <c r="H1290" t="s">
        <v>3892</v>
      </c>
      <c r="I1290" t="s">
        <v>43</v>
      </c>
      <c r="J1290">
        <v>2</v>
      </c>
      <c r="K1290" t="s">
        <v>44</v>
      </c>
      <c r="L1290" t="s">
        <v>45</v>
      </c>
      <c r="M1290" t="s">
        <v>46</v>
      </c>
      <c r="N1290" s="7">
        <v>1</v>
      </c>
      <c r="O1290" s="8">
        <v>45634.601886574077</v>
      </c>
      <c r="P1290" s="9">
        <v>45635</v>
      </c>
      <c r="Q1290" t="s">
        <v>74</v>
      </c>
      <c r="R1290" t="s">
        <v>48</v>
      </c>
      <c r="S1290" t="s">
        <v>49</v>
      </c>
      <c r="T1290" t="s">
        <v>117</v>
      </c>
      <c r="U1290" t="s">
        <v>3893</v>
      </c>
      <c r="V1290">
        <v>42100</v>
      </c>
      <c r="W1290" t="s">
        <v>48</v>
      </c>
      <c r="X1290" t="s">
        <v>623</v>
      </c>
      <c r="Y1290" t="s">
        <v>54</v>
      </c>
      <c r="Z1290" s="12">
        <f>IF(N1290&lt;=1,9,9+0.8*ROUNDUP(N1290-1,0))</f>
        <v>9</v>
      </c>
      <c r="AA1290" s="11">
        <v>-2</v>
      </c>
      <c r="AB1290" s="11">
        <v>0</v>
      </c>
      <c r="AC1290" s="11">
        <v>0</v>
      </c>
      <c r="AD1290" s="11">
        <v>0</v>
      </c>
      <c r="AE1290" s="11">
        <v>0</v>
      </c>
      <c r="AF1290" s="11">
        <f t="shared" si="60"/>
        <v>0.42</v>
      </c>
      <c r="AG1290" s="11">
        <f t="shared" si="61"/>
        <v>7.42</v>
      </c>
      <c r="AH1290" s="11">
        <v>0</v>
      </c>
      <c r="AI1290" s="11">
        <f t="shared" si="62"/>
        <v>7.42</v>
      </c>
      <c r="AJ1290" t="s">
        <v>62</v>
      </c>
    </row>
    <row r="1291" spans="1:36" ht="15" customHeight="1" x14ac:dyDescent="0.35">
      <c r="A1291">
        <v>10428918</v>
      </c>
      <c r="B1291" t="s">
        <v>36</v>
      </c>
      <c r="C1291" t="s">
        <v>37</v>
      </c>
      <c r="D1291" s="6" t="s">
        <v>38</v>
      </c>
      <c r="E1291" t="s">
        <v>3894</v>
      </c>
      <c r="F1291" t="s">
        <v>40</v>
      </c>
      <c r="G1291" t="s">
        <v>41</v>
      </c>
      <c r="H1291" t="s">
        <v>3895</v>
      </c>
      <c r="I1291" t="s">
        <v>43</v>
      </c>
      <c r="J1291">
        <v>2</v>
      </c>
      <c r="K1291" t="s">
        <v>44</v>
      </c>
      <c r="L1291" t="s">
        <v>45</v>
      </c>
      <c r="M1291" t="s">
        <v>46</v>
      </c>
      <c r="N1291" s="7">
        <v>1</v>
      </c>
      <c r="O1291" s="8">
        <v>45633.721817129626</v>
      </c>
      <c r="P1291" s="9">
        <v>45635</v>
      </c>
      <c r="Q1291" t="s">
        <v>74</v>
      </c>
      <c r="R1291" t="s">
        <v>48</v>
      </c>
      <c r="S1291" t="s">
        <v>49</v>
      </c>
      <c r="T1291" t="s">
        <v>117</v>
      </c>
      <c r="U1291" t="s">
        <v>3896</v>
      </c>
      <c r="V1291">
        <v>44300</v>
      </c>
      <c r="W1291" t="s">
        <v>48</v>
      </c>
      <c r="X1291" t="s">
        <v>53</v>
      </c>
      <c r="Y1291" t="s">
        <v>54</v>
      </c>
      <c r="Z1291" s="12">
        <f>IF(N1291&lt;=1,9,9+0.8*ROUNDUP(N1291-1,0))</f>
        <v>9</v>
      </c>
      <c r="AA1291" s="11">
        <v>-2</v>
      </c>
      <c r="AB1291" s="11">
        <v>0</v>
      </c>
      <c r="AC1291" s="11">
        <v>0</v>
      </c>
      <c r="AD1291" s="11">
        <v>0</v>
      </c>
      <c r="AE1291" s="11">
        <v>0</v>
      </c>
      <c r="AF1291" s="11">
        <f t="shared" si="60"/>
        <v>0.42</v>
      </c>
      <c r="AG1291" s="11">
        <f t="shared" si="61"/>
        <v>7.42</v>
      </c>
      <c r="AH1291" s="11">
        <v>0</v>
      </c>
      <c r="AI1291" s="11">
        <f t="shared" si="62"/>
        <v>7.42</v>
      </c>
      <c r="AJ1291" t="s">
        <v>62</v>
      </c>
    </row>
    <row r="1292" spans="1:36" ht="15" customHeight="1" x14ac:dyDescent="0.35">
      <c r="A1292">
        <v>10428918</v>
      </c>
      <c r="B1292" t="s">
        <v>36</v>
      </c>
      <c r="C1292" t="s">
        <v>37</v>
      </c>
      <c r="D1292" s="6" t="s">
        <v>38</v>
      </c>
      <c r="E1292" t="s">
        <v>3897</v>
      </c>
      <c r="F1292" t="s">
        <v>40</v>
      </c>
      <c r="G1292" t="s">
        <v>41</v>
      </c>
      <c r="H1292" t="s">
        <v>189</v>
      </c>
      <c r="I1292" t="s">
        <v>43</v>
      </c>
      <c r="J1292">
        <v>2</v>
      </c>
      <c r="K1292" t="s">
        <v>44</v>
      </c>
      <c r="L1292" t="s">
        <v>45</v>
      </c>
      <c r="M1292" t="s">
        <v>46</v>
      </c>
      <c r="N1292" s="7">
        <v>4</v>
      </c>
      <c r="O1292" s="8">
        <v>45633.838645833333</v>
      </c>
      <c r="P1292" s="9">
        <v>45635</v>
      </c>
      <c r="Q1292" t="s">
        <v>74</v>
      </c>
      <c r="R1292" t="s">
        <v>48</v>
      </c>
      <c r="S1292" t="s">
        <v>49</v>
      </c>
      <c r="T1292" t="s">
        <v>117</v>
      </c>
      <c r="U1292" t="s">
        <v>190</v>
      </c>
      <c r="V1292">
        <v>43650</v>
      </c>
      <c r="W1292" t="s">
        <v>48</v>
      </c>
      <c r="X1292" t="s">
        <v>53</v>
      </c>
      <c r="Y1292" t="s">
        <v>54</v>
      </c>
      <c r="Z1292" s="12">
        <f>IF(N1292&lt;=1,9,9+0.8*ROUNDUP(N1292-1,0))</f>
        <v>11.4</v>
      </c>
      <c r="AA1292" s="11">
        <v>-2</v>
      </c>
      <c r="AB1292" s="11">
        <v>0</v>
      </c>
      <c r="AC1292" s="11">
        <v>0</v>
      </c>
      <c r="AD1292" s="11">
        <v>0</v>
      </c>
      <c r="AE1292" s="11">
        <v>0</v>
      </c>
      <c r="AF1292" s="11">
        <f t="shared" si="60"/>
        <v>0.56399999999999995</v>
      </c>
      <c r="AG1292" s="11">
        <f t="shared" si="61"/>
        <v>9.9640000000000004</v>
      </c>
      <c r="AH1292" s="11">
        <v>0</v>
      </c>
      <c r="AI1292" s="11">
        <f t="shared" si="62"/>
        <v>9.9640000000000004</v>
      </c>
      <c r="AJ1292" t="s">
        <v>62</v>
      </c>
    </row>
    <row r="1293" spans="1:36" ht="15" customHeight="1" x14ac:dyDescent="0.35">
      <c r="A1293">
        <v>10428918</v>
      </c>
      <c r="B1293" t="s">
        <v>36</v>
      </c>
      <c r="C1293" t="s">
        <v>37</v>
      </c>
      <c r="D1293" s="6" t="s">
        <v>38</v>
      </c>
      <c r="E1293" t="s">
        <v>3898</v>
      </c>
      <c r="F1293" t="s">
        <v>40</v>
      </c>
      <c r="G1293" t="s">
        <v>41</v>
      </c>
      <c r="H1293" t="s">
        <v>3899</v>
      </c>
      <c r="I1293" t="s">
        <v>43</v>
      </c>
      <c r="J1293">
        <v>2</v>
      </c>
      <c r="K1293" t="s">
        <v>44</v>
      </c>
      <c r="L1293" t="s">
        <v>45</v>
      </c>
      <c r="M1293" t="s">
        <v>46</v>
      </c>
      <c r="N1293" s="7">
        <v>2</v>
      </c>
      <c r="O1293" s="8">
        <v>45633.848356481481</v>
      </c>
      <c r="P1293" s="9">
        <v>45635</v>
      </c>
      <c r="Q1293" t="s">
        <v>74</v>
      </c>
      <c r="R1293" t="s">
        <v>48</v>
      </c>
      <c r="S1293" t="s">
        <v>49</v>
      </c>
      <c r="T1293" t="s">
        <v>90</v>
      </c>
      <c r="U1293" t="s">
        <v>3900</v>
      </c>
      <c r="V1293">
        <v>23000</v>
      </c>
      <c r="W1293" t="s">
        <v>48</v>
      </c>
      <c r="X1293" t="s">
        <v>92</v>
      </c>
      <c r="Y1293" t="s">
        <v>54</v>
      </c>
      <c r="Z1293" s="12">
        <f>IF(N1293&lt;=1,9,9+0.8*ROUNDUP(N1293-1,0))</f>
        <v>9.8000000000000007</v>
      </c>
      <c r="AA1293" s="11">
        <v>-2</v>
      </c>
      <c r="AB1293" s="11">
        <v>0</v>
      </c>
      <c r="AC1293" s="11">
        <v>0</v>
      </c>
      <c r="AD1293" s="11">
        <v>0</v>
      </c>
      <c r="AE1293" s="11">
        <v>0</v>
      </c>
      <c r="AF1293" s="11">
        <f t="shared" si="60"/>
        <v>0.46800000000000003</v>
      </c>
      <c r="AG1293" s="11">
        <f t="shared" si="61"/>
        <v>8.2680000000000007</v>
      </c>
      <c r="AH1293" s="11">
        <v>0</v>
      </c>
      <c r="AI1293" s="11">
        <f t="shared" si="62"/>
        <v>8.2680000000000007</v>
      </c>
      <c r="AJ1293" t="s">
        <v>62</v>
      </c>
    </row>
    <row r="1294" spans="1:36" ht="15" customHeight="1" x14ac:dyDescent="0.35">
      <c r="A1294">
        <v>10428918</v>
      </c>
      <c r="B1294" t="s">
        <v>36</v>
      </c>
      <c r="C1294" t="s">
        <v>37</v>
      </c>
      <c r="D1294" s="6" t="s">
        <v>38</v>
      </c>
      <c r="E1294" t="s">
        <v>3901</v>
      </c>
      <c r="F1294" t="s">
        <v>40</v>
      </c>
      <c r="G1294" t="s">
        <v>41</v>
      </c>
      <c r="H1294" t="s">
        <v>3902</v>
      </c>
      <c r="I1294" t="s">
        <v>43</v>
      </c>
      <c r="J1294">
        <v>2</v>
      </c>
      <c r="K1294" t="s">
        <v>44</v>
      </c>
      <c r="L1294" t="s">
        <v>45</v>
      </c>
      <c r="M1294" t="s">
        <v>46</v>
      </c>
      <c r="N1294" s="7">
        <v>1</v>
      </c>
      <c r="O1294" s="8">
        <v>45632.751180555555</v>
      </c>
      <c r="P1294" s="9">
        <v>45635</v>
      </c>
      <c r="Q1294" t="s">
        <v>74</v>
      </c>
      <c r="R1294" t="s">
        <v>48</v>
      </c>
      <c r="S1294" t="s">
        <v>49</v>
      </c>
      <c r="T1294" t="s">
        <v>101</v>
      </c>
      <c r="U1294" t="s">
        <v>3903</v>
      </c>
      <c r="V1294">
        <v>33000</v>
      </c>
      <c r="W1294" t="s">
        <v>48</v>
      </c>
      <c r="X1294" t="s">
        <v>103</v>
      </c>
      <c r="Y1294" t="s">
        <v>54</v>
      </c>
      <c r="Z1294" s="12">
        <f>IF(N1294&lt;=1,9,9+0.8*ROUNDUP(N1294-1,0))</f>
        <v>9</v>
      </c>
      <c r="AA1294" s="11">
        <v>-2</v>
      </c>
      <c r="AB1294" s="11">
        <v>0</v>
      </c>
      <c r="AC1294" s="11">
        <v>0</v>
      </c>
      <c r="AD1294" s="11">
        <v>0</v>
      </c>
      <c r="AE1294" s="11">
        <v>0</v>
      </c>
      <c r="AF1294" s="11">
        <f t="shared" si="60"/>
        <v>0.42</v>
      </c>
      <c r="AG1294" s="11">
        <f t="shared" si="61"/>
        <v>7.42</v>
      </c>
      <c r="AH1294" s="11">
        <v>0</v>
      </c>
      <c r="AI1294" s="11">
        <f t="shared" si="62"/>
        <v>7.42</v>
      </c>
      <c r="AJ1294" t="s">
        <v>62</v>
      </c>
    </row>
    <row r="1295" spans="1:36" ht="15" customHeight="1" x14ac:dyDescent="0.35">
      <c r="A1295">
        <v>10428918</v>
      </c>
      <c r="B1295" t="s">
        <v>36</v>
      </c>
      <c r="C1295" t="s">
        <v>37</v>
      </c>
      <c r="D1295" s="6" t="s">
        <v>38</v>
      </c>
      <c r="E1295" t="s">
        <v>3904</v>
      </c>
      <c r="F1295" t="s">
        <v>40</v>
      </c>
      <c r="G1295" t="s">
        <v>41</v>
      </c>
      <c r="H1295" t="s">
        <v>3905</v>
      </c>
      <c r="I1295" t="s">
        <v>43</v>
      </c>
      <c r="J1295">
        <v>2</v>
      </c>
      <c r="K1295" t="s">
        <v>44</v>
      </c>
      <c r="L1295" t="s">
        <v>45</v>
      </c>
      <c r="M1295" t="s">
        <v>46</v>
      </c>
      <c r="N1295" s="7">
        <v>2</v>
      </c>
      <c r="O1295" s="8">
        <v>45633.725057870368</v>
      </c>
      <c r="P1295" s="9">
        <v>45635</v>
      </c>
      <c r="Q1295" t="s">
        <v>74</v>
      </c>
      <c r="R1295" t="s">
        <v>48</v>
      </c>
      <c r="S1295" t="s">
        <v>49</v>
      </c>
      <c r="T1295" t="s">
        <v>117</v>
      </c>
      <c r="U1295" t="s">
        <v>3906</v>
      </c>
      <c r="V1295">
        <v>52100</v>
      </c>
      <c r="W1295" t="s">
        <v>48</v>
      </c>
      <c r="X1295" t="s">
        <v>490</v>
      </c>
      <c r="Y1295" t="s">
        <v>54</v>
      </c>
      <c r="Z1295" s="12">
        <f>IF(N1295&lt;=1,9,9+0.8*ROUNDUP(N1295-1,0))</f>
        <v>9.8000000000000007</v>
      </c>
      <c r="AA1295" s="11">
        <v>-2</v>
      </c>
      <c r="AB1295" s="11">
        <v>0</v>
      </c>
      <c r="AC1295" s="11">
        <v>0</v>
      </c>
      <c r="AD1295" s="11">
        <v>0</v>
      </c>
      <c r="AE1295" s="11">
        <v>0</v>
      </c>
      <c r="AF1295" s="11">
        <f t="shared" si="60"/>
        <v>0.46800000000000003</v>
      </c>
      <c r="AG1295" s="11">
        <f t="shared" si="61"/>
        <v>8.2680000000000007</v>
      </c>
      <c r="AH1295" s="11">
        <v>0</v>
      </c>
      <c r="AI1295" s="11">
        <f t="shared" si="62"/>
        <v>8.2680000000000007</v>
      </c>
      <c r="AJ1295" t="s">
        <v>62</v>
      </c>
    </row>
    <row r="1296" spans="1:36" ht="15" customHeight="1" x14ac:dyDescent="0.35">
      <c r="A1296">
        <v>10428918</v>
      </c>
      <c r="B1296" t="s">
        <v>36</v>
      </c>
      <c r="C1296" t="s">
        <v>37</v>
      </c>
      <c r="D1296" s="6" t="s">
        <v>38</v>
      </c>
      <c r="E1296" t="s">
        <v>3907</v>
      </c>
      <c r="F1296" t="s">
        <v>40</v>
      </c>
      <c r="G1296" t="s">
        <v>41</v>
      </c>
      <c r="H1296" t="s">
        <v>3908</v>
      </c>
      <c r="I1296" t="s">
        <v>43</v>
      </c>
      <c r="J1296">
        <v>2</v>
      </c>
      <c r="K1296" t="s">
        <v>44</v>
      </c>
      <c r="L1296" t="s">
        <v>45</v>
      </c>
      <c r="M1296" t="s">
        <v>46</v>
      </c>
      <c r="N1296" s="7">
        <v>2</v>
      </c>
      <c r="O1296" s="8">
        <v>45633.680324074077</v>
      </c>
      <c r="P1296" s="9">
        <v>45635</v>
      </c>
      <c r="Q1296" t="s">
        <v>74</v>
      </c>
      <c r="R1296" t="s">
        <v>48</v>
      </c>
      <c r="S1296" t="s">
        <v>49</v>
      </c>
      <c r="T1296" t="s">
        <v>80</v>
      </c>
      <c r="U1296" t="s">
        <v>3909</v>
      </c>
      <c r="V1296">
        <v>5000</v>
      </c>
      <c r="W1296" t="s">
        <v>48</v>
      </c>
      <c r="X1296" t="s">
        <v>137</v>
      </c>
      <c r="Y1296" t="s">
        <v>54</v>
      </c>
      <c r="Z1296" s="12">
        <f>IF(N1296&lt;=1,9,9+0.8*ROUNDUP(N1296-1,0))</f>
        <v>9.8000000000000007</v>
      </c>
      <c r="AA1296" s="11">
        <v>-2</v>
      </c>
      <c r="AB1296" s="11">
        <v>0</v>
      </c>
      <c r="AC1296" s="11">
        <v>0</v>
      </c>
      <c r="AD1296" s="11">
        <v>0</v>
      </c>
      <c r="AE1296" s="11">
        <v>0</v>
      </c>
      <c r="AF1296" s="11">
        <f t="shared" si="60"/>
        <v>0.46800000000000003</v>
      </c>
      <c r="AG1296" s="11">
        <f t="shared" si="61"/>
        <v>8.2680000000000007</v>
      </c>
      <c r="AH1296" s="11">
        <v>0</v>
      </c>
      <c r="AI1296" s="11">
        <f t="shared" si="62"/>
        <v>8.2680000000000007</v>
      </c>
      <c r="AJ1296" t="s">
        <v>62</v>
      </c>
    </row>
    <row r="1297" spans="1:36" ht="15" customHeight="1" x14ac:dyDescent="0.35">
      <c r="A1297">
        <v>10428918</v>
      </c>
      <c r="B1297" t="s">
        <v>36</v>
      </c>
      <c r="C1297" t="s">
        <v>37</v>
      </c>
      <c r="D1297" s="6" t="s">
        <v>38</v>
      </c>
      <c r="E1297" t="s">
        <v>3910</v>
      </c>
      <c r="F1297" t="s">
        <v>40</v>
      </c>
      <c r="G1297" t="s">
        <v>41</v>
      </c>
      <c r="H1297" t="s">
        <v>196</v>
      </c>
      <c r="I1297" t="s">
        <v>43</v>
      </c>
      <c r="J1297">
        <v>2</v>
      </c>
      <c r="K1297" t="s">
        <v>44</v>
      </c>
      <c r="L1297" t="s">
        <v>45</v>
      </c>
      <c r="M1297" t="s">
        <v>46</v>
      </c>
      <c r="N1297" s="7">
        <v>1</v>
      </c>
      <c r="O1297" s="8">
        <v>45633.838645833333</v>
      </c>
      <c r="P1297" s="9">
        <v>45635</v>
      </c>
      <c r="Q1297" t="s">
        <v>74</v>
      </c>
      <c r="R1297" t="s">
        <v>48</v>
      </c>
      <c r="S1297" t="s">
        <v>49</v>
      </c>
      <c r="T1297" t="s">
        <v>75</v>
      </c>
      <c r="U1297" t="s">
        <v>197</v>
      </c>
      <c r="V1297">
        <v>25150</v>
      </c>
      <c r="W1297" t="s">
        <v>48</v>
      </c>
      <c r="X1297" t="s">
        <v>77</v>
      </c>
      <c r="Y1297" t="s">
        <v>54</v>
      </c>
      <c r="Z1297" s="12">
        <f>IF(N1297&lt;=1,9,9+0.8*ROUNDUP(N1297-1,0))</f>
        <v>9</v>
      </c>
      <c r="AA1297" s="11">
        <v>-2</v>
      </c>
      <c r="AB1297" s="11">
        <v>0</v>
      </c>
      <c r="AC1297" s="11">
        <v>0</v>
      </c>
      <c r="AD1297" s="11">
        <v>0</v>
      </c>
      <c r="AE1297" s="11">
        <v>0</v>
      </c>
      <c r="AF1297" s="11">
        <f t="shared" si="60"/>
        <v>0.42</v>
      </c>
      <c r="AG1297" s="11">
        <f t="shared" si="61"/>
        <v>7.42</v>
      </c>
      <c r="AH1297" s="11">
        <v>0</v>
      </c>
      <c r="AI1297" s="11">
        <f t="shared" si="62"/>
        <v>7.42</v>
      </c>
      <c r="AJ1297" t="s">
        <v>62</v>
      </c>
    </row>
    <row r="1298" spans="1:36" ht="15" customHeight="1" x14ac:dyDescent="0.35">
      <c r="A1298">
        <v>10428918</v>
      </c>
      <c r="B1298" t="s">
        <v>36</v>
      </c>
      <c r="C1298" t="s">
        <v>37</v>
      </c>
      <c r="D1298" s="6" t="s">
        <v>38</v>
      </c>
      <c r="E1298" t="s">
        <v>3911</v>
      </c>
      <c r="F1298" t="s">
        <v>40</v>
      </c>
      <c r="G1298" t="s">
        <v>41</v>
      </c>
      <c r="H1298" t="s">
        <v>3912</v>
      </c>
      <c r="I1298" t="s">
        <v>43</v>
      </c>
      <c r="J1298">
        <v>2</v>
      </c>
      <c r="K1298" t="s">
        <v>44</v>
      </c>
      <c r="L1298" t="s">
        <v>45</v>
      </c>
      <c r="M1298" t="s">
        <v>46</v>
      </c>
      <c r="N1298" s="7">
        <v>1</v>
      </c>
      <c r="O1298" s="8">
        <v>45634.656851851854</v>
      </c>
      <c r="P1298" s="9">
        <v>45635</v>
      </c>
      <c r="Q1298" t="s">
        <v>74</v>
      </c>
      <c r="R1298" t="s">
        <v>48</v>
      </c>
      <c r="S1298" t="s">
        <v>49</v>
      </c>
      <c r="T1298" t="s">
        <v>59</v>
      </c>
      <c r="U1298" t="s">
        <v>3913</v>
      </c>
      <c r="V1298">
        <v>18500</v>
      </c>
      <c r="W1298" t="s">
        <v>48</v>
      </c>
      <c r="X1298" t="s">
        <v>61</v>
      </c>
      <c r="Y1298" t="s">
        <v>54</v>
      </c>
      <c r="Z1298" s="12">
        <f>IF(N1298&lt;=1,9,9+0.8*ROUNDUP(N1298-1,0))</f>
        <v>9</v>
      </c>
      <c r="AA1298" s="11">
        <v>-2</v>
      </c>
      <c r="AB1298" s="11">
        <v>0</v>
      </c>
      <c r="AC1298" s="11">
        <v>0</v>
      </c>
      <c r="AD1298" s="11">
        <v>0</v>
      </c>
      <c r="AE1298" s="11">
        <v>0</v>
      </c>
      <c r="AF1298" s="11">
        <f t="shared" si="60"/>
        <v>0.42</v>
      </c>
      <c r="AG1298" s="11">
        <f t="shared" si="61"/>
        <v>7.42</v>
      </c>
      <c r="AH1298" s="11">
        <v>0</v>
      </c>
      <c r="AI1298" s="11">
        <f t="shared" si="62"/>
        <v>7.42</v>
      </c>
      <c r="AJ1298" t="s">
        <v>62</v>
      </c>
    </row>
    <row r="1299" spans="1:36" ht="15" customHeight="1" x14ac:dyDescent="0.35">
      <c r="A1299">
        <v>10428918</v>
      </c>
      <c r="B1299" t="s">
        <v>36</v>
      </c>
      <c r="C1299" t="s">
        <v>37</v>
      </c>
      <c r="D1299" s="6" t="s">
        <v>38</v>
      </c>
      <c r="E1299" t="s">
        <v>3914</v>
      </c>
      <c r="F1299" t="s">
        <v>40</v>
      </c>
      <c r="G1299" t="s">
        <v>41</v>
      </c>
      <c r="H1299" t="s">
        <v>3915</v>
      </c>
      <c r="I1299" t="s">
        <v>43</v>
      </c>
      <c r="J1299">
        <v>2</v>
      </c>
      <c r="K1299" t="s">
        <v>44</v>
      </c>
      <c r="L1299" t="s">
        <v>45</v>
      </c>
      <c r="M1299" t="s">
        <v>46</v>
      </c>
      <c r="N1299" s="7">
        <v>2</v>
      </c>
      <c r="O1299" s="8">
        <v>45631.410949074074</v>
      </c>
      <c r="P1299" s="9">
        <v>45635</v>
      </c>
      <c r="Q1299" t="s">
        <v>74</v>
      </c>
      <c r="R1299" t="s">
        <v>48</v>
      </c>
      <c r="S1299" t="s">
        <v>49</v>
      </c>
      <c r="T1299" t="s">
        <v>278</v>
      </c>
      <c r="U1299" t="s">
        <v>1524</v>
      </c>
      <c r="V1299">
        <v>96300</v>
      </c>
      <c r="W1299" t="s">
        <v>52</v>
      </c>
      <c r="X1299" t="s">
        <v>3916</v>
      </c>
      <c r="Y1299" t="s">
        <v>54</v>
      </c>
      <c r="Z1299" s="10">
        <f>IF(N1299&lt;=1,13,IF(N1299&lt;=2,23,IF(N1299&lt;=3,35,IF(N1299&lt;=4,43,IF(N1299&lt;=5,53,IF(N1299&lt;=6,63,IF(N1299&lt;=7,71,IF(N1299&lt;=8,79,IF(N1299&lt;=9,87,IF(N1299&lt;=10,95,IF(N1299&lt;=11,105,IF(N1299&lt;=12,114,IF(N1299&lt;=13,119,IF(N1299&lt;=14,127,IF(N1299&lt;=15,135,IF(N1299&lt;=16,143,IF(N1299&lt;=17,153,IF(N1299&lt;=18,163,IF(N1299&lt;=19,171,IF(N1299&lt;=20,185,IF(N1299&lt;=21,193,IF(N1299&lt;=22,201,IF(N1299&lt;=23,210,IF(N1299&lt;=24,220,IF(N1299&lt;=25,230,IF(N1299&lt;=26,240,IF(N1299&lt;=27,250,IF(N1299&lt;=28,260,IF(N1299&lt;=29,270,IF(N1299&lt;=30,280,280+10*ROUNDUP(N1299-30,0)))))))))))))))))))))))))))))))</f>
        <v>23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f t="shared" si="60"/>
        <v>1.38</v>
      </c>
      <c r="AG1299" s="11">
        <f t="shared" si="61"/>
        <v>24.38</v>
      </c>
      <c r="AH1299" s="11">
        <v>0</v>
      </c>
      <c r="AI1299" s="11">
        <f t="shared" si="62"/>
        <v>24.38</v>
      </c>
      <c r="AJ1299" t="s">
        <v>55</v>
      </c>
    </row>
    <row r="1300" spans="1:36" ht="15" customHeight="1" x14ac:dyDescent="0.35">
      <c r="A1300">
        <v>10428918</v>
      </c>
      <c r="B1300" t="s">
        <v>36</v>
      </c>
      <c r="C1300" t="s">
        <v>37</v>
      </c>
      <c r="D1300" s="6" t="s">
        <v>38</v>
      </c>
      <c r="E1300" t="s">
        <v>3917</v>
      </c>
      <c r="F1300" t="s">
        <v>40</v>
      </c>
      <c r="G1300" t="s">
        <v>41</v>
      </c>
      <c r="H1300" t="s">
        <v>1538</v>
      </c>
      <c r="I1300" t="s">
        <v>43</v>
      </c>
      <c r="J1300">
        <v>2</v>
      </c>
      <c r="K1300" t="s">
        <v>44</v>
      </c>
      <c r="L1300" t="s">
        <v>45</v>
      </c>
      <c r="M1300" t="s">
        <v>46</v>
      </c>
      <c r="N1300" s="7">
        <v>1</v>
      </c>
      <c r="O1300" s="8">
        <v>45633.864525462966</v>
      </c>
      <c r="P1300" s="9">
        <v>45635</v>
      </c>
      <c r="Q1300" t="s">
        <v>74</v>
      </c>
      <c r="R1300" t="s">
        <v>48</v>
      </c>
      <c r="S1300" t="s">
        <v>49</v>
      </c>
      <c r="T1300" t="s">
        <v>59</v>
      </c>
      <c r="U1300" t="s">
        <v>1539</v>
      </c>
      <c r="V1300">
        <v>18200</v>
      </c>
      <c r="W1300" t="s">
        <v>48</v>
      </c>
      <c r="X1300" t="s">
        <v>61</v>
      </c>
      <c r="Y1300" t="s">
        <v>54</v>
      </c>
      <c r="Z1300" s="12">
        <f>IF(N1300&lt;=1,9,9+0.8*ROUNDUP(N1300-1,0))</f>
        <v>9</v>
      </c>
      <c r="AA1300" s="11">
        <v>-2</v>
      </c>
      <c r="AB1300" s="11">
        <v>0</v>
      </c>
      <c r="AC1300" s="11">
        <v>0</v>
      </c>
      <c r="AD1300" s="11">
        <v>0</v>
      </c>
      <c r="AE1300" s="11">
        <v>0</v>
      </c>
      <c r="AF1300" s="11">
        <f t="shared" si="60"/>
        <v>0.42</v>
      </c>
      <c r="AG1300" s="11">
        <f t="shared" si="61"/>
        <v>7.42</v>
      </c>
      <c r="AH1300" s="11">
        <v>0</v>
      </c>
      <c r="AI1300" s="11">
        <f t="shared" si="62"/>
        <v>7.42</v>
      </c>
      <c r="AJ1300" t="s">
        <v>62</v>
      </c>
    </row>
    <row r="1301" spans="1:36" ht="15" customHeight="1" x14ac:dyDescent="0.35">
      <c r="A1301">
        <v>10428918</v>
      </c>
      <c r="B1301" t="s">
        <v>36</v>
      </c>
      <c r="C1301" t="s">
        <v>37</v>
      </c>
      <c r="D1301" s="6" t="s">
        <v>38</v>
      </c>
      <c r="E1301" t="s">
        <v>3918</v>
      </c>
      <c r="F1301" t="s">
        <v>40</v>
      </c>
      <c r="G1301" t="s">
        <v>41</v>
      </c>
      <c r="H1301" t="s">
        <v>274</v>
      </c>
      <c r="I1301" t="s">
        <v>43</v>
      </c>
      <c r="J1301">
        <v>2</v>
      </c>
      <c r="K1301" t="s">
        <v>44</v>
      </c>
      <c r="L1301" t="s">
        <v>45</v>
      </c>
      <c r="M1301" t="s">
        <v>46</v>
      </c>
      <c r="N1301" s="7">
        <v>1</v>
      </c>
      <c r="O1301" s="8">
        <v>45633.864525462966</v>
      </c>
      <c r="P1301" s="9">
        <v>45635</v>
      </c>
      <c r="Q1301" t="s">
        <v>74</v>
      </c>
      <c r="R1301" t="s">
        <v>48</v>
      </c>
      <c r="S1301" t="s">
        <v>49</v>
      </c>
      <c r="T1301" t="s">
        <v>59</v>
      </c>
      <c r="U1301" t="s">
        <v>2566</v>
      </c>
      <c r="V1301">
        <v>16150</v>
      </c>
      <c r="W1301" t="s">
        <v>48</v>
      </c>
      <c r="X1301" t="s">
        <v>61</v>
      </c>
      <c r="Y1301" t="s">
        <v>54</v>
      </c>
      <c r="Z1301" s="12">
        <f>IF(N1301&lt;=1,9,9+0.8*ROUNDUP(N1301-1,0))</f>
        <v>9</v>
      </c>
      <c r="AA1301" s="11">
        <v>-2</v>
      </c>
      <c r="AB1301" s="11">
        <v>0</v>
      </c>
      <c r="AC1301" s="11">
        <v>0</v>
      </c>
      <c r="AD1301" s="11">
        <v>0</v>
      </c>
      <c r="AE1301" s="11">
        <v>0</v>
      </c>
      <c r="AF1301" s="11">
        <f t="shared" si="60"/>
        <v>0.42</v>
      </c>
      <c r="AG1301" s="11">
        <f t="shared" si="61"/>
        <v>7.42</v>
      </c>
      <c r="AH1301" s="11">
        <v>0</v>
      </c>
      <c r="AI1301" s="11">
        <f t="shared" si="62"/>
        <v>7.42</v>
      </c>
      <c r="AJ1301" t="s">
        <v>62</v>
      </c>
    </row>
    <row r="1302" spans="1:36" ht="15" customHeight="1" x14ac:dyDescent="0.35">
      <c r="A1302">
        <v>10428918</v>
      </c>
      <c r="B1302" t="s">
        <v>36</v>
      </c>
      <c r="C1302" t="s">
        <v>37</v>
      </c>
      <c r="D1302" s="6" t="s">
        <v>38</v>
      </c>
      <c r="E1302" t="s">
        <v>3919</v>
      </c>
      <c r="F1302" t="s">
        <v>40</v>
      </c>
      <c r="G1302" t="s">
        <v>41</v>
      </c>
      <c r="H1302" t="s">
        <v>3920</v>
      </c>
      <c r="I1302" t="s">
        <v>43</v>
      </c>
      <c r="J1302">
        <v>2</v>
      </c>
      <c r="K1302" t="s">
        <v>44</v>
      </c>
      <c r="L1302" t="s">
        <v>45</v>
      </c>
      <c r="M1302" t="s">
        <v>46</v>
      </c>
      <c r="N1302" s="7">
        <v>1</v>
      </c>
      <c r="O1302" s="8">
        <v>45633.712673611109</v>
      </c>
      <c r="P1302" s="9">
        <v>45635</v>
      </c>
      <c r="Q1302" t="s">
        <v>74</v>
      </c>
      <c r="R1302" t="s">
        <v>48</v>
      </c>
      <c r="S1302" t="s">
        <v>49</v>
      </c>
      <c r="T1302" t="s">
        <v>117</v>
      </c>
      <c r="U1302" t="s">
        <v>3921</v>
      </c>
      <c r="V1302">
        <v>43000</v>
      </c>
      <c r="W1302" t="s">
        <v>48</v>
      </c>
      <c r="X1302" t="s">
        <v>228</v>
      </c>
      <c r="Y1302" t="s">
        <v>54</v>
      </c>
      <c r="Z1302" s="12">
        <f>IF(N1302&lt;=1,9,9+0.8*ROUNDUP(N1302-1,0))</f>
        <v>9</v>
      </c>
      <c r="AA1302" s="11">
        <v>-2</v>
      </c>
      <c r="AB1302" s="11">
        <v>0</v>
      </c>
      <c r="AC1302" s="11">
        <v>0</v>
      </c>
      <c r="AD1302" s="11">
        <v>0</v>
      </c>
      <c r="AE1302" s="11">
        <v>0</v>
      </c>
      <c r="AF1302" s="11">
        <f t="shared" si="60"/>
        <v>0.42</v>
      </c>
      <c r="AG1302" s="11">
        <f t="shared" si="61"/>
        <v>7.42</v>
      </c>
      <c r="AH1302" s="11">
        <v>0</v>
      </c>
      <c r="AI1302" s="11">
        <f t="shared" si="62"/>
        <v>7.42</v>
      </c>
      <c r="AJ1302" t="s">
        <v>62</v>
      </c>
    </row>
    <row r="1303" spans="1:36" ht="15" customHeight="1" x14ac:dyDescent="0.35">
      <c r="A1303">
        <v>10428918</v>
      </c>
      <c r="B1303" t="s">
        <v>36</v>
      </c>
      <c r="C1303" t="s">
        <v>37</v>
      </c>
      <c r="D1303" s="6" t="s">
        <v>38</v>
      </c>
      <c r="E1303" t="s">
        <v>3922</v>
      </c>
      <c r="F1303" t="s">
        <v>40</v>
      </c>
      <c r="G1303" t="s">
        <v>41</v>
      </c>
      <c r="H1303" t="s">
        <v>3923</v>
      </c>
      <c r="I1303" t="s">
        <v>43</v>
      </c>
      <c r="J1303">
        <v>2</v>
      </c>
      <c r="K1303" t="s">
        <v>44</v>
      </c>
      <c r="L1303" t="s">
        <v>45</v>
      </c>
      <c r="M1303" t="s">
        <v>46</v>
      </c>
      <c r="N1303" s="7">
        <v>1</v>
      </c>
      <c r="O1303" s="8">
        <v>45633.848368055558</v>
      </c>
      <c r="P1303" s="9">
        <v>45635</v>
      </c>
      <c r="Q1303" t="s">
        <v>74</v>
      </c>
      <c r="R1303" t="s">
        <v>48</v>
      </c>
      <c r="S1303" t="s">
        <v>49</v>
      </c>
      <c r="T1303" t="s">
        <v>75</v>
      </c>
      <c r="U1303" t="s">
        <v>3924</v>
      </c>
      <c r="V1303">
        <v>26650</v>
      </c>
      <c r="W1303" t="s">
        <v>48</v>
      </c>
      <c r="X1303" t="s">
        <v>77</v>
      </c>
      <c r="Y1303" t="s">
        <v>54</v>
      </c>
      <c r="Z1303" s="12">
        <f>IF(N1303&lt;=1,9,9+0.8*ROUNDUP(N1303-1,0))</f>
        <v>9</v>
      </c>
      <c r="AA1303" s="11">
        <v>-2</v>
      </c>
      <c r="AB1303" s="11">
        <v>0</v>
      </c>
      <c r="AC1303" s="11">
        <v>0</v>
      </c>
      <c r="AD1303" s="11">
        <v>0</v>
      </c>
      <c r="AE1303" s="11">
        <v>0</v>
      </c>
      <c r="AF1303" s="11">
        <f t="shared" si="60"/>
        <v>0.42</v>
      </c>
      <c r="AG1303" s="11">
        <f t="shared" si="61"/>
        <v>7.42</v>
      </c>
      <c r="AH1303" s="11">
        <v>0</v>
      </c>
      <c r="AI1303" s="11">
        <f t="shared" si="62"/>
        <v>7.42</v>
      </c>
      <c r="AJ1303" t="s">
        <v>62</v>
      </c>
    </row>
    <row r="1304" spans="1:36" ht="15" customHeight="1" x14ac:dyDescent="0.35">
      <c r="A1304">
        <v>10428918</v>
      </c>
      <c r="B1304" t="s">
        <v>36</v>
      </c>
      <c r="C1304" t="s">
        <v>37</v>
      </c>
      <c r="D1304" s="6" t="s">
        <v>38</v>
      </c>
      <c r="E1304" t="s">
        <v>3925</v>
      </c>
      <c r="F1304" t="s">
        <v>40</v>
      </c>
      <c r="G1304" t="s">
        <v>41</v>
      </c>
      <c r="H1304" t="s">
        <v>605</v>
      </c>
      <c r="I1304" t="s">
        <v>43</v>
      </c>
      <c r="J1304">
        <v>2</v>
      </c>
      <c r="K1304" t="s">
        <v>44</v>
      </c>
      <c r="L1304" t="s">
        <v>45</v>
      </c>
      <c r="M1304" t="s">
        <v>46</v>
      </c>
      <c r="N1304" s="7">
        <v>2</v>
      </c>
      <c r="O1304" s="8">
        <v>45634.616666666669</v>
      </c>
      <c r="P1304" s="9">
        <v>45635</v>
      </c>
      <c r="Q1304" t="s">
        <v>74</v>
      </c>
      <c r="R1304" t="s">
        <v>48</v>
      </c>
      <c r="S1304" t="s">
        <v>49</v>
      </c>
      <c r="T1304" t="s">
        <v>59</v>
      </c>
      <c r="U1304" t="s">
        <v>606</v>
      </c>
      <c r="V1304">
        <v>18300</v>
      </c>
      <c r="W1304" t="s">
        <v>48</v>
      </c>
      <c r="X1304" t="s">
        <v>61</v>
      </c>
      <c r="Y1304" t="s">
        <v>54</v>
      </c>
      <c r="Z1304" s="12">
        <f>IF(N1304&lt;=1,9,9+0.8*ROUNDUP(N1304-1,0))</f>
        <v>9.8000000000000007</v>
      </c>
      <c r="AA1304" s="11">
        <v>-2</v>
      </c>
      <c r="AB1304" s="11">
        <v>0</v>
      </c>
      <c r="AC1304" s="11">
        <v>0</v>
      </c>
      <c r="AD1304" s="11">
        <v>0</v>
      </c>
      <c r="AE1304" s="11">
        <v>0</v>
      </c>
      <c r="AF1304" s="11">
        <f t="shared" si="60"/>
        <v>0.46800000000000003</v>
      </c>
      <c r="AG1304" s="11">
        <f t="shared" si="61"/>
        <v>8.2680000000000007</v>
      </c>
      <c r="AH1304" s="11">
        <v>0</v>
      </c>
      <c r="AI1304" s="11">
        <f t="shared" si="62"/>
        <v>8.2680000000000007</v>
      </c>
      <c r="AJ1304" t="s">
        <v>62</v>
      </c>
    </row>
    <row r="1305" spans="1:36" ht="15" customHeight="1" x14ac:dyDescent="0.35">
      <c r="A1305">
        <v>10428918</v>
      </c>
      <c r="B1305" t="s">
        <v>36</v>
      </c>
      <c r="C1305" t="s">
        <v>37</v>
      </c>
      <c r="D1305" s="6" t="s">
        <v>38</v>
      </c>
      <c r="E1305" t="s">
        <v>3926</v>
      </c>
      <c r="F1305" t="s">
        <v>40</v>
      </c>
      <c r="G1305" t="s">
        <v>41</v>
      </c>
      <c r="H1305" t="s">
        <v>3927</v>
      </c>
      <c r="I1305" t="s">
        <v>43</v>
      </c>
      <c r="J1305">
        <v>2</v>
      </c>
      <c r="K1305" t="s">
        <v>44</v>
      </c>
      <c r="L1305" t="s">
        <v>45</v>
      </c>
      <c r="M1305" t="s">
        <v>46</v>
      </c>
      <c r="N1305" s="7">
        <v>3</v>
      </c>
      <c r="O1305" s="8">
        <v>45632.705972222226</v>
      </c>
      <c r="P1305" s="9">
        <v>45635</v>
      </c>
      <c r="Q1305" t="s">
        <v>74</v>
      </c>
      <c r="R1305" t="s">
        <v>48</v>
      </c>
      <c r="S1305" t="s">
        <v>49</v>
      </c>
      <c r="T1305" t="s">
        <v>69</v>
      </c>
      <c r="U1305" t="s">
        <v>3928</v>
      </c>
      <c r="V1305">
        <v>83500</v>
      </c>
      <c r="W1305" t="s">
        <v>48</v>
      </c>
      <c r="X1305" t="s">
        <v>71</v>
      </c>
      <c r="Y1305" t="s">
        <v>54</v>
      </c>
      <c r="Z1305" s="12">
        <f>IF(N1305&lt;=1,9,9+0.8*ROUNDUP(N1305-1,0))</f>
        <v>10.6</v>
      </c>
      <c r="AA1305" s="11">
        <v>-2</v>
      </c>
      <c r="AB1305" s="11">
        <v>0</v>
      </c>
      <c r="AC1305" s="11">
        <v>0</v>
      </c>
      <c r="AD1305" s="11">
        <v>0</v>
      </c>
      <c r="AE1305" s="11">
        <v>0</v>
      </c>
      <c r="AF1305" s="11">
        <f t="shared" si="60"/>
        <v>0.51600000000000001</v>
      </c>
      <c r="AG1305" s="11">
        <f t="shared" si="61"/>
        <v>9.1159999999999997</v>
      </c>
      <c r="AH1305" s="11">
        <v>0</v>
      </c>
      <c r="AI1305" s="11">
        <f t="shared" si="62"/>
        <v>9.1159999999999997</v>
      </c>
      <c r="AJ1305" t="s">
        <v>62</v>
      </c>
    </row>
    <row r="1306" spans="1:36" ht="15" customHeight="1" x14ac:dyDescent="0.35">
      <c r="A1306">
        <v>10428918</v>
      </c>
      <c r="B1306" t="s">
        <v>36</v>
      </c>
      <c r="C1306" t="s">
        <v>37</v>
      </c>
      <c r="D1306" s="6" t="s">
        <v>38</v>
      </c>
      <c r="E1306" t="s">
        <v>3929</v>
      </c>
      <c r="F1306" t="s">
        <v>40</v>
      </c>
      <c r="G1306" t="s">
        <v>41</v>
      </c>
      <c r="H1306" t="s">
        <v>3930</v>
      </c>
      <c r="I1306" t="s">
        <v>43</v>
      </c>
      <c r="J1306">
        <v>2</v>
      </c>
      <c r="K1306" t="s">
        <v>44</v>
      </c>
      <c r="L1306" t="s">
        <v>45</v>
      </c>
      <c r="M1306" t="s">
        <v>46</v>
      </c>
      <c r="N1306" s="7">
        <v>1</v>
      </c>
      <c r="O1306" s="8">
        <v>45633.477824074071</v>
      </c>
      <c r="P1306" s="9">
        <v>45635</v>
      </c>
      <c r="Q1306" t="s">
        <v>74</v>
      </c>
      <c r="R1306" t="s">
        <v>48</v>
      </c>
      <c r="S1306" t="s">
        <v>49</v>
      </c>
      <c r="T1306" t="s">
        <v>101</v>
      </c>
      <c r="U1306" t="s">
        <v>3931</v>
      </c>
      <c r="V1306">
        <v>36800</v>
      </c>
      <c r="W1306" t="s">
        <v>48</v>
      </c>
      <c r="X1306" t="s">
        <v>53</v>
      </c>
      <c r="Y1306" t="s">
        <v>54</v>
      </c>
      <c r="Z1306" s="12">
        <f>IF(N1306&lt;=1,9,9+0.8*ROUNDUP(N1306-1,0))</f>
        <v>9</v>
      </c>
      <c r="AA1306" s="11">
        <v>-2</v>
      </c>
      <c r="AB1306" s="11">
        <v>0</v>
      </c>
      <c r="AC1306" s="11">
        <v>0</v>
      </c>
      <c r="AD1306" s="11">
        <v>0</v>
      </c>
      <c r="AE1306" s="11">
        <v>0</v>
      </c>
      <c r="AF1306" s="11">
        <f t="shared" si="60"/>
        <v>0.42</v>
      </c>
      <c r="AG1306" s="11">
        <f t="shared" si="61"/>
        <v>7.42</v>
      </c>
      <c r="AH1306" s="11">
        <v>0</v>
      </c>
      <c r="AI1306" s="11">
        <f t="shared" si="62"/>
        <v>7.42</v>
      </c>
      <c r="AJ1306" t="s">
        <v>62</v>
      </c>
    </row>
    <row r="1307" spans="1:36" ht="15" customHeight="1" x14ac:dyDescent="0.35">
      <c r="A1307">
        <v>10428918</v>
      </c>
      <c r="B1307" t="s">
        <v>36</v>
      </c>
      <c r="C1307" t="s">
        <v>37</v>
      </c>
      <c r="D1307" s="6" t="s">
        <v>38</v>
      </c>
      <c r="E1307" t="s">
        <v>3932</v>
      </c>
      <c r="F1307" t="s">
        <v>40</v>
      </c>
      <c r="G1307" t="s">
        <v>41</v>
      </c>
      <c r="H1307" t="s">
        <v>3933</v>
      </c>
      <c r="I1307" t="s">
        <v>43</v>
      </c>
      <c r="J1307">
        <v>2</v>
      </c>
      <c r="K1307" t="s">
        <v>44</v>
      </c>
      <c r="L1307" t="s">
        <v>45</v>
      </c>
      <c r="M1307" t="s">
        <v>46</v>
      </c>
      <c r="N1307" s="7">
        <v>1</v>
      </c>
      <c r="O1307" s="8">
        <v>45633.697847222225</v>
      </c>
      <c r="P1307" s="9">
        <v>45635</v>
      </c>
      <c r="Q1307" t="s">
        <v>74</v>
      </c>
      <c r="R1307" t="s">
        <v>48</v>
      </c>
      <c r="S1307" t="s">
        <v>49</v>
      </c>
      <c r="T1307" t="s">
        <v>85</v>
      </c>
      <c r="U1307" t="s">
        <v>3934</v>
      </c>
      <c r="V1307">
        <v>71800</v>
      </c>
      <c r="W1307" t="s">
        <v>48</v>
      </c>
      <c r="X1307" t="s">
        <v>266</v>
      </c>
      <c r="Y1307" t="s">
        <v>54</v>
      </c>
      <c r="Z1307" s="12">
        <f>IF(N1307&lt;=1,9,9+0.8*ROUNDUP(N1307-1,0))</f>
        <v>9</v>
      </c>
      <c r="AA1307" s="11">
        <v>-2</v>
      </c>
      <c r="AB1307" s="11">
        <v>0</v>
      </c>
      <c r="AC1307" s="11">
        <v>0</v>
      </c>
      <c r="AD1307" s="11">
        <v>0</v>
      </c>
      <c r="AE1307" s="11">
        <v>0</v>
      </c>
      <c r="AF1307" s="11">
        <f t="shared" si="60"/>
        <v>0.42</v>
      </c>
      <c r="AG1307" s="11">
        <f t="shared" si="61"/>
        <v>7.42</v>
      </c>
      <c r="AH1307" s="11">
        <v>0</v>
      </c>
      <c r="AI1307" s="11">
        <f t="shared" si="62"/>
        <v>7.42</v>
      </c>
      <c r="AJ1307" t="s">
        <v>62</v>
      </c>
    </row>
    <row r="1308" spans="1:36" ht="15" customHeight="1" x14ac:dyDescent="0.35">
      <c r="A1308">
        <v>10428918</v>
      </c>
      <c r="B1308" t="s">
        <v>36</v>
      </c>
      <c r="C1308" t="s">
        <v>37</v>
      </c>
      <c r="D1308" s="6" t="s">
        <v>38</v>
      </c>
      <c r="E1308" t="s">
        <v>3935</v>
      </c>
      <c r="F1308" t="s">
        <v>40</v>
      </c>
      <c r="G1308" t="s">
        <v>41</v>
      </c>
      <c r="H1308" t="s">
        <v>3936</v>
      </c>
      <c r="I1308" t="s">
        <v>43</v>
      </c>
      <c r="J1308">
        <v>2</v>
      </c>
      <c r="K1308" t="s">
        <v>44</v>
      </c>
      <c r="L1308" t="s">
        <v>45</v>
      </c>
      <c r="M1308" t="s">
        <v>46</v>
      </c>
      <c r="N1308" s="7">
        <v>1</v>
      </c>
      <c r="O1308" s="8">
        <v>45633.576782407406</v>
      </c>
      <c r="P1308" s="9">
        <v>45635</v>
      </c>
      <c r="Q1308" t="s">
        <v>74</v>
      </c>
      <c r="R1308" t="s">
        <v>48</v>
      </c>
      <c r="S1308" t="s">
        <v>49</v>
      </c>
      <c r="T1308" t="s">
        <v>117</v>
      </c>
      <c r="U1308" t="s">
        <v>3937</v>
      </c>
      <c r="V1308">
        <v>47000</v>
      </c>
      <c r="W1308" t="s">
        <v>48</v>
      </c>
      <c r="X1308" t="s">
        <v>556</v>
      </c>
      <c r="Y1308" t="s">
        <v>54</v>
      </c>
      <c r="Z1308" s="12">
        <f>IF(N1308&lt;=1,9,9+0.8*ROUNDUP(N1308-1,0))</f>
        <v>9</v>
      </c>
      <c r="AA1308" s="11">
        <v>-2</v>
      </c>
      <c r="AB1308" s="11">
        <v>0</v>
      </c>
      <c r="AC1308" s="11">
        <v>0</v>
      </c>
      <c r="AD1308" s="11">
        <v>0</v>
      </c>
      <c r="AE1308" s="11">
        <v>0</v>
      </c>
      <c r="AF1308" s="11">
        <f t="shared" si="60"/>
        <v>0.42</v>
      </c>
      <c r="AG1308" s="11">
        <f t="shared" si="61"/>
        <v>7.42</v>
      </c>
      <c r="AH1308" s="11">
        <v>0</v>
      </c>
      <c r="AI1308" s="11">
        <f t="shared" si="62"/>
        <v>7.42</v>
      </c>
      <c r="AJ1308" t="s">
        <v>62</v>
      </c>
    </row>
    <row r="1309" spans="1:36" ht="15" customHeight="1" x14ac:dyDescent="0.35">
      <c r="A1309">
        <v>10428918</v>
      </c>
      <c r="B1309" t="s">
        <v>36</v>
      </c>
      <c r="C1309" t="s">
        <v>37</v>
      </c>
      <c r="D1309" s="6" t="s">
        <v>38</v>
      </c>
      <c r="E1309" t="s">
        <v>3938</v>
      </c>
      <c r="F1309" t="s">
        <v>40</v>
      </c>
      <c r="G1309" t="s">
        <v>41</v>
      </c>
      <c r="H1309" t="s">
        <v>3939</v>
      </c>
      <c r="I1309" t="s">
        <v>43</v>
      </c>
      <c r="J1309">
        <v>2</v>
      </c>
      <c r="K1309" t="s">
        <v>44</v>
      </c>
      <c r="L1309" t="s">
        <v>45</v>
      </c>
      <c r="M1309" t="s">
        <v>46</v>
      </c>
      <c r="N1309" s="7">
        <v>1</v>
      </c>
      <c r="O1309" s="8">
        <v>45633.848356481481</v>
      </c>
      <c r="P1309" s="9">
        <v>45635</v>
      </c>
      <c r="Q1309" t="s">
        <v>74</v>
      </c>
      <c r="R1309" t="s">
        <v>48</v>
      </c>
      <c r="S1309" t="s">
        <v>49</v>
      </c>
      <c r="T1309" t="s">
        <v>117</v>
      </c>
      <c r="U1309" t="s">
        <v>3940</v>
      </c>
      <c r="V1309">
        <v>40400</v>
      </c>
      <c r="W1309" t="s">
        <v>48</v>
      </c>
      <c r="X1309" t="s">
        <v>943</v>
      </c>
      <c r="Y1309" t="s">
        <v>54</v>
      </c>
      <c r="Z1309" s="12">
        <f>IF(N1309&lt;=1,9,9+0.8*ROUNDUP(N1309-1,0))</f>
        <v>9</v>
      </c>
      <c r="AA1309" s="11">
        <v>-2</v>
      </c>
      <c r="AB1309" s="11">
        <v>0</v>
      </c>
      <c r="AC1309" s="11">
        <v>0</v>
      </c>
      <c r="AD1309" s="11">
        <v>0</v>
      </c>
      <c r="AE1309" s="11">
        <v>0</v>
      </c>
      <c r="AF1309" s="11">
        <f t="shared" si="60"/>
        <v>0.42</v>
      </c>
      <c r="AG1309" s="11">
        <f t="shared" si="61"/>
        <v>7.42</v>
      </c>
      <c r="AH1309" s="11">
        <v>0</v>
      </c>
      <c r="AI1309" s="11">
        <f t="shared" si="62"/>
        <v>7.42</v>
      </c>
      <c r="AJ1309" t="s">
        <v>62</v>
      </c>
    </row>
    <row r="1310" spans="1:36" ht="15" customHeight="1" x14ac:dyDescent="0.35">
      <c r="A1310">
        <v>10428918</v>
      </c>
      <c r="B1310" t="s">
        <v>36</v>
      </c>
      <c r="C1310" t="s">
        <v>37</v>
      </c>
      <c r="D1310" s="6" t="s">
        <v>38</v>
      </c>
      <c r="E1310" t="s">
        <v>3941</v>
      </c>
      <c r="F1310" t="s">
        <v>40</v>
      </c>
      <c r="G1310" t="s">
        <v>41</v>
      </c>
      <c r="H1310" t="s">
        <v>3942</v>
      </c>
      <c r="I1310" t="s">
        <v>43</v>
      </c>
      <c r="J1310">
        <v>2</v>
      </c>
      <c r="K1310" t="s">
        <v>44</v>
      </c>
      <c r="L1310" t="s">
        <v>45</v>
      </c>
      <c r="M1310" t="s">
        <v>46</v>
      </c>
      <c r="N1310" s="7">
        <v>2</v>
      </c>
      <c r="O1310" s="8">
        <v>45633.498472222222</v>
      </c>
      <c r="P1310" s="9">
        <v>45635</v>
      </c>
      <c r="Q1310" t="s">
        <v>74</v>
      </c>
      <c r="R1310" t="s">
        <v>48</v>
      </c>
      <c r="S1310" t="s">
        <v>49</v>
      </c>
      <c r="T1310" t="s">
        <v>559</v>
      </c>
      <c r="U1310" t="s">
        <v>3943</v>
      </c>
      <c r="V1310">
        <v>62150</v>
      </c>
      <c r="W1310" t="s">
        <v>48</v>
      </c>
      <c r="X1310" t="s">
        <v>224</v>
      </c>
      <c r="Y1310" t="s">
        <v>54</v>
      </c>
      <c r="Z1310" s="12">
        <f>IF(N1310&lt;=1,9,9+0.8*ROUNDUP(N1310-1,0))</f>
        <v>9.8000000000000007</v>
      </c>
      <c r="AA1310" s="11">
        <v>-2</v>
      </c>
      <c r="AB1310" s="11">
        <v>0</v>
      </c>
      <c r="AC1310" s="11">
        <v>0</v>
      </c>
      <c r="AD1310" s="11">
        <v>0</v>
      </c>
      <c r="AE1310" s="11">
        <v>0</v>
      </c>
      <c r="AF1310" s="11">
        <f t="shared" si="60"/>
        <v>0.46800000000000003</v>
      </c>
      <c r="AG1310" s="11">
        <f t="shared" si="61"/>
        <v>8.2680000000000007</v>
      </c>
      <c r="AH1310" s="11">
        <v>0</v>
      </c>
      <c r="AI1310" s="11">
        <f t="shared" si="62"/>
        <v>8.2680000000000007</v>
      </c>
      <c r="AJ1310" t="s">
        <v>62</v>
      </c>
    </row>
    <row r="1311" spans="1:36" ht="15" customHeight="1" x14ac:dyDescent="0.35">
      <c r="A1311">
        <v>10428918</v>
      </c>
      <c r="B1311" t="s">
        <v>36</v>
      </c>
      <c r="C1311" t="s">
        <v>37</v>
      </c>
      <c r="D1311" s="6" t="s">
        <v>38</v>
      </c>
      <c r="E1311" t="s">
        <v>3944</v>
      </c>
      <c r="F1311" t="s">
        <v>40</v>
      </c>
      <c r="G1311" t="s">
        <v>41</v>
      </c>
      <c r="H1311" t="s">
        <v>3945</v>
      </c>
      <c r="I1311" t="s">
        <v>43</v>
      </c>
      <c r="J1311">
        <v>2</v>
      </c>
      <c r="K1311" t="s">
        <v>44</v>
      </c>
      <c r="L1311" t="s">
        <v>45</v>
      </c>
      <c r="M1311" t="s">
        <v>46</v>
      </c>
      <c r="N1311" s="7">
        <v>1</v>
      </c>
      <c r="O1311" s="8">
        <v>45633.4216087963</v>
      </c>
      <c r="P1311" s="9">
        <v>45635</v>
      </c>
      <c r="Q1311" t="s">
        <v>74</v>
      </c>
      <c r="R1311" t="s">
        <v>48</v>
      </c>
      <c r="S1311" t="s">
        <v>49</v>
      </c>
      <c r="T1311" t="s">
        <v>69</v>
      </c>
      <c r="U1311" t="s">
        <v>3946</v>
      </c>
      <c r="V1311">
        <v>81700</v>
      </c>
      <c r="W1311" t="s">
        <v>48</v>
      </c>
      <c r="X1311" t="s">
        <v>841</v>
      </c>
      <c r="Y1311" t="s">
        <v>54</v>
      </c>
      <c r="Z1311" s="12">
        <f>IF(N1311&lt;=1,9,9+0.8*ROUNDUP(N1311-1,0))</f>
        <v>9</v>
      </c>
      <c r="AA1311" s="11">
        <v>-2</v>
      </c>
      <c r="AB1311" s="11">
        <v>0</v>
      </c>
      <c r="AC1311" s="11">
        <v>0</v>
      </c>
      <c r="AD1311" s="11">
        <v>0</v>
      </c>
      <c r="AE1311" s="11">
        <v>0</v>
      </c>
      <c r="AF1311" s="11">
        <f t="shared" si="60"/>
        <v>0.42</v>
      </c>
      <c r="AG1311" s="11">
        <f t="shared" si="61"/>
        <v>7.42</v>
      </c>
      <c r="AH1311" s="11">
        <v>0</v>
      </c>
      <c r="AI1311" s="11">
        <f t="shared" si="62"/>
        <v>7.42</v>
      </c>
      <c r="AJ1311" t="s">
        <v>62</v>
      </c>
    </row>
    <row r="1312" spans="1:36" ht="15" customHeight="1" x14ac:dyDescent="0.35">
      <c r="A1312">
        <v>10428918</v>
      </c>
      <c r="B1312" t="s">
        <v>36</v>
      </c>
      <c r="C1312" t="s">
        <v>37</v>
      </c>
      <c r="D1312" s="6" t="s">
        <v>38</v>
      </c>
      <c r="E1312" t="s">
        <v>3947</v>
      </c>
      <c r="F1312" t="s">
        <v>40</v>
      </c>
      <c r="G1312" t="s">
        <v>41</v>
      </c>
      <c r="H1312" t="s">
        <v>3948</v>
      </c>
      <c r="I1312" t="s">
        <v>43</v>
      </c>
      <c r="J1312">
        <v>2</v>
      </c>
      <c r="K1312" t="s">
        <v>44</v>
      </c>
      <c r="L1312" t="s">
        <v>45</v>
      </c>
      <c r="M1312" t="s">
        <v>46</v>
      </c>
      <c r="N1312" s="7">
        <v>1</v>
      </c>
      <c r="O1312" s="8">
        <v>45631.823518518519</v>
      </c>
      <c r="P1312" s="9">
        <v>45635</v>
      </c>
      <c r="Q1312" t="s">
        <v>58</v>
      </c>
      <c r="R1312" t="s">
        <v>48</v>
      </c>
      <c r="S1312" t="s">
        <v>49</v>
      </c>
      <c r="T1312" t="s">
        <v>693</v>
      </c>
      <c r="U1312" t="s">
        <v>3949</v>
      </c>
      <c r="V1312">
        <v>1000</v>
      </c>
      <c r="W1312" t="s">
        <v>48</v>
      </c>
      <c r="X1312" t="s">
        <v>53</v>
      </c>
      <c r="Y1312" t="s">
        <v>54</v>
      </c>
      <c r="Z1312" s="12">
        <f>IF(N1312&lt;=1,9,9+0.8*ROUNDUP(N1312-1,0))</f>
        <v>9</v>
      </c>
      <c r="AA1312" s="11">
        <v>-2</v>
      </c>
      <c r="AB1312" s="11">
        <v>0</v>
      </c>
      <c r="AC1312" s="11">
        <v>0</v>
      </c>
      <c r="AD1312" s="11">
        <v>0</v>
      </c>
      <c r="AE1312" s="11">
        <v>0</v>
      </c>
      <c r="AF1312" s="11">
        <f t="shared" si="60"/>
        <v>0.42</v>
      </c>
      <c r="AG1312" s="11">
        <f t="shared" si="61"/>
        <v>7.42</v>
      </c>
      <c r="AH1312" s="11">
        <v>0</v>
      </c>
      <c r="AI1312" s="11">
        <f t="shared" si="62"/>
        <v>7.42</v>
      </c>
      <c r="AJ1312" t="s">
        <v>62</v>
      </c>
    </row>
    <row r="1313" spans="1:36" ht="15" customHeight="1" x14ac:dyDescent="0.35">
      <c r="A1313">
        <v>10428918</v>
      </c>
      <c r="B1313" t="s">
        <v>36</v>
      </c>
      <c r="C1313" t="s">
        <v>37</v>
      </c>
      <c r="D1313" s="6" t="s">
        <v>38</v>
      </c>
      <c r="E1313" t="s">
        <v>3950</v>
      </c>
      <c r="F1313" t="s">
        <v>40</v>
      </c>
      <c r="G1313" t="s">
        <v>41</v>
      </c>
      <c r="H1313" t="s">
        <v>3951</v>
      </c>
      <c r="I1313" t="s">
        <v>43</v>
      </c>
      <c r="J1313">
        <v>2</v>
      </c>
      <c r="K1313" t="s">
        <v>44</v>
      </c>
      <c r="L1313" t="s">
        <v>45</v>
      </c>
      <c r="M1313" t="s">
        <v>46</v>
      </c>
      <c r="N1313" s="7">
        <v>1</v>
      </c>
      <c r="O1313" s="8">
        <v>45634.388518518521</v>
      </c>
      <c r="P1313" s="9">
        <v>45635</v>
      </c>
      <c r="Q1313" t="s">
        <v>74</v>
      </c>
      <c r="R1313" t="s">
        <v>48</v>
      </c>
      <c r="S1313" t="s">
        <v>49</v>
      </c>
      <c r="T1313" t="s">
        <v>90</v>
      </c>
      <c r="U1313" t="s">
        <v>3952</v>
      </c>
      <c r="V1313">
        <v>21020</v>
      </c>
      <c r="W1313" t="s">
        <v>48</v>
      </c>
      <c r="X1313" t="s">
        <v>92</v>
      </c>
      <c r="Y1313" t="s">
        <v>54</v>
      </c>
      <c r="Z1313" s="12">
        <f>IF(N1313&lt;=1,9,9+0.8*ROUNDUP(N1313-1,0))</f>
        <v>9</v>
      </c>
      <c r="AA1313" s="11">
        <v>-2</v>
      </c>
      <c r="AB1313" s="11">
        <v>0</v>
      </c>
      <c r="AC1313" s="11">
        <v>0</v>
      </c>
      <c r="AD1313" s="11">
        <v>0</v>
      </c>
      <c r="AE1313" s="11">
        <v>0</v>
      </c>
      <c r="AF1313" s="11">
        <f t="shared" si="60"/>
        <v>0.42</v>
      </c>
      <c r="AG1313" s="11">
        <f t="shared" si="61"/>
        <v>7.42</v>
      </c>
      <c r="AH1313" s="11">
        <v>0</v>
      </c>
      <c r="AI1313" s="11">
        <f t="shared" si="62"/>
        <v>7.42</v>
      </c>
      <c r="AJ1313" t="s">
        <v>62</v>
      </c>
    </row>
    <row r="1314" spans="1:36" ht="15" customHeight="1" x14ac:dyDescent="0.35">
      <c r="A1314">
        <v>10428918</v>
      </c>
      <c r="B1314" t="s">
        <v>36</v>
      </c>
      <c r="C1314" t="s">
        <v>37</v>
      </c>
      <c r="D1314" s="6" t="s">
        <v>38</v>
      </c>
      <c r="E1314" t="s">
        <v>3953</v>
      </c>
      <c r="F1314" t="s">
        <v>40</v>
      </c>
      <c r="G1314" t="s">
        <v>41</v>
      </c>
      <c r="H1314" t="s">
        <v>3954</v>
      </c>
      <c r="I1314" t="s">
        <v>43</v>
      </c>
      <c r="J1314">
        <v>2</v>
      </c>
      <c r="K1314" t="s">
        <v>44</v>
      </c>
      <c r="L1314" t="s">
        <v>45</v>
      </c>
      <c r="M1314" t="s">
        <v>46</v>
      </c>
      <c r="N1314" s="7">
        <v>2</v>
      </c>
      <c r="O1314" s="8">
        <v>45633.421620370369</v>
      </c>
      <c r="P1314" s="9">
        <v>45635</v>
      </c>
      <c r="Q1314" t="s">
        <v>74</v>
      </c>
      <c r="R1314" t="s">
        <v>48</v>
      </c>
      <c r="S1314" t="s">
        <v>49</v>
      </c>
      <c r="T1314" t="s">
        <v>69</v>
      </c>
      <c r="U1314" t="s">
        <v>3955</v>
      </c>
      <c r="V1314">
        <v>81000</v>
      </c>
      <c r="W1314" t="s">
        <v>48</v>
      </c>
      <c r="X1314" t="s">
        <v>861</v>
      </c>
      <c r="Y1314" t="s">
        <v>54</v>
      </c>
      <c r="Z1314" s="12">
        <f>IF(N1314&lt;=1,9,9+0.8*ROUNDUP(N1314-1,0))</f>
        <v>9.8000000000000007</v>
      </c>
      <c r="AA1314" s="11">
        <v>-2</v>
      </c>
      <c r="AB1314" s="11">
        <v>0</v>
      </c>
      <c r="AC1314" s="11">
        <v>0</v>
      </c>
      <c r="AD1314" s="11">
        <v>0</v>
      </c>
      <c r="AE1314" s="11">
        <v>0</v>
      </c>
      <c r="AF1314" s="11">
        <f t="shared" si="60"/>
        <v>0.46800000000000003</v>
      </c>
      <c r="AG1314" s="11">
        <f t="shared" si="61"/>
        <v>8.2680000000000007</v>
      </c>
      <c r="AH1314" s="11">
        <v>0</v>
      </c>
      <c r="AI1314" s="11">
        <f t="shared" si="62"/>
        <v>8.2680000000000007</v>
      </c>
      <c r="AJ1314" t="s">
        <v>62</v>
      </c>
    </row>
    <row r="1315" spans="1:36" ht="15" customHeight="1" x14ac:dyDescent="0.35">
      <c r="A1315">
        <v>10428918</v>
      </c>
      <c r="B1315" t="s">
        <v>36</v>
      </c>
      <c r="C1315" t="s">
        <v>37</v>
      </c>
      <c r="D1315" s="6" t="s">
        <v>38</v>
      </c>
      <c r="E1315" t="s">
        <v>3956</v>
      </c>
      <c r="F1315" t="s">
        <v>40</v>
      </c>
      <c r="G1315" t="s">
        <v>41</v>
      </c>
      <c r="H1315" t="s">
        <v>1556</v>
      </c>
      <c r="I1315" t="s">
        <v>43</v>
      </c>
      <c r="J1315">
        <v>2</v>
      </c>
      <c r="K1315" t="s">
        <v>44</v>
      </c>
      <c r="L1315" t="s">
        <v>45</v>
      </c>
      <c r="M1315" t="s">
        <v>46</v>
      </c>
      <c r="N1315" s="7">
        <v>3</v>
      </c>
      <c r="O1315" s="8">
        <v>45633.856504629628</v>
      </c>
      <c r="P1315" s="9">
        <v>45635</v>
      </c>
      <c r="Q1315" t="s">
        <v>74</v>
      </c>
      <c r="R1315" t="s">
        <v>48</v>
      </c>
      <c r="S1315" t="s">
        <v>49</v>
      </c>
      <c r="T1315" t="s">
        <v>59</v>
      </c>
      <c r="U1315" t="s">
        <v>1557</v>
      </c>
      <c r="V1315">
        <v>16800</v>
      </c>
      <c r="W1315" t="s">
        <v>48</v>
      </c>
      <c r="X1315" t="s">
        <v>61</v>
      </c>
      <c r="Y1315" t="s">
        <v>54</v>
      </c>
      <c r="Z1315" s="12">
        <f>IF(N1315&lt;=1,9,9+0.8*ROUNDUP(N1315-1,0))</f>
        <v>10.6</v>
      </c>
      <c r="AA1315" s="11">
        <v>-2</v>
      </c>
      <c r="AB1315" s="11">
        <v>0</v>
      </c>
      <c r="AC1315" s="11">
        <v>0</v>
      </c>
      <c r="AD1315" s="11">
        <v>0</v>
      </c>
      <c r="AE1315" s="11">
        <v>0</v>
      </c>
      <c r="AF1315" s="11">
        <f t="shared" si="60"/>
        <v>0.51600000000000001</v>
      </c>
      <c r="AG1315" s="11">
        <f t="shared" si="61"/>
        <v>9.1159999999999997</v>
      </c>
      <c r="AH1315" s="11">
        <v>0</v>
      </c>
      <c r="AI1315" s="11">
        <f t="shared" si="62"/>
        <v>9.1159999999999997</v>
      </c>
      <c r="AJ1315" t="s">
        <v>62</v>
      </c>
    </row>
    <row r="1316" spans="1:36" ht="15" customHeight="1" x14ac:dyDescent="0.35">
      <c r="A1316">
        <v>10428918</v>
      </c>
      <c r="B1316" t="s">
        <v>36</v>
      </c>
      <c r="C1316" t="s">
        <v>37</v>
      </c>
      <c r="D1316" s="6" t="s">
        <v>38</v>
      </c>
      <c r="E1316" t="s">
        <v>3957</v>
      </c>
      <c r="F1316" t="s">
        <v>40</v>
      </c>
      <c r="G1316" t="s">
        <v>41</v>
      </c>
      <c r="H1316" t="s">
        <v>3958</v>
      </c>
      <c r="I1316" t="s">
        <v>43</v>
      </c>
      <c r="J1316">
        <v>2</v>
      </c>
      <c r="K1316" t="s">
        <v>44</v>
      </c>
      <c r="L1316" t="s">
        <v>45</v>
      </c>
      <c r="M1316" t="s">
        <v>46</v>
      </c>
      <c r="N1316" s="7">
        <v>1</v>
      </c>
      <c r="O1316" s="8">
        <v>45631.796585648146</v>
      </c>
      <c r="P1316" s="9">
        <v>45635</v>
      </c>
      <c r="Q1316" t="s">
        <v>58</v>
      </c>
      <c r="R1316" t="s">
        <v>48</v>
      </c>
      <c r="S1316" t="s">
        <v>49</v>
      </c>
      <c r="T1316" t="s">
        <v>693</v>
      </c>
      <c r="U1316" t="s">
        <v>3959</v>
      </c>
      <c r="V1316">
        <v>2600</v>
      </c>
      <c r="W1316" t="s">
        <v>48</v>
      </c>
      <c r="X1316" t="s">
        <v>695</v>
      </c>
      <c r="Y1316" t="s">
        <v>54</v>
      </c>
      <c r="Z1316" s="12">
        <f>IF(N1316&lt;=1,9,9+0.8*ROUNDUP(N1316-1,0))</f>
        <v>9</v>
      </c>
      <c r="AA1316" s="11">
        <v>-2</v>
      </c>
      <c r="AB1316" s="11">
        <v>0</v>
      </c>
      <c r="AC1316" s="11">
        <v>0</v>
      </c>
      <c r="AD1316" s="11">
        <v>0</v>
      </c>
      <c r="AE1316" s="11">
        <v>0</v>
      </c>
      <c r="AF1316" s="11">
        <f t="shared" si="60"/>
        <v>0.42</v>
      </c>
      <c r="AG1316" s="11">
        <f t="shared" si="61"/>
        <v>7.42</v>
      </c>
      <c r="AH1316" s="11">
        <v>0</v>
      </c>
      <c r="AI1316" s="11">
        <f t="shared" si="62"/>
        <v>7.42</v>
      </c>
      <c r="AJ1316" t="s">
        <v>62</v>
      </c>
    </row>
    <row r="1317" spans="1:36" ht="15" customHeight="1" x14ac:dyDescent="0.35">
      <c r="A1317">
        <v>10428918</v>
      </c>
      <c r="B1317" t="s">
        <v>36</v>
      </c>
      <c r="C1317" t="s">
        <v>37</v>
      </c>
      <c r="D1317" s="6" t="s">
        <v>38</v>
      </c>
      <c r="E1317" t="s">
        <v>3960</v>
      </c>
      <c r="F1317" t="s">
        <v>40</v>
      </c>
      <c r="G1317" t="s">
        <v>41</v>
      </c>
      <c r="H1317" t="s">
        <v>3961</v>
      </c>
      <c r="I1317" t="s">
        <v>43</v>
      </c>
      <c r="J1317">
        <v>2</v>
      </c>
      <c r="K1317" t="s">
        <v>44</v>
      </c>
      <c r="L1317" t="s">
        <v>45</v>
      </c>
      <c r="M1317" t="s">
        <v>46</v>
      </c>
      <c r="N1317" s="7">
        <v>1</v>
      </c>
      <c r="O1317" s="8">
        <v>45633.83865740741</v>
      </c>
      <c r="P1317" s="9">
        <v>45635</v>
      </c>
      <c r="Q1317" t="s">
        <v>74</v>
      </c>
      <c r="R1317" t="s">
        <v>48</v>
      </c>
      <c r="S1317" t="s">
        <v>49</v>
      </c>
      <c r="T1317" t="s">
        <v>90</v>
      </c>
      <c r="U1317" t="s">
        <v>3962</v>
      </c>
      <c r="V1317">
        <v>21300</v>
      </c>
      <c r="W1317" t="s">
        <v>48</v>
      </c>
      <c r="X1317" t="s">
        <v>92</v>
      </c>
      <c r="Y1317" t="s">
        <v>54</v>
      </c>
      <c r="Z1317" s="12">
        <f>IF(N1317&lt;=1,9,9+0.8*ROUNDUP(N1317-1,0))</f>
        <v>9</v>
      </c>
      <c r="AA1317" s="11">
        <v>-2</v>
      </c>
      <c r="AB1317" s="11">
        <v>0</v>
      </c>
      <c r="AC1317" s="11">
        <v>0</v>
      </c>
      <c r="AD1317" s="11">
        <v>0</v>
      </c>
      <c r="AE1317" s="11">
        <v>0</v>
      </c>
      <c r="AF1317" s="11">
        <f t="shared" si="60"/>
        <v>0.42</v>
      </c>
      <c r="AG1317" s="11">
        <f t="shared" si="61"/>
        <v>7.42</v>
      </c>
      <c r="AH1317" s="11">
        <v>0</v>
      </c>
      <c r="AI1317" s="11">
        <f t="shared" si="62"/>
        <v>7.42</v>
      </c>
      <c r="AJ1317" t="s">
        <v>62</v>
      </c>
    </row>
    <row r="1318" spans="1:36" ht="15" customHeight="1" x14ac:dyDescent="0.35">
      <c r="A1318">
        <v>10428918</v>
      </c>
      <c r="B1318" t="s">
        <v>36</v>
      </c>
      <c r="C1318" t="s">
        <v>37</v>
      </c>
      <c r="D1318" s="6" t="s">
        <v>38</v>
      </c>
      <c r="E1318" t="s">
        <v>3963</v>
      </c>
      <c r="F1318" t="s">
        <v>40</v>
      </c>
      <c r="G1318" t="s">
        <v>41</v>
      </c>
      <c r="H1318" t="s">
        <v>3964</v>
      </c>
      <c r="I1318" t="s">
        <v>43</v>
      </c>
      <c r="J1318">
        <v>2</v>
      </c>
      <c r="K1318" t="s">
        <v>44</v>
      </c>
      <c r="L1318" t="s">
        <v>45</v>
      </c>
      <c r="M1318" t="s">
        <v>46</v>
      </c>
      <c r="N1318" s="7">
        <v>1</v>
      </c>
      <c r="O1318" s="8">
        <v>45633.742025462961</v>
      </c>
      <c r="P1318" s="9">
        <v>45635</v>
      </c>
      <c r="Q1318" t="s">
        <v>74</v>
      </c>
      <c r="R1318" t="s">
        <v>48</v>
      </c>
      <c r="S1318" t="s">
        <v>49</v>
      </c>
      <c r="T1318" t="s">
        <v>65</v>
      </c>
      <c r="U1318" t="s">
        <v>3965</v>
      </c>
      <c r="V1318">
        <v>75450</v>
      </c>
      <c r="W1318" t="s">
        <v>48</v>
      </c>
      <c r="X1318" t="s">
        <v>53</v>
      </c>
      <c r="Y1318" t="s">
        <v>54</v>
      </c>
      <c r="Z1318" s="12">
        <f>IF(N1318&lt;=1,9,9+0.8*ROUNDUP(N1318-1,0))</f>
        <v>9</v>
      </c>
      <c r="AA1318" s="11">
        <v>-2</v>
      </c>
      <c r="AB1318" s="11">
        <v>0</v>
      </c>
      <c r="AC1318" s="11">
        <v>0</v>
      </c>
      <c r="AD1318" s="11">
        <v>0</v>
      </c>
      <c r="AE1318" s="11">
        <v>0</v>
      </c>
      <c r="AF1318" s="11">
        <f t="shared" si="60"/>
        <v>0.42</v>
      </c>
      <c r="AG1318" s="11">
        <f t="shared" si="61"/>
        <v>7.42</v>
      </c>
      <c r="AH1318" s="11">
        <v>0</v>
      </c>
      <c r="AI1318" s="11">
        <f t="shared" si="62"/>
        <v>7.42</v>
      </c>
      <c r="AJ1318" t="s">
        <v>62</v>
      </c>
    </row>
    <row r="1319" spans="1:36" ht="15" customHeight="1" x14ac:dyDescent="0.35">
      <c r="A1319">
        <v>10428918</v>
      </c>
      <c r="B1319" t="s">
        <v>36</v>
      </c>
      <c r="C1319" t="s">
        <v>37</v>
      </c>
      <c r="D1319" s="6" t="s">
        <v>38</v>
      </c>
      <c r="E1319" t="s">
        <v>3966</v>
      </c>
      <c r="F1319" t="s">
        <v>40</v>
      </c>
      <c r="G1319" t="s">
        <v>41</v>
      </c>
      <c r="H1319" t="s">
        <v>3967</v>
      </c>
      <c r="I1319" t="s">
        <v>43</v>
      </c>
      <c r="J1319">
        <v>2</v>
      </c>
      <c r="K1319" t="s">
        <v>44</v>
      </c>
      <c r="L1319" t="s">
        <v>45</v>
      </c>
      <c r="M1319" t="s">
        <v>46</v>
      </c>
      <c r="N1319" s="7">
        <v>1</v>
      </c>
      <c r="O1319" s="8">
        <v>45633.729641203703</v>
      </c>
      <c r="P1319" s="9">
        <v>45635</v>
      </c>
      <c r="Q1319" t="s">
        <v>74</v>
      </c>
      <c r="R1319" t="s">
        <v>48</v>
      </c>
      <c r="S1319" t="s">
        <v>49</v>
      </c>
      <c r="T1319" t="s">
        <v>170</v>
      </c>
      <c r="U1319" t="s">
        <v>3968</v>
      </c>
      <c r="V1319">
        <v>54100</v>
      </c>
      <c r="W1319" t="s">
        <v>48</v>
      </c>
      <c r="X1319" t="s">
        <v>53</v>
      </c>
      <c r="Y1319" t="s">
        <v>54</v>
      </c>
      <c r="Z1319" s="12">
        <f>IF(N1319&lt;=1,9,9+0.8*ROUNDUP(N1319-1,0))</f>
        <v>9</v>
      </c>
      <c r="AA1319" s="11">
        <v>-2</v>
      </c>
      <c r="AB1319" s="11">
        <v>0</v>
      </c>
      <c r="AC1319" s="11">
        <v>0</v>
      </c>
      <c r="AD1319" s="11">
        <v>0</v>
      </c>
      <c r="AE1319" s="11">
        <v>0</v>
      </c>
      <c r="AF1319" s="11">
        <f t="shared" si="60"/>
        <v>0.42</v>
      </c>
      <c r="AG1319" s="11">
        <f t="shared" si="61"/>
        <v>7.42</v>
      </c>
      <c r="AH1319" s="11">
        <v>0</v>
      </c>
      <c r="AI1319" s="11">
        <f t="shared" si="62"/>
        <v>7.42</v>
      </c>
      <c r="AJ1319" t="s">
        <v>62</v>
      </c>
    </row>
    <row r="1320" spans="1:36" ht="15" customHeight="1" x14ac:dyDescent="0.35">
      <c r="A1320">
        <v>10428918</v>
      </c>
      <c r="B1320" t="s">
        <v>36</v>
      </c>
      <c r="C1320" t="s">
        <v>37</v>
      </c>
      <c r="D1320" s="6" t="s">
        <v>38</v>
      </c>
      <c r="E1320" t="s">
        <v>3969</v>
      </c>
      <c r="F1320" t="s">
        <v>40</v>
      </c>
      <c r="G1320" t="s">
        <v>41</v>
      </c>
      <c r="H1320" t="s">
        <v>3970</v>
      </c>
      <c r="I1320" t="s">
        <v>43</v>
      </c>
      <c r="J1320">
        <v>2</v>
      </c>
      <c r="K1320" t="s">
        <v>44</v>
      </c>
      <c r="L1320" t="s">
        <v>45</v>
      </c>
      <c r="M1320" t="s">
        <v>46</v>
      </c>
      <c r="N1320" s="7">
        <v>1</v>
      </c>
      <c r="O1320" s="8">
        <v>45634.630196759259</v>
      </c>
      <c r="P1320" s="9">
        <v>45635</v>
      </c>
      <c r="Q1320" t="s">
        <v>74</v>
      </c>
      <c r="R1320" t="s">
        <v>48</v>
      </c>
      <c r="S1320" t="s">
        <v>49</v>
      </c>
      <c r="T1320" t="s">
        <v>117</v>
      </c>
      <c r="U1320" t="s">
        <v>3971</v>
      </c>
      <c r="V1320">
        <v>43000</v>
      </c>
      <c r="W1320" t="s">
        <v>48</v>
      </c>
      <c r="X1320" t="s">
        <v>191</v>
      </c>
      <c r="Y1320" t="s">
        <v>54</v>
      </c>
      <c r="Z1320" s="12">
        <f>IF(N1320&lt;=1,9,9+0.8*ROUNDUP(N1320-1,0))</f>
        <v>9</v>
      </c>
      <c r="AA1320" s="11">
        <v>-2</v>
      </c>
      <c r="AB1320" s="11">
        <v>0</v>
      </c>
      <c r="AC1320" s="11">
        <v>0</v>
      </c>
      <c r="AD1320" s="11">
        <v>0</v>
      </c>
      <c r="AE1320" s="11">
        <v>0</v>
      </c>
      <c r="AF1320" s="11">
        <f t="shared" si="60"/>
        <v>0.42</v>
      </c>
      <c r="AG1320" s="11">
        <f t="shared" si="61"/>
        <v>7.42</v>
      </c>
      <c r="AH1320" s="11">
        <v>0</v>
      </c>
      <c r="AI1320" s="11">
        <f t="shared" si="62"/>
        <v>7.42</v>
      </c>
      <c r="AJ1320" t="s">
        <v>62</v>
      </c>
    </row>
    <row r="1321" spans="1:36" ht="15" customHeight="1" x14ac:dyDescent="0.35">
      <c r="A1321">
        <v>10428918</v>
      </c>
      <c r="B1321" t="s">
        <v>36</v>
      </c>
      <c r="C1321" t="s">
        <v>37</v>
      </c>
      <c r="D1321" s="6" t="s">
        <v>38</v>
      </c>
      <c r="E1321" t="s">
        <v>3972</v>
      </c>
      <c r="F1321" t="s">
        <v>40</v>
      </c>
      <c r="G1321" t="s">
        <v>41</v>
      </c>
      <c r="H1321" t="s">
        <v>3973</v>
      </c>
      <c r="I1321" t="s">
        <v>43</v>
      </c>
      <c r="J1321">
        <v>2</v>
      </c>
      <c r="K1321" t="s">
        <v>44</v>
      </c>
      <c r="L1321" t="s">
        <v>45</v>
      </c>
      <c r="M1321" t="s">
        <v>46</v>
      </c>
      <c r="N1321" s="7">
        <v>1</v>
      </c>
      <c r="O1321" s="8">
        <v>45633.742025462961</v>
      </c>
      <c r="P1321" s="9">
        <v>45635</v>
      </c>
      <c r="Q1321" t="s">
        <v>74</v>
      </c>
      <c r="R1321" t="s">
        <v>48</v>
      </c>
      <c r="S1321" t="s">
        <v>49</v>
      </c>
      <c r="T1321" t="s">
        <v>117</v>
      </c>
      <c r="U1321" t="s">
        <v>3974</v>
      </c>
      <c r="V1321">
        <v>42300</v>
      </c>
      <c r="W1321" t="s">
        <v>48</v>
      </c>
      <c r="X1321" t="s">
        <v>53</v>
      </c>
      <c r="Y1321" t="s">
        <v>54</v>
      </c>
      <c r="Z1321" s="12">
        <f>IF(N1321&lt;=1,9,9+0.8*ROUNDUP(N1321-1,0))</f>
        <v>9</v>
      </c>
      <c r="AA1321" s="11">
        <v>-2</v>
      </c>
      <c r="AB1321" s="11">
        <v>0</v>
      </c>
      <c r="AC1321" s="11">
        <v>0</v>
      </c>
      <c r="AD1321" s="11">
        <v>0</v>
      </c>
      <c r="AE1321" s="11">
        <v>0</v>
      </c>
      <c r="AF1321" s="11">
        <f t="shared" si="60"/>
        <v>0.42</v>
      </c>
      <c r="AG1321" s="11">
        <f t="shared" si="61"/>
        <v>7.42</v>
      </c>
      <c r="AH1321" s="11">
        <v>0</v>
      </c>
      <c r="AI1321" s="11">
        <f t="shared" si="62"/>
        <v>7.42</v>
      </c>
      <c r="AJ1321" t="s">
        <v>62</v>
      </c>
    </row>
    <row r="1322" spans="1:36" ht="15" customHeight="1" x14ac:dyDescent="0.35">
      <c r="A1322">
        <v>10428918</v>
      </c>
      <c r="B1322" t="s">
        <v>36</v>
      </c>
      <c r="C1322" t="s">
        <v>37</v>
      </c>
      <c r="D1322" s="6" t="s">
        <v>38</v>
      </c>
      <c r="E1322" t="s">
        <v>3975</v>
      </c>
      <c r="F1322" t="s">
        <v>40</v>
      </c>
      <c r="G1322" t="s">
        <v>41</v>
      </c>
      <c r="H1322" t="s">
        <v>3976</v>
      </c>
      <c r="I1322" t="s">
        <v>43</v>
      </c>
      <c r="J1322">
        <v>2</v>
      </c>
      <c r="K1322" t="s">
        <v>44</v>
      </c>
      <c r="L1322" t="s">
        <v>45</v>
      </c>
      <c r="M1322" t="s">
        <v>46</v>
      </c>
      <c r="N1322" s="7">
        <v>1</v>
      </c>
      <c r="O1322" s="8">
        <v>45633.848368055558</v>
      </c>
      <c r="P1322" s="9">
        <v>45635</v>
      </c>
      <c r="Q1322" t="s">
        <v>74</v>
      </c>
      <c r="R1322" t="s">
        <v>48</v>
      </c>
      <c r="S1322" t="s">
        <v>49</v>
      </c>
      <c r="T1322" t="s">
        <v>170</v>
      </c>
      <c r="U1322" t="s">
        <v>3977</v>
      </c>
      <c r="V1322">
        <v>59100</v>
      </c>
      <c r="W1322" t="s">
        <v>48</v>
      </c>
      <c r="X1322" t="s">
        <v>3194</v>
      </c>
      <c r="Y1322" t="s">
        <v>54</v>
      </c>
      <c r="Z1322" s="12">
        <f>IF(N1322&lt;=1,9,9+0.8*ROUNDUP(N1322-1,0))</f>
        <v>9</v>
      </c>
      <c r="AA1322" s="11">
        <v>-2</v>
      </c>
      <c r="AB1322" s="11">
        <v>0</v>
      </c>
      <c r="AC1322" s="11">
        <v>0</v>
      </c>
      <c r="AD1322" s="11">
        <v>0</v>
      </c>
      <c r="AE1322" s="11">
        <v>0</v>
      </c>
      <c r="AF1322" s="11">
        <f t="shared" si="60"/>
        <v>0.42</v>
      </c>
      <c r="AG1322" s="11">
        <f t="shared" si="61"/>
        <v>7.42</v>
      </c>
      <c r="AH1322" s="11">
        <v>0</v>
      </c>
      <c r="AI1322" s="11">
        <f t="shared" si="62"/>
        <v>7.42</v>
      </c>
      <c r="AJ1322" t="s">
        <v>62</v>
      </c>
    </row>
    <row r="1323" spans="1:36" ht="15" customHeight="1" x14ac:dyDescent="0.35">
      <c r="A1323">
        <v>10428918</v>
      </c>
      <c r="B1323" t="s">
        <v>36</v>
      </c>
      <c r="C1323" t="s">
        <v>37</v>
      </c>
      <c r="D1323" s="6" t="s">
        <v>38</v>
      </c>
      <c r="E1323" t="s">
        <v>3978</v>
      </c>
      <c r="F1323" t="s">
        <v>40</v>
      </c>
      <c r="G1323" t="s">
        <v>41</v>
      </c>
      <c r="H1323" t="s">
        <v>310</v>
      </c>
      <c r="I1323" t="s">
        <v>43</v>
      </c>
      <c r="J1323">
        <v>2</v>
      </c>
      <c r="K1323" t="s">
        <v>44</v>
      </c>
      <c r="L1323" t="s">
        <v>45</v>
      </c>
      <c r="M1323" t="s">
        <v>46</v>
      </c>
      <c r="N1323" s="7">
        <v>2</v>
      </c>
      <c r="O1323" s="8">
        <v>45634.616666666669</v>
      </c>
      <c r="P1323" s="9">
        <v>45635</v>
      </c>
      <c r="Q1323" t="s">
        <v>74</v>
      </c>
      <c r="R1323" t="s">
        <v>48</v>
      </c>
      <c r="S1323" t="s">
        <v>49</v>
      </c>
      <c r="T1323" t="s">
        <v>117</v>
      </c>
      <c r="U1323" t="s">
        <v>311</v>
      </c>
      <c r="V1323">
        <v>43000</v>
      </c>
      <c r="W1323" t="s">
        <v>48</v>
      </c>
      <c r="X1323" t="s">
        <v>191</v>
      </c>
      <c r="Y1323" t="s">
        <v>54</v>
      </c>
      <c r="Z1323" s="12">
        <f>IF(N1323&lt;=1,9,9+0.8*ROUNDUP(N1323-1,0))</f>
        <v>9.8000000000000007</v>
      </c>
      <c r="AA1323" s="11">
        <v>-2</v>
      </c>
      <c r="AB1323" s="11">
        <v>0</v>
      </c>
      <c r="AC1323" s="11">
        <v>0</v>
      </c>
      <c r="AD1323" s="11">
        <v>0</v>
      </c>
      <c r="AE1323" s="11">
        <v>0</v>
      </c>
      <c r="AF1323" s="11">
        <f t="shared" si="60"/>
        <v>0.46800000000000003</v>
      </c>
      <c r="AG1323" s="11">
        <f t="shared" si="61"/>
        <v>8.2680000000000007</v>
      </c>
      <c r="AH1323" s="11">
        <v>0</v>
      </c>
      <c r="AI1323" s="11">
        <f t="shared" si="62"/>
        <v>8.2680000000000007</v>
      </c>
      <c r="AJ1323" t="s">
        <v>62</v>
      </c>
    </row>
    <row r="1324" spans="1:36" ht="15" customHeight="1" x14ac:dyDescent="0.35">
      <c r="A1324">
        <v>10428918</v>
      </c>
      <c r="B1324" t="s">
        <v>36</v>
      </c>
      <c r="C1324" t="s">
        <v>37</v>
      </c>
      <c r="D1324" s="6" t="s">
        <v>38</v>
      </c>
      <c r="E1324" t="s">
        <v>3979</v>
      </c>
      <c r="F1324" t="s">
        <v>40</v>
      </c>
      <c r="G1324" t="s">
        <v>41</v>
      </c>
      <c r="H1324" t="s">
        <v>3980</v>
      </c>
      <c r="I1324" t="s">
        <v>43</v>
      </c>
      <c r="J1324">
        <v>2</v>
      </c>
      <c r="K1324" t="s">
        <v>44</v>
      </c>
      <c r="L1324" t="s">
        <v>45</v>
      </c>
      <c r="M1324" t="s">
        <v>46</v>
      </c>
      <c r="N1324" s="7">
        <v>1</v>
      </c>
      <c r="O1324" s="8">
        <v>45633.716354166667</v>
      </c>
      <c r="P1324" s="9">
        <v>45635</v>
      </c>
      <c r="Q1324" t="s">
        <v>74</v>
      </c>
      <c r="R1324" t="s">
        <v>48</v>
      </c>
      <c r="S1324" t="s">
        <v>49</v>
      </c>
      <c r="T1324" t="s">
        <v>69</v>
      </c>
      <c r="U1324" t="s">
        <v>3981</v>
      </c>
      <c r="V1324">
        <v>86400</v>
      </c>
      <c r="W1324" t="s">
        <v>48</v>
      </c>
      <c r="X1324" t="s">
        <v>410</v>
      </c>
      <c r="Y1324" t="s">
        <v>54</v>
      </c>
      <c r="Z1324" s="12">
        <f>IF(N1324&lt;=1,9,9+0.8*ROUNDUP(N1324-1,0))</f>
        <v>9</v>
      </c>
      <c r="AA1324" s="11">
        <v>-2</v>
      </c>
      <c r="AB1324" s="11">
        <v>0</v>
      </c>
      <c r="AC1324" s="11">
        <v>0</v>
      </c>
      <c r="AD1324" s="11">
        <v>0</v>
      </c>
      <c r="AE1324" s="11">
        <v>0</v>
      </c>
      <c r="AF1324" s="11">
        <f t="shared" si="60"/>
        <v>0.42</v>
      </c>
      <c r="AG1324" s="11">
        <f t="shared" si="61"/>
        <v>7.42</v>
      </c>
      <c r="AH1324" s="11">
        <v>0</v>
      </c>
      <c r="AI1324" s="11">
        <f t="shared" si="62"/>
        <v>7.42</v>
      </c>
      <c r="AJ1324" t="s">
        <v>62</v>
      </c>
    </row>
    <row r="1325" spans="1:36" ht="15" customHeight="1" x14ac:dyDescent="0.35">
      <c r="A1325">
        <v>10428918</v>
      </c>
      <c r="B1325" t="s">
        <v>36</v>
      </c>
      <c r="C1325" t="s">
        <v>37</v>
      </c>
      <c r="D1325" s="6" t="s">
        <v>38</v>
      </c>
      <c r="E1325" t="s">
        <v>3982</v>
      </c>
      <c r="F1325" t="s">
        <v>40</v>
      </c>
      <c r="G1325" t="s">
        <v>41</v>
      </c>
      <c r="H1325" t="s">
        <v>3983</v>
      </c>
      <c r="I1325" t="s">
        <v>43</v>
      </c>
      <c r="J1325">
        <v>2</v>
      </c>
      <c r="K1325" t="s">
        <v>44</v>
      </c>
      <c r="L1325" t="s">
        <v>45</v>
      </c>
      <c r="M1325" t="s">
        <v>46</v>
      </c>
      <c r="N1325" s="7">
        <v>2</v>
      </c>
      <c r="O1325" s="8">
        <v>45632.705972222226</v>
      </c>
      <c r="P1325" s="9">
        <v>45635</v>
      </c>
      <c r="Q1325" t="s">
        <v>74</v>
      </c>
      <c r="R1325" t="s">
        <v>48</v>
      </c>
      <c r="S1325" t="s">
        <v>49</v>
      </c>
      <c r="T1325" t="s">
        <v>80</v>
      </c>
      <c r="U1325" t="s">
        <v>3984</v>
      </c>
      <c r="V1325">
        <v>5300</v>
      </c>
      <c r="W1325" t="s">
        <v>48</v>
      </c>
      <c r="X1325" t="s">
        <v>137</v>
      </c>
      <c r="Y1325" t="s">
        <v>54</v>
      </c>
      <c r="Z1325" s="12">
        <f>IF(N1325&lt;=1,9,9+0.8*ROUNDUP(N1325-1,0))</f>
        <v>9.8000000000000007</v>
      </c>
      <c r="AA1325" s="11">
        <v>-2</v>
      </c>
      <c r="AB1325" s="11">
        <v>0</v>
      </c>
      <c r="AC1325" s="11">
        <v>0</v>
      </c>
      <c r="AD1325" s="11">
        <v>0</v>
      </c>
      <c r="AE1325" s="11">
        <v>0</v>
      </c>
      <c r="AF1325" s="11">
        <f t="shared" si="60"/>
        <v>0.46800000000000003</v>
      </c>
      <c r="AG1325" s="11">
        <f t="shared" si="61"/>
        <v>8.2680000000000007</v>
      </c>
      <c r="AH1325" s="11">
        <v>0</v>
      </c>
      <c r="AI1325" s="11">
        <f t="shared" si="62"/>
        <v>8.2680000000000007</v>
      </c>
      <c r="AJ1325" t="s">
        <v>62</v>
      </c>
    </row>
    <row r="1326" spans="1:36" ht="15" customHeight="1" x14ac:dyDescent="0.35">
      <c r="A1326">
        <v>10428918</v>
      </c>
      <c r="B1326" t="s">
        <v>36</v>
      </c>
      <c r="C1326" t="s">
        <v>37</v>
      </c>
      <c r="D1326" s="6" t="s">
        <v>38</v>
      </c>
      <c r="E1326" t="s">
        <v>3985</v>
      </c>
      <c r="F1326" t="s">
        <v>40</v>
      </c>
      <c r="G1326" t="s">
        <v>41</v>
      </c>
      <c r="H1326" t="s">
        <v>3986</v>
      </c>
      <c r="I1326" t="s">
        <v>43</v>
      </c>
      <c r="J1326">
        <v>2</v>
      </c>
      <c r="K1326" t="s">
        <v>44</v>
      </c>
      <c r="L1326" t="s">
        <v>45</v>
      </c>
      <c r="M1326" t="s">
        <v>46</v>
      </c>
      <c r="N1326" s="7">
        <v>1</v>
      </c>
      <c r="O1326" s="8">
        <v>45633.83865740741</v>
      </c>
      <c r="P1326" s="9">
        <v>45635</v>
      </c>
      <c r="Q1326" t="s">
        <v>74</v>
      </c>
      <c r="R1326" t="s">
        <v>48</v>
      </c>
      <c r="S1326" t="s">
        <v>49</v>
      </c>
      <c r="T1326" t="s">
        <v>59</v>
      </c>
      <c r="U1326" t="s">
        <v>3987</v>
      </c>
      <c r="V1326">
        <v>17500</v>
      </c>
      <c r="W1326" t="s">
        <v>48</v>
      </c>
      <c r="X1326" t="s">
        <v>61</v>
      </c>
      <c r="Y1326" t="s">
        <v>54</v>
      </c>
      <c r="Z1326" s="12">
        <f>IF(N1326&lt;=1,9,9+0.8*ROUNDUP(N1326-1,0))</f>
        <v>9</v>
      </c>
      <c r="AA1326" s="11">
        <v>-2</v>
      </c>
      <c r="AB1326" s="11">
        <v>0</v>
      </c>
      <c r="AC1326" s="11">
        <v>0</v>
      </c>
      <c r="AD1326" s="11">
        <v>0</v>
      </c>
      <c r="AE1326" s="11">
        <v>0</v>
      </c>
      <c r="AF1326" s="11">
        <f t="shared" si="60"/>
        <v>0.42</v>
      </c>
      <c r="AG1326" s="11">
        <f t="shared" si="61"/>
        <v>7.42</v>
      </c>
      <c r="AH1326" s="11">
        <v>0</v>
      </c>
      <c r="AI1326" s="11">
        <f t="shared" si="62"/>
        <v>7.42</v>
      </c>
      <c r="AJ1326" t="s">
        <v>62</v>
      </c>
    </row>
    <row r="1327" spans="1:36" ht="15" customHeight="1" x14ac:dyDescent="0.35">
      <c r="A1327">
        <v>10428918</v>
      </c>
      <c r="B1327" t="s">
        <v>36</v>
      </c>
      <c r="C1327" t="s">
        <v>37</v>
      </c>
      <c r="D1327" s="6" t="s">
        <v>38</v>
      </c>
      <c r="E1327" t="s">
        <v>3988</v>
      </c>
      <c r="F1327" t="s">
        <v>40</v>
      </c>
      <c r="G1327" t="s">
        <v>41</v>
      </c>
      <c r="H1327" t="s">
        <v>3989</v>
      </c>
      <c r="I1327" t="s">
        <v>43</v>
      </c>
      <c r="J1327">
        <v>2</v>
      </c>
      <c r="K1327" t="s">
        <v>44</v>
      </c>
      <c r="L1327" t="s">
        <v>45</v>
      </c>
      <c r="M1327" t="s">
        <v>46</v>
      </c>
      <c r="N1327" s="7">
        <v>1</v>
      </c>
      <c r="O1327" s="8">
        <v>45633.842800925922</v>
      </c>
      <c r="P1327" s="9">
        <v>45635</v>
      </c>
      <c r="Q1327" t="s">
        <v>74</v>
      </c>
      <c r="R1327" t="s">
        <v>48</v>
      </c>
      <c r="S1327" t="s">
        <v>49</v>
      </c>
      <c r="T1327" t="s">
        <v>90</v>
      </c>
      <c r="U1327" t="s">
        <v>3990</v>
      </c>
      <c r="V1327">
        <v>22200</v>
      </c>
      <c r="W1327" t="s">
        <v>48</v>
      </c>
      <c r="X1327" t="s">
        <v>61</v>
      </c>
      <c r="Y1327" t="s">
        <v>54</v>
      </c>
      <c r="Z1327" s="12">
        <f>IF(N1327&lt;=1,9,9+0.8*ROUNDUP(N1327-1,0))</f>
        <v>9</v>
      </c>
      <c r="AA1327" s="11">
        <v>-2</v>
      </c>
      <c r="AB1327" s="11">
        <v>0</v>
      </c>
      <c r="AC1327" s="11">
        <v>0</v>
      </c>
      <c r="AD1327" s="11">
        <v>0</v>
      </c>
      <c r="AE1327" s="11">
        <v>0</v>
      </c>
      <c r="AF1327" s="11">
        <f t="shared" si="60"/>
        <v>0.42</v>
      </c>
      <c r="AG1327" s="11">
        <f t="shared" si="61"/>
        <v>7.42</v>
      </c>
      <c r="AH1327" s="11">
        <v>0</v>
      </c>
      <c r="AI1327" s="11">
        <f t="shared" si="62"/>
        <v>7.42</v>
      </c>
      <c r="AJ1327" t="s">
        <v>62</v>
      </c>
    </row>
    <row r="1328" spans="1:36" ht="15" customHeight="1" x14ac:dyDescent="0.35">
      <c r="A1328">
        <v>10428918</v>
      </c>
      <c r="B1328" t="s">
        <v>36</v>
      </c>
      <c r="C1328" t="s">
        <v>37</v>
      </c>
      <c r="D1328" s="6" t="s">
        <v>38</v>
      </c>
      <c r="E1328" t="s">
        <v>3991</v>
      </c>
      <c r="F1328" t="s">
        <v>40</v>
      </c>
      <c r="G1328" t="s">
        <v>41</v>
      </c>
      <c r="H1328" t="s">
        <v>3992</v>
      </c>
      <c r="I1328" t="s">
        <v>43</v>
      </c>
      <c r="J1328">
        <v>2</v>
      </c>
      <c r="K1328" t="s">
        <v>44</v>
      </c>
      <c r="L1328" t="s">
        <v>45</v>
      </c>
      <c r="M1328" t="s">
        <v>46</v>
      </c>
      <c r="N1328" s="7">
        <v>1</v>
      </c>
      <c r="O1328" s="8">
        <v>45631.839745370373</v>
      </c>
      <c r="P1328" s="9">
        <v>45635</v>
      </c>
      <c r="Q1328" t="s">
        <v>58</v>
      </c>
      <c r="R1328" t="s">
        <v>48</v>
      </c>
      <c r="S1328" t="s">
        <v>49</v>
      </c>
      <c r="T1328" t="s">
        <v>278</v>
      </c>
      <c r="U1328" t="s">
        <v>3993</v>
      </c>
      <c r="V1328">
        <v>96100</v>
      </c>
      <c r="W1328" t="s">
        <v>52</v>
      </c>
      <c r="X1328" t="s">
        <v>53</v>
      </c>
      <c r="Y1328" t="s">
        <v>54</v>
      </c>
      <c r="Z1328" s="10">
        <f>IF(N1328&lt;=1,13,IF(N1328&lt;=2,23,IF(N1328&lt;=3,35,IF(N1328&lt;=4,43,IF(N1328&lt;=5,53,IF(N1328&lt;=6,63,IF(N1328&lt;=7,71,IF(N1328&lt;=8,79,IF(N1328&lt;=9,87,IF(N1328&lt;=10,95,IF(N1328&lt;=11,105,IF(N1328&lt;=12,114,IF(N1328&lt;=13,119,IF(N1328&lt;=14,127,IF(N1328&lt;=15,135,IF(N1328&lt;=16,143,IF(N1328&lt;=17,153,IF(N1328&lt;=18,163,IF(N1328&lt;=19,171,IF(N1328&lt;=20,185,IF(N1328&lt;=21,193,IF(N1328&lt;=22,201,IF(N1328&lt;=23,210,IF(N1328&lt;=24,220,IF(N1328&lt;=25,230,IF(N1328&lt;=26,240,IF(N1328&lt;=27,250,IF(N1328&lt;=28,260,IF(N1328&lt;=29,270,IF(N1328&lt;=30,280,280+10*ROUNDUP(N1328-30,0)))))))))))))))))))))))))))))))</f>
        <v>13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f t="shared" si="60"/>
        <v>0.78</v>
      </c>
      <c r="AG1328" s="11">
        <f t="shared" si="61"/>
        <v>13.78</v>
      </c>
      <c r="AH1328" s="11">
        <v>0</v>
      </c>
      <c r="AI1328" s="11">
        <f t="shared" si="62"/>
        <v>13.78</v>
      </c>
      <c r="AJ1328" t="s">
        <v>55</v>
      </c>
    </row>
    <row r="1329" spans="1:36" ht="15" customHeight="1" x14ac:dyDescent="0.35">
      <c r="A1329">
        <v>10428918</v>
      </c>
      <c r="B1329" t="s">
        <v>36</v>
      </c>
      <c r="C1329" t="s">
        <v>37</v>
      </c>
      <c r="D1329" s="6" t="s">
        <v>38</v>
      </c>
      <c r="E1329" t="s">
        <v>3994</v>
      </c>
      <c r="F1329" t="s">
        <v>40</v>
      </c>
      <c r="G1329" t="s">
        <v>41</v>
      </c>
      <c r="H1329" t="s">
        <v>3995</v>
      </c>
      <c r="I1329" t="s">
        <v>43</v>
      </c>
      <c r="J1329">
        <v>2</v>
      </c>
      <c r="K1329" t="s">
        <v>44</v>
      </c>
      <c r="L1329" t="s">
        <v>45</v>
      </c>
      <c r="M1329" t="s">
        <v>46</v>
      </c>
      <c r="N1329" s="7">
        <v>1</v>
      </c>
      <c r="O1329" s="8">
        <v>45633.864525462966</v>
      </c>
      <c r="P1329" s="9">
        <v>45635</v>
      </c>
      <c r="Q1329" t="s">
        <v>74</v>
      </c>
      <c r="R1329" t="s">
        <v>48</v>
      </c>
      <c r="S1329" t="s">
        <v>49</v>
      </c>
      <c r="T1329" t="s">
        <v>75</v>
      </c>
      <c r="U1329" t="s">
        <v>3996</v>
      </c>
      <c r="V1329">
        <v>28030</v>
      </c>
      <c r="W1329" t="s">
        <v>48</v>
      </c>
      <c r="X1329" t="s">
        <v>77</v>
      </c>
      <c r="Y1329" t="s">
        <v>54</v>
      </c>
      <c r="Z1329" s="12">
        <f>IF(N1329&lt;=1,9,9+0.8*ROUNDUP(N1329-1,0))</f>
        <v>9</v>
      </c>
      <c r="AA1329" s="11">
        <v>-2</v>
      </c>
      <c r="AB1329" s="11">
        <v>0</v>
      </c>
      <c r="AC1329" s="11">
        <v>0</v>
      </c>
      <c r="AD1329" s="11">
        <v>0</v>
      </c>
      <c r="AE1329" s="11">
        <v>0</v>
      </c>
      <c r="AF1329" s="11">
        <f t="shared" si="60"/>
        <v>0.42</v>
      </c>
      <c r="AG1329" s="11">
        <f t="shared" si="61"/>
        <v>7.42</v>
      </c>
      <c r="AH1329" s="11">
        <v>0</v>
      </c>
      <c r="AI1329" s="11">
        <f t="shared" si="62"/>
        <v>7.42</v>
      </c>
      <c r="AJ1329" t="s">
        <v>62</v>
      </c>
    </row>
    <row r="1330" spans="1:36" ht="15" customHeight="1" x14ac:dyDescent="0.35">
      <c r="A1330">
        <v>10428918</v>
      </c>
      <c r="B1330" t="s">
        <v>36</v>
      </c>
      <c r="C1330" t="s">
        <v>37</v>
      </c>
      <c r="D1330" s="6" t="s">
        <v>38</v>
      </c>
      <c r="E1330" t="s">
        <v>3997</v>
      </c>
      <c r="F1330" t="s">
        <v>40</v>
      </c>
      <c r="G1330" t="s">
        <v>41</v>
      </c>
      <c r="H1330" t="s">
        <v>3998</v>
      </c>
      <c r="I1330" t="s">
        <v>43</v>
      </c>
      <c r="J1330">
        <v>2</v>
      </c>
      <c r="K1330" t="s">
        <v>44</v>
      </c>
      <c r="L1330" t="s">
        <v>45</v>
      </c>
      <c r="M1330" t="s">
        <v>46</v>
      </c>
      <c r="N1330" s="7">
        <v>5</v>
      </c>
      <c r="O1330" s="8">
        <v>45631.732465277775</v>
      </c>
      <c r="P1330" s="9">
        <v>45635</v>
      </c>
      <c r="Q1330" t="s">
        <v>74</v>
      </c>
      <c r="R1330" t="s">
        <v>48</v>
      </c>
      <c r="S1330" t="s">
        <v>49</v>
      </c>
      <c r="T1330" t="s">
        <v>117</v>
      </c>
      <c r="U1330" t="s">
        <v>3999</v>
      </c>
      <c r="V1330">
        <v>43000</v>
      </c>
      <c r="W1330" t="s">
        <v>48</v>
      </c>
      <c r="X1330" t="s">
        <v>191</v>
      </c>
      <c r="Y1330" t="s">
        <v>54</v>
      </c>
      <c r="Z1330" s="12">
        <f>IF(N1330&lt;=1,9,9+0.8*ROUNDUP(N1330-1,0))</f>
        <v>12.2</v>
      </c>
      <c r="AA1330" s="11">
        <v>-2</v>
      </c>
      <c r="AB1330" s="11">
        <v>0</v>
      </c>
      <c r="AC1330" s="11">
        <v>0</v>
      </c>
      <c r="AD1330" s="11">
        <v>0</v>
      </c>
      <c r="AE1330" s="11">
        <v>0</v>
      </c>
      <c r="AF1330" s="11">
        <f t="shared" si="60"/>
        <v>0.61199999999999999</v>
      </c>
      <c r="AG1330" s="11">
        <f t="shared" si="61"/>
        <v>10.811999999999999</v>
      </c>
      <c r="AH1330" s="11">
        <v>0</v>
      </c>
      <c r="AI1330" s="11">
        <f t="shared" si="62"/>
        <v>10.811999999999999</v>
      </c>
      <c r="AJ1330" t="s">
        <v>62</v>
      </c>
    </row>
    <row r="1331" spans="1:36" ht="15" customHeight="1" x14ac:dyDescent="0.35">
      <c r="A1331">
        <v>10428918</v>
      </c>
      <c r="B1331" t="s">
        <v>36</v>
      </c>
      <c r="C1331" t="s">
        <v>37</v>
      </c>
      <c r="D1331" s="6" t="s">
        <v>38</v>
      </c>
      <c r="E1331" t="s">
        <v>4000</v>
      </c>
      <c r="F1331" t="s">
        <v>40</v>
      </c>
      <c r="G1331" t="s">
        <v>41</v>
      </c>
      <c r="H1331" t="s">
        <v>4001</v>
      </c>
      <c r="I1331" t="s">
        <v>43</v>
      </c>
      <c r="J1331">
        <v>2</v>
      </c>
      <c r="K1331" t="s">
        <v>44</v>
      </c>
      <c r="L1331" t="s">
        <v>45</v>
      </c>
      <c r="M1331" t="s">
        <v>46</v>
      </c>
      <c r="N1331" s="7">
        <v>1</v>
      </c>
      <c r="O1331" s="8">
        <v>45633.848356481481</v>
      </c>
      <c r="P1331" s="9">
        <v>45635</v>
      </c>
      <c r="Q1331" t="s">
        <v>74</v>
      </c>
      <c r="R1331" t="s">
        <v>48</v>
      </c>
      <c r="S1331" t="s">
        <v>49</v>
      </c>
      <c r="T1331" t="s">
        <v>117</v>
      </c>
      <c r="U1331" t="s">
        <v>4002</v>
      </c>
      <c r="V1331">
        <v>41250</v>
      </c>
      <c r="W1331" t="s">
        <v>48</v>
      </c>
      <c r="X1331" t="s">
        <v>149</v>
      </c>
      <c r="Y1331" t="s">
        <v>54</v>
      </c>
      <c r="Z1331" s="12">
        <f>IF(N1331&lt;=1,9,9+0.8*ROUNDUP(N1331-1,0))</f>
        <v>9</v>
      </c>
      <c r="AA1331" s="11">
        <v>-2</v>
      </c>
      <c r="AB1331" s="11">
        <v>0</v>
      </c>
      <c r="AC1331" s="11">
        <v>0</v>
      </c>
      <c r="AD1331" s="11">
        <v>0</v>
      </c>
      <c r="AE1331" s="11">
        <v>0</v>
      </c>
      <c r="AF1331" s="11">
        <f t="shared" si="60"/>
        <v>0.42</v>
      </c>
      <c r="AG1331" s="11">
        <f t="shared" si="61"/>
        <v>7.42</v>
      </c>
      <c r="AH1331" s="11">
        <v>0</v>
      </c>
      <c r="AI1331" s="11">
        <f t="shared" si="62"/>
        <v>7.42</v>
      </c>
      <c r="AJ1331" t="s">
        <v>62</v>
      </c>
    </row>
    <row r="1332" spans="1:36" ht="15" customHeight="1" x14ac:dyDescent="0.35">
      <c r="A1332">
        <v>10428918</v>
      </c>
      <c r="B1332" t="s">
        <v>36</v>
      </c>
      <c r="C1332" t="s">
        <v>37</v>
      </c>
      <c r="D1332" s="6" t="s">
        <v>38</v>
      </c>
      <c r="E1332" t="s">
        <v>4003</v>
      </c>
      <c r="F1332" t="s">
        <v>40</v>
      </c>
      <c r="G1332" t="s">
        <v>41</v>
      </c>
      <c r="H1332" t="s">
        <v>4004</v>
      </c>
      <c r="I1332" t="s">
        <v>43</v>
      </c>
      <c r="J1332">
        <v>2</v>
      </c>
      <c r="K1332" t="s">
        <v>44</v>
      </c>
      <c r="L1332" t="s">
        <v>45</v>
      </c>
      <c r="M1332" t="s">
        <v>46</v>
      </c>
      <c r="N1332" s="7">
        <v>1</v>
      </c>
      <c r="O1332" s="8">
        <v>45631.810694444444</v>
      </c>
      <c r="P1332" s="9">
        <v>45635</v>
      </c>
      <c r="Q1332" t="s">
        <v>58</v>
      </c>
      <c r="R1332" t="s">
        <v>48</v>
      </c>
      <c r="S1332" t="s">
        <v>49</v>
      </c>
      <c r="T1332" t="s">
        <v>85</v>
      </c>
      <c r="U1332" t="s">
        <v>4005</v>
      </c>
      <c r="V1332">
        <v>71800</v>
      </c>
      <c r="W1332" t="s">
        <v>48</v>
      </c>
      <c r="X1332" t="s">
        <v>1329</v>
      </c>
      <c r="Y1332" t="s">
        <v>54</v>
      </c>
      <c r="Z1332" s="12">
        <f>IF(N1332&lt;=1,9,9+0.8*ROUNDUP(N1332-1,0))</f>
        <v>9</v>
      </c>
      <c r="AA1332" s="11">
        <v>-2</v>
      </c>
      <c r="AB1332" s="11">
        <v>0</v>
      </c>
      <c r="AC1332" s="11">
        <v>0</v>
      </c>
      <c r="AD1332" s="11">
        <v>0</v>
      </c>
      <c r="AE1332" s="11">
        <v>0</v>
      </c>
      <c r="AF1332" s="11">
        <f t="shared" si="60"/>
        <v>0.42</v>
      </c>
      <c r="AG1332" s="11">
        <f t="shared" si="61"/>
        <v>7.42</v>
      </c>
      <c r="AH1332" s="11">
        <v>0</v>
      </c>
      <c r="AI1332" s="11">
        <f t="shared" si="62"/>
        <v>7.42</v>
      </c>
      <c r="AJ1332" t="s">
        <v>62</v>
      </c>
    </row>
    <row r="1333" spans="1:36" ht="15" customHeight="1" x14ac:dyDescent="0.35">
      <c r="A1333">
        <v>10428918</v>
      </c>
      <c r="B1333" t="s">
        <v>36</v>
      </c>
      <c r="C1333" t="s">
        <v>37</v>
      </c>
      <c r="D1333" s="6" t="s">
        <v>38</v>
      </c>
      <c r="E1333" t="s">
        <v>4006</v>
      </c>
      <c r="F1333" t="s">
        <v>40</v>
      </c>
      <c r="G1333" t="s">
        <v>41</v>
      </c>
      <c r="H1333" t="s">
        <v>4007</v>
      </c>
      <c r="I1333" t="s">
        <v>43</v>
      </c>
      <c r="J1333">
        <v>2</v>
      </c>
      <c r="K1333" t="s">
        <v>44</v>
      </c>
      <c r="L1333" t="s">
        <v>45</v>
      </c>
      <c r="M1333" t="s">
        <v>46</v>
      </c>
      <c r="N1333" s="7">
        <v>2</v>
      </c>
      <c r="O1333" s="8">
        <v>45633.484386574077</v>
      </c>
      <c r="P1333" s="9">
        <v>45635</v>
      </c>
      <c r="Q1333" t="s">
        <v>74</v>
      </c>
      <c r="R1333" t="s">
        <v>48</v>
      </c>
      <c r="S1333" t="s">
        <v>49</v>
      </c>
      <c r="T1333" t="s">
        <v>117</v>
      </c>
      <c r="U1333" t="s">
        <v>4008</v>
      </c>
      <c r="V1333">
        <v>41200</v>
      </c>
      <c r="W1333" t="s">
        <v>48</v>
      </c>
      <c r="X1333" t="s">
        <v>53</v>
      </c>
      <c r="Y1333" t="s">
        <v>54</v>
      </c>
      <c r="Z1333" s="12">
        <f>IF(N1333&lt;=1,9,9+0.8*ROUNDUP(N1333-1,0))</f>
        <v>9.8000000000000007</v>
      </c>
      <c r="AA1333" s="11">
        <v>-2</v>
      </c>
      <c r="AB1333" s="11">
        <v>0</v>
      </c>
      <c r="AC1333" s="11">
        <v>0</v>
      </c>
      <c r="AD1333" s="11">
        <v>0</v>
      </c>
      <c r="AE1333" s="11">
        <v>0</v>
      </c>
      <c r="AF1333" s="11">
        <f t="shared" si="60"/>
        <v>0.46800000000000003</v>
      </c>
      <c r="AG1333" s="11">
        <f t="shared" si="61"/>
        <v>8.2680000000000007</v>
      </c>
      <c r="AH1333" s="11">
        <v>0</v>
      </c>
      <c r="AI1333" s="11">
        <f t="shared" si="62"/>
        <v>8.2680000000000007</v>
      </c>
      <c r="AJ1333" t="s">
        <v>62</v>
      </c>
    </row>
    <row r="1334" spans="1:36" ht="15" customHeight="1" x14ac:dyDescent="0.35">
      <c r="A1334">
        <v>10428918</v>
      </c>
      <c r="B1334" t="s">
        <v>36</v>
      </c>
      <c r="C1334" t="s">
        <v>37</v>
      </c>
      <c r="D1334" s="6" t="s">
        <v>38</v>
      </c>
      <c r="E1334" t="s">
        <v>4009</v>
      </c>
      <c r="F1334" t="s">
        <v>40</v>
      </c>
      <c r="G1334" t="s">
        <v>41</v>
      </c>
      <c r="H1334" t="s">
        <v>4010</v>
      </c>
      <c r="I1334" t="s">
        <v>43</v>
      </c>
      <c r="J1334">
        <v>2</v>
      </c>
      <c r="K1334" t="s">
        <v>44</v>
      </c>
      <c r="L1334" t="s">
        <v>45</v>
      </c>
      <c r="M1334" t="s">
        <v>46</v>
      </c>
      <c r="N1334" s="7">
        <v>2</v>
      </c>
      <c r="O1334" s="8">
        <v>45633.441643518519</v>
      </c>
      <c r="P1334" s="9">
        <v>45635</v>
      </c>
      <c r="Q1334" t="s">
        <v>74</v>
      </c>
      <c r="R1334" t="s">
        <v>48</v>
      </c>
      <c r="S1334" t="s">
        <v>49</v>
      </c>
      <c r="T1334" t="s">
        <v>117</v>
      </c>
      <c r="U1334" t="s">
        <v>4011</v>
      </c>
      <c r="V1334">
        <v>53100</v>
      </c>
      <c r="W1334" t="s">
        <v>48</v>
      </c>
      <c r="X1334" t="s">
        <v>53</v>
      </c>
      <c r="Y1334" t="s">
        <v>54</v>
      </c>
      <c r="Z1334" s="12">
        <f>IF(N1334&lt;=1,9,9+0.8*ROUNDUP(N1334-1,0))</f>
        <v>9.8000000000000007</v>
      </c>
      <c r="AA1334" s="11">
        <v>-2</v>
      </c>
      <c r="AB1334" s="11">
        <v>0</v>
      </c>
      <c r="AC1334" s="11">
        <v>0</v>
      </c>
      <c r="AD1334" s="11">
        <v>0</v>
      </c>
      <c r="AE1334" s="11">
        <v>0</v>
      </c>
      <c r="AF1334" s="11">
        <f t="shared" si="60"/>
        <v>0.46800000000000003</v>
      </c>
      <c r="AG1334" s="11">
        <f t="shared" si="61"/>
        <v>8.2680000000000007</v>
      </c>
      <c r="AH1334" s="11">
        <v>0</v>
      </c>
      <c r="AI1334" s="11">
        <f t="shared" si="62"/>
        <v>8.2680000000000007</v>
      </c>
      <c r="AJ1334" t="s">
        <v>62</v>
      </c>
    </row>
    <row r="1335" spans="1:36" ht="15" customHeight="1" x14ac:dyDescent="0.35">
      <c r="A1335">
        <v>10428918</v>
      </c>
      <c r="B1335" t="s">
        <v>36</v>
      </c>
      <c r="C1335" t="s">
        <v>37</v>
      </c>
      <c r="D1335" s="6" t="s">
        <v>38</v>
      </c>
      <c r="E1335" t="s">
        <v>4012</v>
      </c>
      <c r="F1335" t="s">
        <v>40</v>
      </c>
      <c r="G1335" t="s">
        <v>41</v>
      </c>
      <c r="H1335" t="s">
        <v>4013</v>
      </c>
      <c r="I1335" t="s">
        <v>43</v>
      </c>
      <c r="J1335">
        <v>2</v>
      </c>
      <c r="K1335" t="s">
        <v>44</v>
      </c>
      <c r="L1335" t="s">
        <v>45</v>
      </c>
      <c r="M1335" t="s">
        <v>46</v>
      </c>
      <c r="N1335" s="7">
        <v>1</v>
      </c>
      <c r="O1335" s="8">
        <v>45631.441423611112</v>
      </c>
      <c r="P1335" s="9">
        <v>45635</v>
      </c>
      <c r="Q1335" t="s">
        <v>74</v>
      </c>
      <c r="R1335" t="s">
        <v>48</v>
      </c>
      <c r="S1335" t="s">
        <v>49</v>
      </c>
      <c r="T1335" t="s">
        <v>693</v>
      </c>
      <c r="U1335" t="s">
        <v>4014</v>
      </c>
      <c r="V1335">
        <v>2500</v>
      </c>
      <c r="W1335" t="s">
        <v>48</v>
      </c>
      <c r="X1335" t="s">
        <v>141</v>
      </c>
      <c r="Y1335" t="s">
        <v>54</v>
      </c>
      <c r="Z1335" s="12">
        <f>IF(N1335&lt;=1,9,9+0.8*ROUNDUP(N1335-1,0))</f>
        <v>9</v>
      </c>
      <c r="AA1335" s="11">
        <v>-2</v>
      </c>
      <c r="AB1335" s="11">
        <v>0</v>
      </c>
      <c r="AC1335" s="11">
        <v>0</v>
      </c>
      <c r="AD1335" s="11">
        <v>0</v>
      </c>
      <c r="AE1335" s="11">
        <v>0</v>
      </c>
      <c r="AF1335" s="11">
        <f t="shared" si="60"/>
        <v>0.42</v>
      </c>
      <c r="AG1335" s="11">
        <f t="shared" si="61"/>
        <v>7.42</v>
      </c>
      <c r="AH1335" s="11">
        <v>0</v>
      </c>
      <c r="AI1335" s="11">
        <f t="shared" si="62"/>
        <v>7.42</v>
      </c>
      <c r="AJ1335" t="s">
        <v>62</v>
      </c>
    </row>
    <row r="1336" spans="1:36" ht="15" customHeight="1" x14ac:dyDescent="0.35">
      <c r="A1336">
        <v>10428918</v>
      </c>
      <c r="B1336" t="s">
        <v>36</v>
      </c>
      <c r="C1336" t="s">
        <v>37</v>
      </c>
      <c r="D1336" s="6" t="s">
        <v>38</v>
      </c>
      <c r="E1336" t="s">
        <v>4015</v>
      </c>
      <c r="F1336" t="s">
        <v>40</v>
      </c>
      <c r="G1336" t="s">
        <v>41</v>
      </c>
      <c r="H1336" t="s">
        <v>4016</v>
      </c>
      <c r="I1336" t="s">
        <v>43</v>
      </c>
      <c r="J1336">
        <v>2</v>
      </c>
      <c r="K1336" t="s">
        <v>44</v>
      </c>
      <c r="L1336" t="s">
        <v>45</v>
      </c>
      <c r="M1336" t="s">
        <v>46</v>
      </c>
      <c r="N1336" s="7">
        <v>1</v>
      </c>
      <c r="O1336" s="8">
        <v>45631.432824074072</v>
      </c>
      <c r="P1336" s="9">
        <v>45635</v>
      </c>
      <c r="Q1336" t="s">
        <v>74</v>
      </c>
      <c r="R1336" t="s">
        <v>48</v>
      </c>
      <c r="S1336" t="s">
        <v>49</v>
      </c>
      <c r="T1336" t="s">
        <v>161</v>
      </c>
      <c r="U1336" t="s">
        <v>4017</v>
      </c>
      <c r="V1336">
        <v>11960</v>
      </c>
      <c r="W1336" t="s">
        <v>48</v>
      </c>
      <c r="X1336" t="s">
        <v>820</v>
      </c>
      <c r="Y1336" t="s">
        <v>54</v>
      </c>
      <c r="Z1336" s="12">
        <f>IF(N1336&lt;=1,9,9+0.8*ROUNDUP(N1336-1,0))</f>
        <v>9</v>
      </c>
      <c r="AA1336" s="11">
        <v>-2</v>
      </c>
      <c r="AB1336" s="11">
        <v>0</v>
      </c>
      <c r="AC1336" s="11">
        <v>0</v>
      </c>
      <c r="AD1336" s="11">
        <v>0</v>
      </c>
      <c r="AE1336" s="11">
        <v>0</v>
      </c>
      <c r="AF1336" s="11">
        <f t="shared" si="60"/>
        <v>0.42</v>
      </c>
      <c r="AG1336" s="11">
        <f t="shared" si="61"/>
        <v>7.42</v>
      </c>
      <c r="AH1336" s="11">
        <v>0</v>
      </c>
      <c r="AI1336" s="11">
        <f t="shared" si="62"/>
        <v>7.42</v>
      </c>
      <c r="AJ1336" t="s">
        <v>62</v>
      </c>
    </row>
    <row r="1337" spans="1:36" ht="15" customHeight="1" x14ac:dyDescent="0.35">
      <c r="A1337">
        <v>10428918</v>
      </c>
      <c r="B1337" t="s">
        <v>36</v>
      </c>
      <c r="C1337" t="s">
        <v>37</v>
      </c>
      <c r="D1337" s="6" t="s">
        <v>38</v>
      </c>
      <c r="E1337" t="s">
        <v>4018</v>
      </c>
      <c r="F1337" t="s">
        <v>40</v>
      </c>
      <c r="G1337" t="s">
        <v>41</v>
      </c>
      <c r="H1337" t="s">
        <v>4019</v>
      </c>
      <c r="I1337" t="s">
        <v>43</v>
      </c>
      <c r="J1337">
        <v>2</v>
      </c>
      <c r="K1337" t="s">
        <v>44</v>
      </c>
      <c r="L1337" t="s">
        <v>45</v>
      </c>
      <c r="M1337" t="s">
        <v>46</v>
      </c>
      <c r="N1337" s="7">
        <v>3</v>
      </c>
      <c r="O1337" s="8">
        <v>45633.649085648147</v>
      </c>
      <c r="P1337" s="9">
        <v>45635</v>
      </c>
      <c r="Q1337" t="s">
        <v>74</v>
      </c>
      <c r="R1337" t="s">
        <v>48</v>
      </c>
      <c r="S1337" t="s">
        <v>49</v>
      </c>
      <c r="T1337" t="s">
        <v>117</v>
      </c>
      <c r="U1337" t="s">
        <v>4020</v>
      </c>
      <c r="V1337">
        <v>47150</v>
      </c>
      <c r="W1337" t="s">
        <v>48</v>
      </c>
      <c r="X1337" t="s">
        <v>232</v>
      </c>
      <c r="Y1337" t="s">
        <v>54</v>
      </c>
      <c r="Z1337" s="12">
        <f>IF(N1337&lt;=1,9,9+0.8*ROUNDUP(N1337-1,0))</f>
        <v>10.6</v>
      </c>
      <c r="AA1337" s="11">
        <v>-2</v>
      </c>
      <c r="AB1337" s="11">
        <v>0</v>
      </c>
      <c r="AC1337" s="11">
        <v>0</v>
      </c>
      <c r="AD1337" s="11">
        <v>0</v>
      </c>
      <c r="AE1337" s="11">
        <v>0</v>
      </c>
      <c r="AF1337" s="11">
        <f t="shared" si="60"/>
        <v>0.51600000000000001</v>
      </c>
      <c r="AG1337" s="11">
        <f t="shared" si="61"/>
        <v>9.1159999999999997</v>
      </c>
      <c r="AH1337" s="11">
        <v>0</v>
      </c>
      <c r="AI1337" s="11">
        <f t="shared" si="62"/>
        <v>9.1159999999999997</v>
      </c>
      <c r="AJ1337" t="s">
        <v>62</v>
      </c>
    </row>
    <row r="1338" spans="1:36" ht="15" customHeight="1" x14ac:dyDescent="0.35">
      <c r="A1338">
        <v>10428918</v>
      </c>
      <c r="B1338" t="s">
        <v>36</v>
      </c>
      <c r="C1338" t="s">
        <v>37</v>
      </c>
      <c r="D1338" s="6" t="s">
        <v>38</v>
      </c>
      <c r="E1338" t="s">
        <v>4021</v>
      </c>
      <c r="F1338" t="s">
        <v>40</v>
      </c>
      <c r="G1338" t="s">
        <v>41</v>
      </c>
      <c r="H1338" t="s">
        <v>4022</v>
      </c>
      <c r="I1338" t="s">
        <v>43</v>
      </c>
      <c r="J1338">
        <v>2</v>
      </c>
      <c r="K1338" t="s">
        <v>44</v>
      </c>
      <c r="L1338" t="s">
        <v>45</v>
      </c>
      <c r="M1338" t="s">
        <v>46</v>
      </c>
      <c r="N1338" s="7">
        <v>2</v>
      </c>
      <c r="O1338" s="8">
        <v>45633.856504629628</v>
      </c>
      <c r="P1338" s="9">
        <v>45635</v>
      </c>
      <c r="Q1338" t="s">
        <v>74</v>
      </c>
      <c r="R1338" t="s">
        <v>48</v>
      </c>
      <c r="S1338" t="s">
        <v>49</v>
      </c>
      <c r="T1338" t="s">
        <v>59</v>
      </c>
      <c r="U1338" t="s">
        <v>4023</v>
      </c>
      <c r="V1338">
        <v>17500</v>
      </c>
      <c r="W1338" t="s">
        <v>48</v>
      </c>
      <c r="X1338" t="s">
        <v>61</v>
      </c>
      <c r="Y1338" t="s">
        <v>54</v>
      </c>
      <c r="Z1338" s="12">
        <f>IF(N1338&lt;=1,9,9+0.8*ROUNDUP(N1338-1,0))</f>
        <v>9.8000000000000007</v>
      </c>
      <c r="AA1338" s="11">
        <v>-2</v>
      </c>
      <c r="AB1338" s="11">
        <v>0</v>
      </c>
      <c r="AC1338" s="11">
        <v>0</v>
      </c>
      <c r="AD1338" s="11">
        <v>0</v>
      </c>
      <c r="AE1338" s="11">
        <v>0</v>
      </c>
      <c r="AF1338" s="11">
        <f t="shared" si="60"/>
        <v>0.46800000000000003</v>
      </c>
      <c r="AG1338" s="11">
        <f t="shared" si="61"/>
        <v>8.2680000000000007</v>
      </c>
      <c r="AH1338" s="11">
        <v>0</v>
      </c>
      <c r="AI1338" s="11">
        <f t="shared" si="62"/>
        <v>8.2680000000000007</v>
      </c>
      <c r="AJ1338" t="s">
        <v>62</v>
      </c>
    </row>
    <row r="1339" spans="1:36" ht="15" customHeight="1" x14ac:dyDescent="0.35">
      <c r="A1339">
        <v>10428918</v>
      </c>
      <c r="B1339" t="s">
        <v>36</v>
      </c>
      <c r="C1339" t="s">
        <v>37</v>
      </c>
      <c r="D1339" s="6" t="s">
        <v>38</v>
      </c>
      <c r="E1339" t="s">
        <v>4024</v>
      </c>
      <c r="F1339" t="s">
        <v>40</v>
      </c>
      <c r="G1339" t="s">
        <v>41</v>
      </c>
      <c r="H1339" t="s">
        <v>4025</v>
      </c>
      <c r="I1339" t="s">
        <v>43</v>
      </c>
      <c r="J1339">
        <v>2</v>
      </c>
      <c r="K1339" t="s">
        <v>44</v>
      </c>
      <c r="L1339" t="s">
        <v>45</v>
      </c>
      <c r="M1339" t="s">
        <v>46</v>
      </c>
      <c r="N1339" s="7">
        <v>1</v>
      </c>
      <c r="O1339" s="8">
        <v>45633.660393518519</v>
      </c>
      <c r="P1339" s="9">
        <v>45635</v>
      </c>
      <c r="Q1339" t="s">
        <v>74</v>
      </c>
      <c r="R1339" t="s">
        <v>48</v>
      </c>
      <c r="S1339" t="s">
        <v>49</v>
      </c>
      <c r="T1339" t="s">
        <v>80</v>
      </c>
      <c r="U1339" t="s">
        <v>4026</v>
      </c>
      <c r="V1339">
        <v>8100</v>
      </c>
      <c r="W1339" t="s">
        <v>48</v>
      </c>
      <c r="X1339" t="s">
        <v>141</v>
      </c>
      <c r="Y1339" t="s">
        <v>54</v>
      </c>
      <c r="Z1339" s="12">
        <f>IF(N1339&lt;=1,9,9+0.8*ROUNDUP(N1339-1,0))</f>
        <v>9</v>
      </c>
      <c r="AA1339" s="11">
        <v>-2</v>
      </c>
      <c r="AB1339" s="11">
        <v>0</v>
      </c>
      <c r="AC1339" s="11">
        <v>0</v>
      </c>
      <c r="AD1339" s="11">
        <v>0</v>
      </c>
      <c r="AE1339" s="11">
        <v>0</v>
      </c>
      <c r="AF1339" s="11">
        <f t="shared" si="60"/>
        <v>0.42</v>
      </c>
      <c r="AG1339" s="11">
        <f t="shared" si="61"/>
        <v>7.42</v>
      </c>
      <c r="AH1339" s="11">
        <v>0</v>
      </c>
      <c r="AI1339" s="11">
        <f t="shared" si="62"/>
        <v>7.42</v>
      </c>
      <c r="AJ1339" t="s">
        <v>62</v>
      </c>
    </row>
    <row r="1340" spans="1:36" ht="15" customHeight="1" x14ac:dyDescent="0.35">
      <c r="A1340">
        <v>10428918</v>
      </c>
      <c r="B1340" t="s">
        <v>36</v>
      </c>
      <c r="C1340" t="s">
        <v>37</v>
      </c>
      <c r="D1340" s="6" t="s">
        <v>38</v>
      </c>
      <c r="E1340" t="s">
        <v>4027</v>
      </c>
      <c r="F1340" t="s">
        <v>40</v>
      </c>
      <c r="G1340" t="s">
        <v>41</v>
      </c>
      <c r="H1340" t="s">
        <v>4028</v>
      </c>
      <c r="I1340" t="s">
        <v>43</v>
      </c>
      <c r="J1340">
        <v>2</v>
      </c>
      <c r="K1340" t="s">
        <v>44</v>
      </c>
      <c r="L1340" t="s">
        <v>45</v>
      </c>
      <c r="M1340" t="s">
        <v>46</v>
      </c>
      <c r="N1340" s="7">
        <v>1</v>
      </c>
      <c r="O1340" s="8">
        <v>45633.471608796295</v>
      </c>
      <c r="P1340" s="9">
        <v>45635</v>
      </c>
      <c r="Q1340" t="s">
        <v>74</v>
      </c>
      <c r="R1340" t="s">
        <v>48</v>
      </c>
      <c r="S1340" t="s">
        <v>49</v>
      </c>
      <c r="T1340" t="s">
        <v>559</v>
      </c>
      <c r="U1340" t="s">
        <v>4029</v>
      </c>
      <c r="V1340">
        <v>62592</v>
      </c>
      <c r="W1340" t="s">
        <v>48</v>
      </c>
      <c r="X1340" t="s">
        <v>53</v>
      </c>
      <c r="Y1340" t="s">
        <v>54</v>
      </c>
      <c r="Z1340" s="12">
        <f>IF(N1340&lt;=1,9,9+0.8*ROUNDUP(N1340-1,0))</f>
        <v>9</v>
      </c>
      <c r="AA1340" s="11">
        <v>-2</v>
      </c>
      <c r="AB1340" s="11">
        <v>0</v>
      </c>
      <c r="AC1340" s="11">
        <v>0</v>
      </c>
      <c r="AD1340" s="11">
        <v>0</v>
      </c>
      <c r="AE1340" s="11">
        <v>0</v>
      </c>
      <c r="AF1340" s="11">
        <f t="shared" si="60"/>
        <v>0.42</v>
      </c>
      <c r="AG1340" s="11">
        <f t="shared" si="61"/>
        <v>7.42</v>
      </c>
      <c r="AH1340" s="11">
        <v>0</v>
      </c>
      <c r="AI1340" s="11">
        <f t="shared" si="62"/>
        <v>7.42</v>
      </c>
      <c r="AJ1340" t="s">
        <v>62</v>
      </c>
    </row>
    <row r="1341" spans="1:36" ht="15" customHeight="1" x14ac:dyDescent="0.35">
      <c r="A1341">
        <v>10428918</v>
      </c>
      <c r="B1341" t="s">
        <v>36</v>
      </c>
      <c r="C1341" t="s">
        <v>37</v>
      </c>
      <c r="D1341" s="6" t="s">
        <v>38</v>
      </c>
      <c r="E1341" t="s">
        <v>4030</v>
      </c>
      <c r="F1341" t="s">
        <v>40</v>
      </c>
      <c r="G1341" t="s">
        <v>41</v>
      </c>
      <c r="H1341" t="s">
        <v>352</v>
      </c>
      <c r="I1341" t="s">
        <v>43</v>
      </c>
      <c r="J1341">
        <v>2</v>
      </c>
      <c r="K1341" t="s">
        <v>44</v>
      </c>
      <c r="L1341" t="s">
        <v>45</v>
      </c>
      <c r="M1341" t="s">
        <v>46</v>
      </c>
      <c r="N1341" s="7">
        <v>1</v>
      </c>
      <c r="O1341" s="8">
        <v>45633.86451388889</v>
      </c>
      <c r="P1341" s="9">
        <v>45635</v>
      </c>
      <c r="Q1341" t="s">
        <v>74</v>
      </c>
      <c r="R1341" t="s">
        <v>48</v>
      </c>
      <c r="S1341" t="s">
        <v>49</v>
      </c>
      <c r="T1341" t="s">
        <v>90</v>
      </c>
      <c r="U1341" t="s">
        <v>353</v>
      </c>
      <c r="V1341">
        <v>21200</v>
      </c>
      <c r="W1341" t="s">
        <v>48</v>
      </c>
      <c r="X1341" t="s">
        <v>92</v>
      </c>
      <c r="Y1341" t="s">
        <v>54</v>
      </c>
      <c r="Z1341" s="12">
        <f>IF(N1341&lt;=1,9,9+0.8*ROUNDUP(N1341-1,0))</f>
        <v>9</v>
      </c>
      <c r="AA1341" s="11">
        <v>-2</v>
      </c>
      <c r="AB1341" s="11">
        <v>0</v>
      </c>
      <c r="AC1341" s="11">
        <v>0</v>
      </c>
      <c r="AD1341" s="11">
        <v>0</v>
      </c>
      <c r="AE1341" s="11">
        <v>0</v>
      </c>
      <c r="AF1341" s="11">
        <f t="shared" si="60"/>
        <v>0.42</v>
      </c>
      <c r="AG1341" s="11">
        <f t="shared" si="61"/>
        <v>7.42</v>
      </c>
      <c r="AH1341" s="11">
        <v>0</v>
      </c>
      <c r="AI1341" s="11">
        <f t="shared" si="62"/>
        <v>7.42</v>
      </c>
      <c r="AJ1341" t="s">
        <v>62</v>
      </c>
    </row>
    <row r="1342" spans="1:36" ht="15" customHeight="1" x14ac:dyDescent="0.35">
      <c r="A1342">
        <v>10428918</v>
      </c>
      <c r="B1342" t="s">
        <v>36</v>
      </c>
      <c r="C1342" t="s">
        <v>37</v>
      </c>
      <c r="D1342" s="6" t="s">
        <v>38</v>
      </c>
      <c r="E1342" t="s">
        <v>4031</v>
      </c>
      <c r="F1342" t="s">
        <v>40</v>
      </c>
      <c r="G1342" t="s">
        <v>41</v>
      </c>
      <c r="H1342" t="s">
        <v>4032</v>
      </c>
      <c r="I1342" t="s">
        <v>43</v>
      </c>
      <c r="J1342">
        <v>2</v>
      </c>
      <c r="K1342" t="s">
        <v>44</v>
      </c>
      <c r="L1342" t="s">
        <v>45</v>
      </c>
      <c r="M1342" t="s">
        <v>46</v>
      </c>
      <c r="N1342" s="7">
        <v>1</v>
      </c>
      <c r="O1342" s="8">
        <v>45633.838645833333</v>
      </c>
      <c r="P1342" s="9">
        <v>45635</v>
      </c>
      <c r="Q1342" t="s">
        <v>74</v>
      </c>
      <c r="R1342" t="s">
        <v>48</v>
      </c>
      <c r="S1342" t="s">
        <v>49</v>
      </c>
      <c r="T1342" t="s">
        <v>90</v>
      </c>
      <c r="U1342" t="s">
        <v>4033</v>
      </c>
      <c r="V1342">
        <v>21100</v>
      </c>
      <c r="W1342" t="s">
        <v>48</v>
      </c>
      <c r="X1342" t="s">
        <v>92</v>
      </c>
      <c r="Y1342" t="s">
        <v>54</v>
      </c>
      <c r="Z1342" s="12">
        <f>IF(N1342&lt;=1,9,9+0.8*ROUNDUP(N1342-1,0))</f>
        <v>9</v>
      </c>
      <c r="AA1342" s="11">
        <v>-2</v>
      </c>
      <c r="AB1342" s="11">
        <v>0</v>
      </c>
      <c r="AC1342" s="11">
        <v>0</v>
      </c>
      <c r="AD1342" s="11">
        <v>0</v>
      </c>
      <c r="AE1342" s="11">
        <v>0</v>
      </c>
      <c r="AF1342" s="11">
        <f t="shared" si="60"/>
        <v>0.42</v>
      </c>
      <c r="AG1342" s="11">
        <f t="shared" si="61"/>
        <v>7.42</v>
      </c>
      <c r="AH1342" s="11">
        <v>0</v>
      </c>
      <c r="AI1342" s="11">
        <f t="shared" si="62"/>
        <v>7.42</v>
      </c>
      <c r="AJ1342" t="s">
        <v>62</v>
      </c>
    </row>
    <row r="1343" spans="1:36" ht="15" customHeight="1" x14ac:dyDescent="0.35">
      <c r="A1343">
        <v>10428918</v>
      </c>
      <c r="B1343" t="s">
        <v>36</v>
      </c>
      <c r="C1343" t="s">
        <v>37</v>
      </c>
      <c r="D1343" s="6" t="s">
        <v>38</v>
      </c>
      <c r="E1343" t="s">
        <v>4034</v>
      </c>
      <c r="F1343" t="s">
        <v>40</v>
      </c>
      <c r="G1343" t="s">
        <v>41</v>
      </c>
      <c r="H1343" t="s">
        <v>4035</v>
      </c>
      <c r="I1343" t="s">
        <v>43</v>
      </c>
      <c r="J1343">
        <v>2</v>
      </c>
      <c r="K1343" t="s">
        <v>44</v>
      </c>
      <c r="L1343" t="s">
        <v>45</v>
      </c>
      <c r="M1343" t="s">
        <v>46</v>
      </c>
      <c r="N1343" s="7">
        <v>1</v>
      </c>
      <c r="O1343" s="8">
        <v>45631.714699074073</v>
      </c>
      <c r="P1343" s="9">
        <v>45635</v>
      </c>
      <c r="Q1343" t="s">
        <v>74</v>
      </c>
      <c r="R1343" t="s">
        <v>48</v>
      </c>
      <c r="S1343" t="s">
        <v>49</v>
      </c>
      <c r="T1343" t="s">
        <v>170</v>
      </c>
      <c r="U1343" t="s">
        <v>4036</v>
      </c>
      <c r="V1343">
        <v>47400</v>
      </c>
      <c r="W1343" t="s">
        <v>48</v>
      </c>
      <c r="X1343" t="s">
        <v>187</v>
      </c>
      <c r="Y1343" t="s">
        <v>54</v>
      </c>
      <c r="Z1343" s="12">
        <f>IF(N1343&lt;=1,9,9+0.8*ROUNDUP(N1343-1,0))</f>
        <v>9</v>
      </c>
      <c r="AA1343" s="11">
        <v>-2</v>
      </c>
      <c r="AB1343" s="11">
        <v>0</v>
      </c>
      <c r="AC1343" s="11">
        <v>0</v>
      </c>
      <c r="AD1343" s="11">
        <v>0</v>
      </c>
      <c r="AE1343" s="11">
        <v>0</v>
      </c>
      <c r="AF1343" s="11">
        <f t="shared" si="60"/>
        <v>0.42</v>
      </c>
      <c r="AG1343" s="11">
        <f t="shared" si="61"/>
        <v>7.42</v>
      </c>
      <c r="AH1343" s="11">
        <v>0</v>
      </c>
      <c r="AI1343" s="11">
        <f t="shared" si="62"/>
        <v>7.42</v>
      </c>
      <c r="AJ1343" t="s">
        <v>62</v>
      </c>
    </row>
    <row r="1344" spans="1:36" ht="15" customHeight="1" x14ac:dyDescent="0.35">
      <c r="A1344">
        <v>10428918</v>
      </c>
      <c r="B1344" t="s">
        <v>36</v>
      </c>
      <c r="C1344" t="s">
        <v>37</v>
      </c>
      <c r="D1344" s="6" t="s">
        <v>38</v>
      </c>
      <c r="E1344" t="s">
        <v>4037</v>
      </c>
      <c r="F1344" t="s">
        <v>40</v>
      </c>
      <c r="G1344" t="s">
        <v>41</v>
      </c>
      <c r="H1344" t="s">
        <v>4038</v>
      </c>
      <c r="I1344" t="s">
        <v>43</v>
      </c>
      <c r="J1344">
        <v>2</v>
      </c>
      <c r="K1344" t="s">
        <v>44</v>
      </c>
      <c r="L1344" t="s">
        <v>45</v>
      </c>
      <c r="M1344" t="s">
        <v>46</v>
      </c>
      <c r="N1344" s="7">
        <v>1</v>
      </c>
      <c r="O1344" s="8">
        <v>45632.751180555555</v>
      </c>
      <c r="P1344" s="9">
        <v>45635</v>
      </c>
      <c r="Q1344" t="s">
        <v>74</v>
      </c>
      <c r="R1344" t="s">
        <v>48</v>
      </c>
      <c r="S1344" t="s">
        <v>49</v>
      </c>
      <c r="T1344" t="s">
        <v>170</v>
      </c>
      <c r="U1344" t="s">
        <v>4039</v>
      </c>
      <c r="V1344">
        <v>50634</v>
      </c>
      <c r="W1344" t="s">
        <v>48</v>
      </c>
      <c r="X1344" t="s">
        <v>564</v>
      </c>
      <c r="Y1344" t="s">
        <v>54</v>
      </c>
      <c r="Z1344" s="12">
        <f>IF(N1344&lt;=1,9,9+0.8*ROUNDUP(N1344-1,0))</f>
        <v>9</v>
      </c>
      <c r="AA1344" s="11">
        <v>-2</v>
      </c>
      <c r="AB1344" s="11">
        <v>0</v>
      </c>
      <c r="AC1344" s="11">
        <v>0</v>
      </c>
      <c r="AD1344" s="11">
        <v>0</v>
      </c>
      <c r="AE1344" s="11">
        <v>0</v>
      </c>
      <c r="AF1344" s="11">
        <f t="shared" si="60"/>
        <v>0.42</v>
      </c>
      <c r="AG1344" s="11">
        <f t="shared" si="61"/>
        <v>7.42</v>
      </c>
      <c r="AH1344" s="11">
        <v>0</v>
      </c>
      <c r="AI1344" s="11">
        <f t="shared" si="62"/>
        <v>7.42</v>
      </c>
      <c r="AJ1344" t="s">
        <v>62</v>
      </c>
    </row>
    <row r="1345" spans="1:36" ht="15" customHeight="1" x14ac:dyDescent="0.35">
      <c r="A1345">
        <v>10428918</v>
      </c>
      <c r="B1345" t="s">
        <v>36</v>
      </c>
      <c r="C1345" t="s">
        <v>37</v>
      </c>
      <c r="D1345" s="6" t="s">
        <v>38</v>
      </c>
      <c r="E1345" t="s">
        <v>4040</v>
      </c>
      <c r="F1345" t="s">
        <v>40</v>
      </c>
      <c r="G1345" t="s">
        <v>41</v>
      </c>
      <c r="H1345" t="s">
        <v>4041</v>
      </c>
      <c r="I1345" t="s">
        <v>43</v>
      </c>
      <c r="J1345">
        <v>2</v>
      </c>
      <c r="K1345" t="s">
        <v>44</v>
      </c>
      <c r="L1345" t="s">
        <v>45</v>
      </c>
      <c r="M1345" t="s">
        <v>46</v>
      </c>
      <c r="N1345" s="7">
        <v>1</v>
      </c>
      <c r="O1345" s="8">
        <v>45634.684293981481</v>
      </c>
      <c r="P1345" s="9">
        <v>45635</v>
      </c>
      <c r="Q1345" t="s">
        <v>74</v>
      </c>
      <c r="R1345" t="s">
        <v>48</v>
      </c>
      <c r="S1345" t="s">
        <v>49</v>
      </c>
      <c r="T1345" t="s">
        <v>117</v>
      </c>
      <c r="U1345" t="s">
        <v>4042</v>
      </c>
      <c r="V1345">
        <v>47410</v>
      </c>
      <c r="W1345" t="s">
        <v>48</v>
      </c>
      <c r="X1345" t="s">
        <v>187</v>
      </c>
      <c r="Y1345" t="s">
        <v>54</v>
      </c>
      <c r="Z1345" s="12">
        <f>IF(N1345&lt;=1,9,9+0.8*ROUNDUP(N1345-1,0))</f>
        <v>9</v>
      </c>
      <c r="AA1345" s="11">
        <v>-2</v>
      </c>
      <c r="AB1345" s="11">
        <v>0</v>
      </c>
      <c r="AC1345" s="11">
        <v>0</v>
      </c>
      <c r="AD1345" s="11">
        <v>0</v>
      </c>
      <c r="AE1345" s="11">
        <v>0</v>
      </c>
      <c r="AF1345" s="11">
        <f t="shared" si="60"/>
        <v>0.42</v>
      </c>
      <c r="AG1345" s="11">
        <f t="shared" si="61"/>
        <v>7.42</v>
      </c>
      <c r="AH1345" s="11">
        <v>0</v>
      </c>
      <c r="AI1345" s="11">
        <f t="shared" si="62"/>
        <v>7.42</v>
      </c>
      <c r="AJ1345" t="s">
        <v>62</v>
      </c>
    </row>
    <row r="1346" spans="1:36" ht="15" customHeight="1" x14ac:dyDescent="0.35">
      <c r="A1346">
        <v>10428918</v>
      </c>
      <c r="B1346" t="s">
        <v>36</v>
      </c>
      <c r="C1346" t="s">
        <v>37</v>
      </c>
      <c r="D1346" s="6" t="s">
        <v>38</v>
      </c>
      <c r="E1346" t="s">
        <v>4043</v>
      </c>
      <c r="F1346" t="s">
        <v>40</v>
      </c>
      <c r="G1346" t="s">
        <v>41</v>
      </c>
      <c r="H1346" t="s">
        <v>4044</v>
      </c>
      <c r="I1346" t="s">
        <v>43</v>
      </c>
      <c r="J1346">
        <v>2</v>
      </c>
      <c r="K1346" t="s">
        <v>44</v>
      </c>
      <c r="L1346" t="s">
        <v>45</v>
      </c>
      <c r="M1346" t="s">
        <v>46</v>
      </c>
      <c r="N1346" s="7">
        <v>4</v>
      </c>
      <c r="O1346" s="8">
        <v>45633.635451388887</v>
      </c>
      <c r="P1346" s="9">
        <v>45635</v>
      </c>
      <c r="Q1346" t="s">
        <v>74</v>
      </c>
      <c r="R1346" t="s">
        <v>48</v>
      </c>
      <c r="S1346" t="s">
        <v>49</v>
      </c>
      <c r="T1346" t="s">
        <v>170</v>
      </c>
      <c r="U1346" t="s">
        <v>4045</v>
      </c>
      <c r="V1346">
        <v>58000</v>
      </c>
      <c r="W1346" t="s">
        <v>48</v>
      </c>
      <c r="X1346" t="s">
        <v>3194</v>
      </c>
      <c r="Y1346" t="s">
        <v>54</v>
      </c>
      <c r="Z1346" s="12">
        <f>IF(N1346&lt;=1,9,9+0.8*ROUNDUP(N1346-1,0))</f>
        <v>11.4</v>
      </c>
      <c r="AA1346" s="11">
        <v>-2</v>
      </c>
      <c r="AB1346" s="11">
        <v>0</v>
      </c>
      <c r="AC1346" s="11">
        <v>0</v>
      </c>
      <c r="AD1346" s="11">
        <v>0</v>
      </c>
      <c r="AE1346" s="11">
        <v>0</v>
      </c>
      <c r="AF1346" s="11">
        <f t="shared" ref="AF1346:AF1409" si="63">(Z1346+AA1346+AC1346+AE1346)*6%</f>
        <v>0.56399999999999995</v>
      </c>
      <c r="AG1346" s="11">
        <f t="shared" ref="AG1346:AG1409" si="64">Z1346+AA1346+AC1346+AE1346+AF1346</f>
        <v>9.9640000000000004</v>
      </c>
      <c r="AH1346" s="11">
        <v>0</v>
      </c>
      <c r="AI1346" s="11">
        <f t="shared" ref="AI1346:AI1409" si="65">AG1346+AH1346</f>
        <v>9.9640000000000004</v>
      </c>
      <c r="AJ1346" t="s">
        <v>62</v>
      </c>
    </row>
    <row r="1347" spans="1:36" ht="15" customHeight="1" x14ac:dyDescent="0.35">
      <c r="A1347">
        <v>10428918</v>
      </c>
      <c r="B1347" t="s">
        <v>36</v>
      </c>
      <c r="C1347" t="s">
        <v>37</v>
      </c>
      <c r="D1347" s="6" t="s">
        <v>38</v>
      </c>
      <c r="E1347" t="s">
        <v>4046</v>
      </c>
      <c r="F1347" t="s">
        <v>40</v>
      </c>
      <c r="G1347" t="s">
        <v>41</v>
      </c>
      <c r="H1347" t="s">
        <v>4047</v>
      </c>
      <c r="I1347" t="s">
        <v>43</v>
      </c>
      <c r="J1347">
        <v>2</v>
      </c>
      <c r="K1347" t="s">
        <v>44</v>
      </c>
      <c r="L1347" t="s">
        <v>45</v>
      </c>
      <c r="M1347" t="s">
        <v>46</v>
      </c>
      <c r="N1347" s="7">
        <v>3</v>
      </c>
      <c r="O1347" s="8">
        <v>45633.746898148151</v>
      </c>
      <c r="P1347" s="9">
        <v>45635</v>
      </c>
      <c r="Q1347" t="s">
        <v>74</v>
      </c>
      <c r="R1347" t="s">
        <v>48</v>
      </c>
      <c r="S1347" t="s">
        <v>49</v>
      </c>
      <c r="T1347" t="s">
        <v>170</v>
      </c>
      <c r="U1347" t="s">
        <v>4048</v>
      </c>
      <c r="V1347">
        <v>59200</v>
      </c>
      <c r="W1347" t="s">
        <v>48</v>
      </c>
      <c r="X1347" t="s">
        <v>53</v>
      </c>
      <c r="Y1347" t="s">
        <v>54</v>
      </c>
      <c r="Z1347" s="12">
        <f>IF(N1347&lt;=1,9,9+0.8*ROUNDUP(N1347-1,0))</f>
        <v>10.6</v>
      </c>
      <c r="AA1347" s="11">
        <v>-2</v>
      </c>
      <c r="AB1347" s="11">
        <v>0</v>
      </c>
      <c r="AC1347" s="11">
        <v>0</v>
      </c>
      <c r="AD1347" s="11">
        <v>0</v>
      </c>
      <c r="AE1347" s="11">
        <v>0</v>
      </c>
      <c r="AF1347" s="11">
        <f t="shared" si="63"/>
        <v>0.51600000000000001</v>
      </c>
      <c r="AG1347" s="11">
        <f t="shared" si="64"/>
        <v>9.1159999999999997</v>
      </c>
      <c r="AH1347" s="11">
        <v>0</v>
      </c>
      <c r="AI1347" s="11">
        <f t="shared" si="65"/>
        <v>9.1159999999999997</v>
      </c>
      <c r="AJ1347" t="s">
        <v>62</v>
      </c>
    </row>
    <row r="1348" spans="1:36" ht="15" customHeight="1" x14ac:dyDescent="0.35">
      <c r="A1348">
        <v>10428918</v>
      </c>
      <c r="B1348" t="s">
        <v>36</v>
      </c>
      <c r="C1348" t="s">
        <v>37</v>
      </c>
      <c r="D1348" s="6" t="s">
        <v>38</v>
      </c>
      <c r="E1348" t="s">
        <v>4049</v>
      </c>
      <c r="F1348" t="s">
        <v>40</v>
      </c>
      <c r="G1348" t="s">
        <v>41</v>
      </c>
      <c r="H1348" t="s">
        <v>554</v>
      </c>
      <c r="I1348" t="s">
        <v>43</v>
      </c>
      <c r="J1348">
        <v>2</v>
      </c>
      <c r="K1348" t="s">
        <v>44</v>
      </c>
      <c r="L1348" t="s">
        <v>45</v>
      </c>
      <c r="M1348" t="s">
        <v>46</v>
      </c>
      <c r="N1348" s="7">
        <v>1</v>
      </c>
      <c r="O1348" s="8">
        <v>45633.856504629628</v>
      </c>
      <c r="P1348" s="9">
        <v>45635</v>
      </c>
      <c r="Q1348" t="s">
        <v>74</v>
      </c>
      <c r="R1348" t="s">
        <v>48</v>
      </c>
      <c r="S1348" t="s">
        <v>49</v>
      </c>
      <c r="T1348" t="s">
        <v>117</v>
      </c>
      <c r="U1348" t="s">
        <v>555</v>
      </c>
      <c r="V1348">
        <v>47000</v>
      </c>
      <c r="W1348" t="s">
        <v>48</v>
      </c>
      <c r="X1348" t="s">
        <v>556</v>
      </c>
      <c r="Y1348" t="s">
        <v>54</v>
      </c>
      <c r="Z1348" s="12">
        <f>IF(N1348&lt;=1,9,9+0.8*ROUNDUP(N1348-1,0))</f>
        <v>9</v>
      </c>
      <c r="AA1348" s="11">
        <v>-2</v>
      </c>
      <c r="AB1348" s="11">
        <v>0</v>
      </c>
      <c r="AC1348" s="11">
        <v>0</v>
      </c>
      <c r="AD1348" s="11">
        <v>0</v>
      </c>
      <c r="AE1348" s="11">
        <v>0</v>
      </c>
      <c r="AF1348" s="11">
        <f t="shared" si="63"/>
        <v>0.42</v>
      </c>
      <c r="AG1348" s="11">
        <f t="shared" si="64"/>
        <v>7.42</v>
      </c>
      <c r="AH1348" s="11">
        <v>0</v>
      </c>
      <c r="AI1348" s="11">
        <f t="shared" si="65"/>
        <v>7.42</v>
      </c>
      <c r="AJ1348" t="s">
        <v>62</v>
      </c>
    </row>
    <row r="1349" spans="1:36" ht="15" customHeight="1" x14ac:dyDescent="0.35">
      <c r="A1349">
        <v>10428918</v>
      </c>
      <c r="B1349" t="s">
        <v>36</v>
      </c>
      <c r="C1349" t="s">
        <v>37</v>
      </c>
      <c r="D1349" s="6" t="s">
        <v>38</v>
      </c>
      <c r="E1349" t="s">
        <v>4050</v>
      </c>
      <c r="F1349" t="s">
        <v>40</v>
      </c>
      <c r="G1349" t="s">
        <v>41</v>
      </c>
      <c r="H1349" t="s">
        <v>4051</v>
      </c>
      <c r="I1349" t="s">
        <v>43</v>
      </c>
      <c r="J1349">
        <v>2</v>
      </c>
      <c r="K1349" t="s">
        <v>44</v>
      </c>
      <c r="L1349" t="s">
        <v>45</v>
      </c>
      <c r="M1349" t="s">
        <v>46</v>
      </c>
      <c r="N1349" s="7">
        <v>1</v>
      </c>
      <c r="O1349" s="8">
        <v>45633.86451388889</v>
      </c>
      <c r="P1349" s="9">
        <v>45635</v>
      </c>
      <c r="Q1349" t="s">
        <v>74</v>
      </c>
      <c r="R1349" t="s">
        <v>48</v>
      </c>
      <c r="S1349" t="s">
        <v>49</v>
      </c>
      <c r="T1349" t="s">
        <v>75</v>
      </c>
      <c r="U1349" t="s">
        <v>4052</v>
      </c>
      <c r="V1349">
        <v>26680</v>
      </c>
      <c r="W1349" t="s">
        <v>48</v>
      </c>
      <c r="X1349" t="s">
        <v>77</v>
      </c>
      <c r="Y1349" t="s">
        <v>54</v>
      </c>
      <c r="Z1349" s="12">
        <f>IF(N1349&lt;=1,9,9+0.8*ROUNDUP(N1349-1,0))</f>
        <v>9</v>
      </c>
      <c r="AA1349" s="11">
        <v>-2</v>
      </c>
      <c r="AB1349" s="11">
        <v>0</v>
      </c>
      <c r="AC1349" s="11">
        <v>0</v>
      </c>
      <c r="AD1349" s="11">
        <v>0</v>
      </c>
      <c r="AE1349" s="11">
        <v>0</v>
      </c>
      <c r="AF1349" s="11">
        <f t="shared" si="63"/>
        <v>0.42</v>
      </c>
      <c r="AG1349" s="11">
        <f t="shared" si="64"/>
        <v>7.42</v>
      </c>
      <c r="AH1349" s="11">
        <v>0</v>
      </c>
      <c r="AI1349" s="11">
        <f t="shared" si="65"/>
        <v>7.42</v>
      </c>
      <c r="AJ1349" t="s">
        <v>62</v>
      </c>
    </row>
    <row r="1350" spans="1:36" ht="15" customHeight="1" x14ac:dyDescent="0.35">
      <c r="A1350">
        <v>10428918</v>
      </c>
      <c r="B1350" t="s">
        <v>36</v>
      </c>
      <c r="C1350" t="s">
        <v>37</v>
      </c>
      <c r="D1350" s="6" t="s">
        <v>38</v>
      </c>
      <c r="E1350" t="s">
        <v>4053</v>
      </c>
      <c r="F1350" t="s">
        <v>40</v>
      </c>
      <c r="G1350" t="s">
        <v>41</v>
      </c>
      <c r="H1350" t="s">
        <v>4054</v>
      </c>
      <c r="I1350" t="s">
        <v>43</v>
      </c>
      <c r="J1350">
        <v>2</v>
      </c>
      <c r="K1350" t="s">
        <v>44</v>
      </c>
      <c r="L1350" t="s">
        <v>45</v>
      </c>
      <c r="M1350" t="s">
        <v>46</v>
      </c>
      <c r="N1350" s="7">
        <v>1</v>
      </c>
      <c r="O1350" s="8">
        <v>45634.656851851854</v>
      </c>
      <c r="P1350" s="9">
        <v>45635</v>
      </c>
      <c r="Q1350" t="s">
        <v>74</v>
      </c>
      <c r="R1350" t="s">
        <v>48</v>
      </c>
      <c r="S1350" t="s">
        <v>49</v>
      </c>
      <c r="T1350" t="s">
        <v>117</v>
      </c>
      <c r="U1350" t="s">
        <v>4055</v>
      </c>
      <c r="V1350">
        <v>46150</v>
      </c>
      <c r="W1350" t="s">
        <v>48</v>
      </c>
      <c r="X1350" t="s">
        <v>2413</v>
      </c>
      <c r="Y1350" t="s">
        <v>54</v>
      </c>
      <c r="Z1350" s="12">
        <f>IF(N1350&lt;=1,9,9+0.8*ROUNDUP(N1350-1,0))</f>
        <v>9</v>
      </c>
      <c r="AA1350" s="11">
        <v>-2</v>
      </c>
      <c r="AB1350" s="11">
        <v>0</v>
      </c>
      <c r="AC1350" s="11">
        <v>0</v>
      </c>
      <c r="AD1350" s="11">
        <v>0</v>
      </c>
      <c r="AE1350" s="11">
        <v>0</v>
      </c>
      <c r="AF1350" s="11">
        <f t="shared" si="63"/>
        <v>0.42</v>
      </c>
      <c r="AG1350" s="11">
        <f t="shared" si="64"/>
        <v>7.42</v>
      </c>
      <c r="AH1350" s="11">
        <v>0</v>
      </c>
      <c r="AI1350" s="11">
        <f t="shared" si="65"/>
        <v>7.42</v>
      </c>
      <c r="AJ1350" t="s">
        <v>62</v>
      </c>
    </row>
    <row r="1351" spans="1:36" ht="15" customHeight="1" x14ac:dyDescent="0.35">
      <c r="A1351">
        <v>10428918</v>
      </c>
      <c r="B1351" t="s">
        <v>36</v>
      </c>
      <c r="C1351" t="s">
        <v>37</v>
      </c>
      <c r="D1351" s="6" t="s">
        <v>38</v>
      </c>
      <c r="E1351" t="s">
        <v>4056</v>
      </c>
      <c r="F1351" t="s">
        <v>40</v>
      </c>
      <c r="G1351" t="s">
        <v>41</v>
      </c>
      <c r="H1351" t="s">
        <v>4057</v>
      </c>
      <c r="I1351" t="s">
        <v>43</v>
      </c>
      <c r="J1351">
        <v>2</v>
      </c>
      <c r="K1351" t="s">
        <v>44</v>
      </c>
      <c r="L1351" t="s">
        <v>45</v>
      </c>
      <c r="M1351" t="s">
        <v>46</v>
      </c>
      <c r="N1351" s="7">
        <v>6</v>
      </c>
      <c r="O1351" s="8">
        <v>45634.538622685184</v>
      </c>
      <c r="P1351" s="9">
        <v>45635</v>
      </c>
      <c r="Q1351" t="s">
        <v>74</v>
      </c>
      <c r="R1351" t="s">
        <v>48</v>
      </c>
      <c r="S1351" t="s">
        <v>49</v>
      </c>
      <c r="T1351" t="s">
        <v>90</v>
      </c>
      <c r="U1351" t="s">
        <v>4058</v>
      </c>
      <c r="V1351">
        <v>23100</v>
      </c>
      <c r="W1351" t="s">
        <v>48</v>
      </c>
      <c r="X1351" t="s">
        <v>4059</v>
      </c>
      <c r="Y1351" t="s">
        <v>54</v>
      </c>
      <c r="Z1351" s="12">
        <f>IF(N1351&lt;=1,9,9+0.8*ROUNDUP(N1351-1,0))</f>
        <v>13</v>
      </c>
      <c r="AA1351" s="11">
        <v>-2</v>
      </c>
      <c r="AB1351" s="11">
        <v>0</v>
      </c>
      <c r="AC1351" s="11">
        <v>0</v>
      </c>
      <c r="AD1351" s="11">
        <v>0</v>
      </c>
      <c r="AE1351" s="11">
        <v>0</v>
      </c>
      <c r="AF1351" s="11">
        <f t="shared" si="63"/>
        <v>0.65999999999999992</v>
      </c>
      <c r="AG1351" s="11">
        <f t="shared" si="64"/>
        <v>11.66</v>
      </c>
      <c r="AH1351" s="11">
        <v>0</v>
      </c>
      <c r="AI1351" s="11">
        <f t="shared" si="65"/>
        <v>11.66</v>
      </c>
      <c r="AJ1351" t="s">
        <v>62</v>
      </c>
    </row>
    <row r="1352" spans="1:36" ht="15" customHeight="1" x14ac:dyDescent="0.35">
      <c r="A1352">
        <v>10428918</v>
      </c>
      <c r="B1352" t="s">
        <v>36</v>
      </c>
      <c r="C1352" t="s">
        <v>37</v>
      </c>
      <c r="D1352" s="6" t="s">
        <v>38</v>
      </c>
      <c r="E1352" t="s">
        <v>4060</v>
      </c>
      <c r="F1352" t="s">
        <v>40</v>
      </c>
      <c r="G1352" t="s">
        <v>41</v>
      </c>
      <c r="H1352" t="s">
        <v>4061</v>
      </c>
      <c r="I1352" t="s">
        <v>43</v>
      </c>
      <c r="J1352">
        <v>2</v>
      </c>
      <c r="K1352" t="s">
        <v>44</v>
      </c>
      <c r="L1352" t="s">
        <v>45</v>
      </c>
      <c r="M1352" t="s">
        <v>46</v>
      </c>
      <c r="N1352" s="7">
        <v>1</v>
      </c>
      <c r="O1352" s="8">
        <v>45630.806354166663</v>
      </c>
      <c r="P1352" s="9">
        <v>45635</v>
      </c>
      <c r="Q1352" t="s">
        <v>74</v>
      </c>
      <c r="R1352" t="s">
        <v>48</v>
      </c>
      <c r="S1352" t="s">
        <v>49</v>
      </c>
      <c r="T1352" t="s">
        <v>117</v>
      </c>
      <c r="U1352" t="s">
        <v>4062</v>
      </c>
      <c r="V1352">
        <v>45800</v>
      </c>
      <c r="W1352" t="s">
        <v>48</v>
      </c>
      <c r="X1352" t="s">
        <v>1303</v>
      </c>
      <c r="Y1352" t="s">
        <v>54</v>
      </c>
      <c r="Z1352" s="12">
        <f>IF(N1352&lt;=1,9,9+0.8*ROUNDUP(N1352-1,0))</f>
        <v>9</v>
      </c>
      <c r="AA1352" s="11">
        <v>-2</v>
      </c>
      <c r="AB1352" s="11">
        <v>0</v>
      </c>
      <c r="AC1352" s="11">
        <v>0</v>
      </c>
      <c r="AD1352" s="11">
        <v>0</v>
      </c>
      <c r="AE1352" s="11">
        <v>0</v>
      </c>
      <c r="AF1352" s="11">
        <f t="shared" si="63"/>
        <v>0.42</v>
      </c>
      <c r="AG1352" s="11">
        <f t="shared" si="64"/>
        <v>7.42</v>
      </c>
      <c r="AH1352" s="11">
        <v>0</v>
      </c>
      <c r="AI1352" s="11">
        <f t="shared" si="65"/>
        <v>7.42</v>
      </c>
      <c r="AJ1352" t="s">
        <v>62</v>
      </c>
    </row>
    <row r="1353" spans="1:36" ht="15" customHeight="1" x14ac:dyDescent="0.35">
      <c r="A1353">
        <v>10428918</v>
      </c>
      <c r="B1353" t="s">
        <v>36</v>
      </c>
      <c r="C1353" t="s">
        <v>37</v>
      </c>
      <c r="D1353" s="6" t="s">
        <v>38</v>
      </c>
      <c r="E1353" t="s">
        <v>4063</v>
      </c>
      <c r="F1353" t="s">
        <v>40</v>
      </c>
      <c r="G1353" t="s">
        <v>41</v>
      </c>
      <c r="H1353" t="s">
        <v>4064</v>
      </c>
      <c r="I1353" t="s">
        <v>43</v>
      </c>
      <c r="J1353">
        <v>2</v>
      </c>
      <c r="K1353" t="s">
        <v>44</v>
      </c>
      <c r="L1353" t="s">
        <v>45</v>
      </c>
      <c r="M1353" t="s">
        <v>46</v>
      </c>
      <c r="N1353" s="7">
        <v>6</v>
      </c>
      <c r="O1353" s="8">
        <v>45633.690497685187</v>
      </c>
      <c r="P1353" s="9">
        <v>45635</v>
      </c>
      <c r="Q1353" t="s">
        <v>74</v>
      </c>
      <c r="R1353" t="s">
        <v>48</v>
      </c>
      <c r="S1353" t="s">
        <v>49</v>
      </c>
      <c r="T1353" t="s">
        <v>161</v>
      </c>
      <c r="U1353" t="s">
        <v>4065</v>
      </c>
      <c r="V1353">
        <v>12990</v>
      </c>
      <c r="W1353" t="s">
        <v>48</v>
      </c>
      <c r="X1353" t="s">
        <v>812</v>
      </c>
      <c r="Y1353" t="s">
        <v>54</v>
      </c>
      <c r="Z1353" s="12">
        <f>IF(N1353&lt;=1,9,9+0.8*ROUNDUP(N1353-1,0))</f>
        <v>13</v>
      </c>
      <c r="AA1353" s="11">
        <v>-2</v>
      </c>
      <c r="AB1353" s="11">
        <v>0</v>
      </c>
      <c r="AC1353" s="11">
        <v>0</v>
      </c>
      <c r="AD1353" s="11">
        <v>0</v>
      </c>
      <c r="AE1353" s="11">
        <v>0</v>
      </c>
      <c r="AF1353" s="11">
        <f t="shared" si="63"/>
        <v>0.65999999999999992</v>
      </c>
      <c r="AG1353" s="11">
        <f t="shared" si="64"/>
        <v>11.66</v>
      </c>
      <c r="AH1353" s="11">
        <v>0</v>
      </c>
      <c r="AI1353" s="11">
        <f t="shared" si="65"/>
        <v>11.66</v>
      </c>
      <c r="AJ1353" t="s">
        <v>62</v>
      </c>
    </row>
    <row r="1354" spans="1:36" ht="15" customHeight="1" x14ac:dyDescent="0.35">
      <c r="A1354">
        <v>10428918</v>
      </c>
      <c r="B1354" t="s">
        <v>36</v>
      </c>
      <c r="C1354" t="s">
        <v>37</v>
      </c>
      <c r="D1354" s="6" t="s">
        <v>38</v>
      </c>
      <c r="E1354" t="s">
        <v>4066</v>
      </c>
      <c r="F1354" t="s">
        <v>40</v>
      </c>
      <c r="G1354" t="s">
        <v>41</v>
      </c>
      <c r="H1354" t="s">
        <v>4067</v>
      </c>
      <c r="I1354" t="s">
        <v>43</v>
      </c>
      <c r="J1354">
        <v>2</v>
      </c>
      <c r="K1354" t="s">
        <v>44</v>
      </c>
      <c r="L1354" t="s">
        <v>45</v>
      </c>
      <c r="M1354" t="s">
        <v>46</v>
      </c>
      <c r="N1354" s="7">
        <v>1</v>
      </c>
      <c r="O1354" s="8">
        <v>45634.456319444442</v>
      </c>
      <c r="P1354" s="9">
        <v>45636</v>
      </c>
      <c r="Q1354" t="s">
        <v>74</v>
      </c>
      <c r="R1354" t="s">
        <v>48</v>
      </c>
      <c r="S1354" t="s">
        <v>49</v>
      </c>
      <c r="T1354" t="s">
        <v>161</v>
      </c>
      <c r="U1354" t="s">
        <v>4068</v>
      </c>
      <c r="V1354">
        <v>13400</v>
      </c>
      <c r="W1354" t="s">
        <v>48</v>
      </c>
      <c r="X1354" t="s">
        <v>53</v>
      </c>
      <c r="Y1354" t="s">
        <v>54</v>
      </c>
      <c r="Z1354" s="12">
        <f>IF(N1354&lt;=1,9,9+0.8*ROUNDUP(N1354-1,0))</f>
        <v>9</v>
      </c>
      <c r="AA1354" s="11">
        <v>-2</v>
      </c>
      <c r="AB1354" s="11">
        <v>0</v>
      </c>
      <c r="AC1354" s="11">
        <v>0</v>
      </c>
      <c r="AD1354" s="11">
        <v>0</v>
      </c>
      <c r="AE1354" s="11">
        <v>0</v>
      </c>
      <c r="AF1354" s="11">
        <f t="shared" si="63"/>
        <v>0.42</v>
      </c>
      <c r="AG1354" s="11">
        <f t="shared" si="64"/>
        <v>7.42</v>
      </c>
      <c r="AH1354" s="11">
        <v>0</v>
      </c>
      <c r="AI1354" s="11">
        <f t="shared" si="65"/>
        <v>7.42</v>
      </c>
      <c r="AJ1354" t="s">
        <v>62</v>
      </c>
    </row>
    <row r="1355" spans="1:36" ht="15" customHeight="1" x14ac:dyDescent="0.35">
      <c r="A1355">
        <v>10428918</v>
      </c>
      <c r="B1355" t="s">
        <v>36</v>
      </c>
      <c r="C1355" t="s">
        <v>37</v>
      </c>
      <c r="D1355" s="6" t="s">
        <v>38</v>
      </c>
      <c r="E1355" t="s">
        <v>4069</v>
      </c>
      <c r="F1355" t="s">
        <v>40</v>
      </c>
      <c r="G1355" t="s">
        <v>41</v>
      </c>
      <c r="H1355" t="s">
        <v>4070</v>
      </c>
      <c r="I1355" t="s">
        <v>43</v>
      </c>
      <c r="J1355">
        <v>2</v>
      </c>
      <c r="K1355" t="s">
        <v>44</v>
      </c>
      <c r="L1355" t="s">
        <v>45</v>
      </c>
      <c r="M1355" t="s">
        <v>46</v>
      </c>
      <c r="N1355" s="7">
        <v>1</v>
      </c>
      <c r="O1355" s="8">
        <v>45634.785960648151</v>
      </c>
      <c r="P1355" s="9">
        <v>45636</v>
      </c>
      <c r="Q1355" t="s">
        <v>74</v>
      </c>
      <c r="R1355" t="s">
        <v>48</v>
      </c>
      <c r="S1355" t="s">
        <v>49</v>
      </c>
      <c r="T1355" t="s">
        <v>59</v>
      </c>
      <c r="U1355" t="s">
        <v>4071</v>
      </c>
      <c r="V1355">
        <v>18500</v>
      </c>
      <c r="W1355" t="s">
        <v>48</v>
      </c>
      <c r="X1355" t="s">
        <v>61</v>
      </c>
      <c r="Y1355" t="s">
        <v>54</v>
      </c>
      <c r="Z1355" s="12">
        <f>IF(N1355&lt;=1,9,9+0.8*ROUNDUP(N1355-1,0))</f>
        <v>9</v>
      </c>
      <c r="AA1355" s="11">
        <v>-2</v>
      </c>
      <c r="AB1355" s="11">
        <v>0</v>
      </c>
      <c r="AC1355" s="11">
        <v>0</v>
      </c>
      <c r="AD1355" s="11">
        <v>0</v>
      </c>
      <c r="AE1355" s="11">
        <v>0</v>
      </c>
      <c r="AF1355" s="11">
        <f t="shared" si="63"/>
        <v>0.42</v>
      </c>
      <c r="AG1355" s="11">
        <f t="shared" si="64"/>
        <v>7.42</v>
      </c>
      <c r="AH1355" s="11">
        <v>0</v>
      </c>
      <c r="AI1355" s="11">
        <f t="shared" si="65"/>
        <v>7.42</v>
      </c>
      <c r="AJ1355" t="s">
        <v>62</v>
      </c>
    </row>
    <row r="1356" spans="1:36" ht="15" customHeight="1" x14ac:dyDescent="0.35">
      <c r="A1356">
        <v>10428918</v>
      </c>
      <c r="B1356" t="s">
        <v>36</v>
      </c>
      <c r="C1356" t="s">
        <v>37</v>
      </c>
      <c r="D1356" s="6" t="s">
        <v>38</v>
      </c>
      <c r="E1356" t="s">
        <v>4072</v>
      </c>
      <c r="F1356" t="s">
        <v>40</v>
      </c>
      <c r="G1356" t="s">
        <v>41</v>
      </c>
      <c r="H1356" t="s">
        <v>4073</v>
      </c>
      <c r="I1356" t="s">
        <v>43</v>
      </c>
      <c r="J1356">
        <v>2</v>
      </c>
      <c r="K1356" t="s">
        <v>44</v>
      </c>
      <c r="L1356" t="s">
        <v>45</v>
      </c>
      <c r="M1356" t="s">
        <v>46</v>
      </c>
      <c r="N1356" s="7">
        <v>1</v>
      </c>
      <c r="O1356" s="8">
        <v>45635.628969907404</v>
      </c>
      <c r="P1356" s="9">
        <v>45636</v>
      </c>
      <c r="Q1356" t="s">
        <v>74</v>
      </c>
      <c r="R1356" t="s">
        <v>48</v>
      </c>
      <c r="S1356" t="s">
        <v>49</v>
      </c>
      <c r="T1356" t="s">
        <v>90</v>
      </c>
      <c r="U1356" t="s">
        <v>4074</v>
      </c>
      <c r="V1356">
        <v>21300</v>
      </c>
      <c r="W1356" t="s">
        <v>48</v>
      </c>
      <c r="X1356" t="s">
        <v>92</v>
      </c>
      <c r="Y1356" t="s">
        <v>54</v>
      </c>
      <c r="Z1356" s="12">
        <f>IF(N1356&lt;=1,9,9+0.8*ROUNDUP(N1356-1,0))</f>
        <v>9</v>
      </c>
      <c r="AA1356" s="11">
        <v>-2</v>
      </c>
      <c r="AB1356" s="11">
        <v>0</v>
      </c>
      <c r="AC1356" s="11">
        <v>0</v>
      </c>
      <c r="AD1356" s="11">
        <v>0</v>
      </c>
      <c r="AE1356" s="11">
        <v>0</v>
      </c>
      <c r="AF1356" s="11">
        <f t="shared" si="63"/>
        <v>0.42</v>
      </c>
      <c r="AG1356" s="11">
        <f t="shared" si="64"/>
        <v>7.42</v>
      </c>
      <c r="AH1356" s="11">
        <v>0</v>
      </c>
      <c r="AI1356" s="11">
        <f t="shared" si="65"/>
        <v>7.42</v>
      </c>
      <c r="AJ1356" t="s">
        <v>62</v>
      </c>
    </row>
    <row r="1357" spans="1:36" ht="15" customHeight="1" x14ac:dyDescent="0.35">
      <c r="A1357">
        <v>10428918</v>
      </c>
      <c r="B1357" t="s">
        <v>36</v>
      </c>
      <c r="C1357" t="s">
        <v>37</v>
      </c>
      <c r="D1357" s="6" t="s">
        <v>38</v>
      </c>
      <c r="E1357" t="s">
        <v>4075</v>
      </c>
      <c r="F1357" t="s">
        <v>40</v>
      </c>
      <c r="G1357" t="s">
        <v>41</v>
      </c>
      <c r="H1357" t="s">
        <v>4076</v>
      </c>
      <c r="I1357" t="s">
        <v>43</v>
      </c>
      <c r="J1357">
        <v>2</v>
      </c>
      <c r="K1357" t="s">
        <v>44</v>
      </c>
      <c r="L1357" t="s">
        <v>45</v>
      </c>
      <c r="M1357" t="s">
        <v>46</v>
      </c>
      <c r="N1357" s="7">
        <v>2</v>
      </c>
      <c r="O1357" s="8">
        <v>45631.800324074073</v>
      </c>
      <c r="P1357" s="9">
        <v>45636</v>
      </c>
      <c r="Q1357" t="s">
        <v>74</v>
      </c>
      <c r="R1357" t="s">
        <v>48</v>
      </c>
      <c r="S1357" t="s">
        <v>49</v>
      </c>
      <c r="T1357" t="s">
        <v>90</v>
      </c>
      <c r="U1357" t="s">
        <v>4077</v>
      </c>
      <c r="V1357">
        <v>21000</v>
      </c>
      <c r="W1357" t="s">
        <v>48</v>
      </c>
      <c r="X1357" t="s">
        <v>92</v>
      </c>
      <c r="Y1357" t="s">
        <v>54</v>
      </c>
      <c r="Z1357" s="12">
        <f>IF(N1357&lt;=1,9,9+0.8*ROUNDUP(N1357-1,0))</f>
        <v>9.8000000000000007</v>
      </c>
      <c r="AA1357" s="11">
        <v>-2</v>
      </c>
      <c r="AB1357" s="11">
        <v>0</v>
      </c>
      <c r="AC1357" s="11">
        <v>0</v>
      </c>
      <c r="AD1357" s="11">
        <v>0</v>
      </c>
      <c r="AE1357" s="11">
        <v>0</v>
      </c>
      <c r="AF1357" s="11">
        <f t="shared" si="63"/>
        <v>0.46800000000000003</v>
      </c>
      <c r="AG1357" s="11">
        <f t="shared" si="64"/>
        <v>8.2680000000000007</v>
      </c>
      <c r="AH1357" s="11">
        <v>0</v>
      </c>
      <c r="AI1357" s="11">
        <f t="shared" si="65"/>
        <v>8.2680000000000007</v>
      </c>
      <c r="AJ1357" t="s">
        <v>62</v>
      </c>
    </row>
    <row r="1358" spans="1:36" ht="15" customHeight="1" x14ac:dyDescent="0.35">
      <c r="A1358">
        <v>10428918</v>
      </c>
      <c r="B1358" t="s">
        <v>36</v>
      </c>
      <c r="C1358" t="s">
        <v>37</v>
      </c>
      <c r="D1358" s="6" t="s">
        <v>38</v>
      </c>
      <c r="E1358" t="s">
        <v>4078</v>
      </c>
      <c r="F1358" t="s">
        <v>40</v>
      </c>
      <c r="G1358" t="s">
        <v>41</v>
      </c>
      <c r="H1358" t="s">
        <v>4079</v>
      </c>
      <c r="I1358" t="s">
        <v>43</v>
      </c>
      <c r="J1358">
        <v>2</v>
      </c>
      <c r="K1358" t="s">
        <v>44</v>
      </c>
      <c r="L1358" t="s">
        <v>45</v>
      </c>
      <c r="M1358" t="s">
        <v>46</v>
      </c>
      <c r="N1358" s="7">
        <v>1</v>
      </c>
      <c r="O1358" s="8">
        <v>45635.410682870373</v>
      </c>
      <c r="P1358" s="9">
        <v>45636</v>
      </c>
      <c r="Q1358" t="s">
        <v>74</v>
      </c>
      <c r="R1358" t="s">
        <v>48</v>
      </c>
      <c r="S1358" t="s">
        <v>49</v>
      </c>
      <c r="T1358" t="s">
        <v>75</v>
      </c>
      <c r="U1358" t="s">
        <v>4080</v>
      </c>
      <c r="V1358">
        <v>26690</v>
      </c>
      <c r="W1358" t="s">
        <v>48</v>
      </c>
      <c r="X1358" t="s">
        <v>77</v>
      </c>
      <c r="Y1358" t="s">
        <v>54</v>
      </c>
      <c r="Z1358" s="12">
        <f>IF(N1358&lt;=1,9,9+0.8*ROUNDUP(N1358-1,0))</f>
        <v>9</v>
      </c>
      <c r="AA1358" s="11">
        <v>-2</v>
      </c>
      <c r="AB1358" s="11">
        <v>0</v>
      </c>
      <c r="AC1358" s="11">
        <v>0</v>
      </c>
      <c r="AD1358" s="11">
        <v>0</v>
      </c>
      <c r="AE1358" s="11">
        <v>0</v>
      </c>
      <c r="AF1358" s="11">
        <f t="shared" si="63"/>
        <v>0.42</v>
      </c>
      <c r="AG1358" s="11">
        <f t="shared" si="64"/>
        <v>7.42</v>
      </c>
      <c r="AH1358" s="11">
        <v>0</v>
      </c>
      <c r="AI1358" s="11">
        <f t="shared" si="65"/>
        <v>7.42</v>
      </c>
      <c r="AJ1358" t="s">
        <v>62</v>
      </c>
    </row>
    <row r="1359" spans="1:36" ht="15" customHeight="1" x14ac:dyDescent="0.35">
      <c r="A1359">
        <v>10428918</v>
      </c>
      <c r="B1359" t="s">
        <v>36</v>
      </c>
      <c r="C1359" t="s">
        <v>37</v>
      </c>
      <c r="D1359" s="6" t="s">
        <v>38</v>
      </c>
      <c r="E1359" t="s">
        <v>4081</v>
      </c>
      <c r="F1359" t="s">
        <v>40</v>
      </c>
      <c r="G1359" t="s">
        <v>41</v>
      </c>
      <c r="H1359" t="s">
        <v>4082</v>
      </c>
      <c r="I1359" t="s">
        <v>43</v>
      </c>
      <c r="J1359">
        <v>2</v>
      </c>
      <c r="K1359" t="s">
        <v>44</v>
      </c>
      <c r="L1359" t="s">
        <v>45</v>
      </c>
      <c r="M1359" t="s">
        <v>46</v>
      </c>
      <c r="N1359" s="7">
        <v>1</v>
      </c>
      <c r="O1359" s="8">
        <v>45635.410694444443</v>
      </c>
      <c r="P1359" s="9">
        <v>45636</v>
      </c>
      <c r="Q1359" t="s">
        <v>74</v>
      </c>
      <c r="R1359" t="s">
        <v>48</v>
      </c>
      <c r="S1359" t="s">
        <v>49</v>
      </c>
      <c r="T1359" t="s">
        <v>117</v>
      </c>
      <c r="U1359" t="s">
        <v>4083</v>
      </c>
      <c r="V1359">
        <v>52200</v>
      </c>
      <c r="W1359" t="s">
        <v>48</v>
      </c>
      <c r="X1359" t="s">
        <v>179</v>
      </c>
      <c r="Y1359" t="s">
        <v>54</v>
      </c>
      <c r="Z1359" s="12">
        <f>IF(N1359&lt;=1,9,9+0.8*ROUNDUP(N1359-1,0))</f>
        <v>9</v>
      </c>
      <c r="AA1359" s="11">
        <v>-2</v>
      </c>
      <c r="AB1359" s="11">
        <v>0</v>
      </c>
      <c r="AC1359" s="11">
        <v>0</v>
      </c>
      <c r="AD1359" s="11">
        <v>0</v>
      </c>
      <c r="AE1359" s="11">
        <v>0</v>
      </c>
      <c r="AF1359" s="11">
        <f t="shared" si="63"/>
        <v>0.42</v>
      </c>
      <c r="AG1359" s="11">
        <f t="shared" si="64"/>
        <v>7.42</v>
      </c>
      <c r="AH1359" s="11">
        <v>0</v>
      </c>
      <c r="AI1359" s="11">
        <f t="shared" si="65"/>
        <v>7.42</v>
      </c>
      <c r="AJ1359" t="s">
        <v>62</v>
      </c>
    </row>
    <row r="1360" spans="1:36" ht="15" customHeight="1" x14ac:dyDescent="0.35">
      <c r="A1360">
        <v>10428918</v>
      </c>
      <c r="B1360" t="s">
        <v>36</v>
      </c>
      <c r="C1360" t="s">
        <v>37</v>
      </c>
      <c r="D1360" s="6" t="s">
        <v>38</v>
      </c>
      <c r="E1360" t="s">
        <v>4084</v>
      </c>
      <c r="F1360" t="s">
        <v>40</v>
      </c>
      <c r="G1360" t="s">
        <v>41</v>
      </c>
      <c r="H1360" t="s">
        <v>4085</v>
      </c>
      <c r="I1360" t="s">
        <v>43</v>
      </c>
      <c r="J1360">
        <v>2</v>
      </c>
      <c r="K1360" t="s">
        <v>44</v>
      </c>
      <c r="L1360" t="s">
        <v>45</v>
      </c>
      <c r="M1360" t="s">
        <v>46</v>
      </c>
      <c r="N1360" s="7">
        <v>1</v>
      </c>
      <c r="O1360" s="8">
        <v>45633.848368055558</v>
      </c>
      <c r="P1360" s="9">
        <v>45636</v>
      </c>
      <c r="Q1360" t="s">
        <v>74</v>
      </c>
      <c r="R1360" t="s">
        <v>48</v>
      </c>
      <c r="S1360" t="s">
        <v>49</v>
      </c>
      <c r="T1360" t="s">
        <v>69</v>
      </c>
      <c r="U1360" t="s">
        <v>4086</v>
      </c>
      <c r="V1360">
        <v>81750</v>
      </c>
      <c r="W1360" t="s">
        <v>48</v>
      </c>
      <c r="X1360" t="s">
        <v>2125</v>
      </c>
      <c r="Y1360" t="s">
        <v>54</v>
      </c>
      <c r="Z1360" s="12">
        <f>IF(N1360&lt;=1,9,9+0.8*ROUNDUP(N1360-1,0))</f>
        <v>9</v>
      </c>
      <c r="AA1360" s="11">
        <v>-2</v>
      </c>
      <c r="AB1360" s="11">
        <v>0</v>
      </c>
      <c r="AC1360" s="11">
        <v>0</v>
      </c>
      <c r="AD1360" s="11">
        <v>0</v>
      </c>
      <c r="AE1360" s="11">
        <v>0</v>
      </c>
      <c r="AF1360" s="11">
        <f t="shared" si="63"/>
        <v>0.42</v>
      </c>
      <c r="AG1360" s="11">
        <f t="shared" si="64"/>
        <v>7.42</v>
      </c>
      <c r="AH1360" s="11">
        <v>0</v>
      </c>
      <c r="AI1360" s="11">
        <f t="shared" si="65"/>
        <v>7.42</v>
      </c>
      <c r="AJ1360" t="s">
        <v>62</v>
      </c>
    </row>
    <row r="1361" spans="1:36" ht="15" customHeight="1" x14ac:dyDescent="0.35">
      <c r="A1361">
        <v>10428918</v>
      </c>
      <c r="B1361" t="s">
        <v>36</v>
      </c>
      <c r="C1361" t="s">
        <v>37</v>
      </c>
      <c r="D1361" s="6" t="s">
        <v>38</v>
      </c>
      <c r="E1361" t="s">
        <v>4087</v>
      </c>
      <c r="F1361" t="s">
        <v>40</v>
      </c>
      <c r="G1361" t="s">
        <v>41</v>
      </c>
      <c r="H1361" t="s">
        <v>4088</v>
      </c>
      <c r="I1361" t="s">
        <v>43</v>
      </c>
      <c r="J1361">
        <v>2</v>
      </c>
      <c r="K1361" t="s">
        <v>44</v>
      </c>
      <c r="L1361" t="s">
        <v>45</v>
      </c>
      <c r="M1361" t="s">
        <v>46</v>
      </c>
      <c r="N1361" s="7">
        <v>2</v>
      </c>
      <c r="O1361" s="8">
        <v>45633.856504629628</v>
      </c>
      <c r="P1361" s="9">
        <v>45636</v>
      </c>
      <c r="Q1361" t="s">
        <v>74</v>
      </c>
      <c r="R1361" t="s">
        <v>48</v>
      </c>
      <c r="S1361" t="s">
        <v>49</v>
      </c>
      <c r="T1361" t="s">
        <v>69</v>
      </c>
      <c r="U1361" t="s">
        <v>4089</v>
      </c>
      <c r="V1361">
        <v>83700</v>
      </c>
      <c r="W1361" t="s">
        <v>48</v>
      </c>
      <c r="X1361" t="s">
        <v>410</v>
      </c>
      <c r="Y1361" t="s">
        <v>54</v>
      </c>
      <c r="Z1361" s="12">
        <f>IF(N1361&lt;=1,9,9+0.8*ROUNDUP(N1361-1,0))</f>
        <v>9.8000000000000007</v>
      </c>
      <c r="AA1361" s="11">
        <v>-2</v>
      </c>
      <c r="AB1361" s="11">
        <v>0</v>
      </c>
      <c r="AC1361" s="11">
        <v>0</v>
      </c>
      <c r="AD1361" s="11">
        <v>0</v>
      </c>
      <c r="AE1361" s="11">
        <v>0</v>
      </c>
      <c r="AF1361" s="11">
        <f t="shared" si="63"/>
        <v>0.46800000000000003</v>
      </c>
      <c r="AG1361" s="11">
        <f t="shared" si="64"/>
        <v>8.2680000000000007</v>
      </c>
      <c r="AH1361" s="11">
        <v>0</v>
      </c>
      <c r="AI1361" s="11">
        <f t="shared" si="65"/>
        <v>8.2680000000000007</v>
      </c>
      <c r="AJ1361" t="s">
        <v>62</v>
      </c>
    </row>
    <row r="1362" spans="1:36" ht="15" customHeight="1" x14ac:dyDescent="0.35">
      <c r="A1362">
        <v>10428918</v>
      </c>
      <c r="B1362" t="s">
        <v>36</v>
      </c>
      <c r="C1362" t="s">
        <v>37</v>
      </c>
      <c r="D1362" s="6" t="s">
        <v>38</v>
      </c>
      <c r="E1362" t="s">
        <v>4090</v>
      </c>
      <c r="F1362" t="s">
        <v>40</v>
      </c>
      <c r="G1362" t="s">
        <v>41</v>
      </c>
      <c r="H1362" t="s">
        <v>2948</v>
      </c>
      <c r="I1362" t="s">
        <v>43</v>
      </c>
      <c r="J1362">
        <v>2</v>
      </c>
      <c r="K1362" t="s">
        <v>44</v>
      </c>
      <c r="L1362" t="s">
        <v>45</v>
      </c>
      <c r="M1362" t="s">
        <v>46</v>
      </c>
      <c r="N1362" s="7">
        <v>1</v>
      </c>
      <c r="O1362" s="8">
        <v>45635.410682870373</v>
      </c>
      <c r="P1362" s="9">
        <v>45636</v>
      </c>
      <c r="Q1362" t="s">
        <v>74</v>
      </c>
      <c r="R1362" t="s">
        <v>48</v>
      </c>
      <c r="S1362" t="s">
        <v>49</v>
      </c>
      <c r="T1362" t="s">
        <v>117</v>
      </c>
      <c r="U1362" t="s">
        <v>4091</v>
      </c>
      <c r="V1362">
        <v>45500</v>
      </c>
      <c r="W1362" t="s">
        <v>48</v>
      </c>
      <c r="X1362" t="s">
        <v>258</v>
      </c>
      <c r="Y1362" t="s">
        <v>54</v>
      </c>
      <c r="Z1362" s="12">
        <f>IF(N1362&lt;=1,9,9+0.8*ROUNDUP(N1362-1,0))</f>
        <v>9</v>
      </c>
      <c r="AA1362" s="11">
        <v>-2</v>
      </c>
      <c r="AB1362" s="11">
        <v>0</v>
      </c>
      <c r="AC1362" s="11">
        <v>0</v>
      </c>
      <c r="AD1362" s="11">
        <v>0</v>
      </c>
      <c r="AE1362" s="11">
        <v>0</v>
      </c>
      <c r="AF1362" s="11">
        <f t="shared" si="63"/>
        <v>0.42</v>
      </c>
      <c r="AG1362" s="11">
        <f t="shared" si="64"/>
        <v>7.42</v>
      </c>
      <c r="AH1362" s="11">
        <v>0</v>
      </c>
      <c r="AI1362" s="11">
        <f t="shared" si="65"/>
        <v>7.42</v>
      </c>
      <c r="AJ1362" t="s">
        <v>62</v>
      </c>
    </row>
    <row r="1363" spans="1:36" ht="15" customHeight="1" x14ac:dyDescent="0.35">
      <c r="A1363">
        <v>10428918</v>
      </c>
      <c r="B1363" t="s">
        <v>36</v>
      </c>
      <c r="C1363" t="s">
        <v>37</v>
      </c>
      <c r="D1363" s="6" t="s">
        <v>38</v>
      </c>
      <c r="E1363" t="s">
        <v>4092</v>
      </c>
      <c r="F1363" t="s">
        <v>40</v>
      </c>
      <c r="G1363" t="s">
        <v>41</v>
      </c>
      <c r="H1363" t="s">
        <v>4093</v>
      </c>
      <c r="I1363" t="s">
        <v>43</v>
      </c>
      <c r="J1363">
        <v>2</v>
      </c>
      <c r="K1363" t="s">
        <v>44</v>
      </c>
      <c r="L1363" t="s">
        <v>45</v>
      </c>
      <c r="M1363" t="s">
        <v>46</v>
      </c>
      <c r="N1363" s="7">
        <v>1</v>
      </c>
      <c r="O1363" s="8">
        <v>45634.456319444442</v>
      </c>
      <c r="P1363" s="9">
        <v>45636</v>
      </c>
      <c r="Q1363" t="s">
        <v>74</v>
      </c>
      <c r="R1363" t="s">
        <v>48</v>
      </c>
      <c r="S1363" t="s">
        <v>49</v>
      </c>
      <c r="T1363" t="s">
        <v>117</v>
      </c>
      <c r="U1363" t="s">
        <v>4094</v>
      </c>
      <c r="V1363">
        <v>47100</v>
      </c>
      <c r="W1363" t="s">
        <v>48</v>
      </c>
      <c r="X1363" t="s">
        <v>53</v>
      </c>
      <c r="Y1363" t="s">
        <v>54</v>
      </c>
      <c r="Z1363" s="12">
        <f>IF(N1363&lt;=1,9,9+0.8*ROUNDUP(N1363-1,0))</f>
        <v>9</v>
      </c>
      <c r="AA1363" s="11">
        <v>-2</v>
      </c>
      <c r="AB1363" s="11">
        <v>0</v>
      </c>
      <c r="AC1363" s="11">
        <v>0</v>
      </c>
      <c r="AD1363" s="11">
        <v>0</v>
      </c>
      <c r="AE1363" s="11">
        <v>0</v>
      </c>
      <c r="AF1363" s="11">
        <f t="shared" si="63"/>
        <v>0.42</v>
      </c>
      <c r="AG1363" s="11">
        <f t="shared" si="64"/>
        <v>7.42</v>
      </c>
      <c r="AH1363" s="11">
        <v>0</v>
      </c>
      <c r="AI1363" s="11">
        <f t="shared" si="65"/>
        <v>7.42</v>
      </c>
      <c r="AJ1363" t="s">
        <v>62</v>
      </c>
    </row>
    <row r="1364" spans="1:36" ht="15" customHeight="1" x14ac:dyDescent="0.35">
      <c r="A1364">
        <v>10428918</v>
      </c>
      <c r="B1364" t="s">
        <v>36</v>
      </c>
      <c r="C1364" t="s">
        <v>37</v>
      </c>
      <c r="D1364" s="6" t="s">
        <v>38</v>
      </c>
      <c r="E1364" t="s">
        <v>4095</v>
      </c>
      <c r="F1364" t="s">
        <v>40</v>
      </c>
      <c r="G1364" t="s">
        <v>41</v>
      </c>
      <c r="H1364" t="s">
        <v>1624</v>
      </c>
      <c r="I1364" t="s">
        <v>43</v>
      </c>
      <c r="J1364">
        <v>2</v>
      </c>
      <c r="K1364" t="s">
        <v>44</v>
      </c>
      <c r="L1364" t="s">
        <v>45</v>
      </c>
      <c r="M1364" t="s">
        <v>46</v>
      </c>
      <c r="N1364" s="7">
        <v>2</v>
      </c>
      <c r="O1364" s="8">
        <v>45633.856481481482</v>
      </c>
      <c r="P1364" s="9">
        <v>45636</v>
      </c>
      <c r="Q1364" t="s">
        <v>74</v>
      </c>
      <c r="R1364" t="s">
        <v>48</v>
      </c>
      <c r="S1364" t="s">
        <v>49</v>
      </c>
      <c r="T1364" t="s">
        <v>80</v>
      </c>
      <c r="U1364" t="s">
        <v>1625</v>
      </c>
      <c r="V1364">
        <v>8110</v>
      </c>
      <c r="W1364" t="s">
        <v>48</v>
      </c>
      <c r="X1364" t="s">
        <v>53</v>
      </c>
      <c r="Y1364" t="s">
        <v>54</v>
      </c>
      <c r="Z1364" s="12">
        <f>IF(N1364&lt;=1,9,9+0.8*ROUNDUP(N1364-1,0))</f>
        <v>9.8000000000000007</v>
      </c>
      <c r="AA1364" s="11">
        <v>-2</v>
      </c>
      <c r="AB1364" s="11">
        <v>0</v>
      </c>
      <c r="AC1364" s="11">
        <v>0</v>
      </c>
      <c r="AD1364" s="11">
        <v>0</v>
      </c>
      <c r="AE1364" s="11">
        <v>0</v>
      </c>
      <c r="AF1364" s="11">
        <f t="shared" si="63"/>
        <v>0.46800000000000003</v>
      </c>
      <c r="AG1364" s="11">
        <f t="shared" si="64"/>
        <v>8.2680000000000007</v>
      </c>
      <c r="AH1364" s="11">
        <v>0</v>
      </c>
      <c r="AI1364" s="11">
        <f t="shared" si="65"/>
        <v>8.2680000000000007</v>
      </c>
      <c r="AJ1364" t="s">
        <v>62</v>
      </c>
    </row>
    <row r="1365" spans="1:36" ht="15" customHeight="1" x14ac:dyDescent="0.35">
      <c r="A1365">
        <v>10428918</v>
      </c>
      <c r="B1365" t="s">
        <v>36</v>
      </c>
      <c r="C1365" t="s">
        <v>37</v>
      </c>
      <c r="D1365" s="6" t="s">
        <v>38</v>
      </c>
      <c r="E1365" t="s">
        <v>4096</v>
      </c>
      <c r="F1365" t="s">
        <v>40</v>
      </c>
      <c r="G1365" t="s">
        <v>41</v>
      </c>
      <c r="H1365" t="s">
        <v>4097</v>
      </c>
      <c r="I1365" t="s">
        <v>43</v>
      </c>
      <c r="J1365">
        <v>2</v>
      </c>
      <c r="K1365" t="s">
        <v>44</v>
      </c>
      <c r="L1365" t="s">
        <v>45</v>
      </c>
      <c r="M1365" t="s">
        <v>46</v>
      </c>
      <c r="N1365" s="7">
        <v>1</v>
      </c>
      <c r="O1365" s="8">
        <v>45635.738275462965</v>
      </c>
      <c r="P1365" s="9">
        <v>45636</v>
      </c>
      <c r="Q1365" t="s">
        <v>74</v>
      </c>
      <c r="R1365" t="s">
        <v>48</v>
      </c>
      <c r="S1365" t="s">
        <v>49</v>
      </c>
      <c r="T1365" t="s">
        <v>117</v>
      </c>
      <c r="U1365" t="s">
        <v>4098</v>
      </c>
      <c r="V1365">
        <v>43000</v>
      </c>
      <c r="W1365" t="s">
        <v>48</v>
      </c>
      <c r="X1365" t="s">
        <v>330</v>
      </c>
      <c r="Y1365" t="s">
        <v>54</v>
      </c>
      <c r="Z1365" s="12">
        <f>IF(N1365&lt;=1,9,9+0.8*ROUNDUP(N1365-1,0))</f>
        <v>9</v>
      </c>
      <c r="AA1365" s="11">
        <v>-2</v>
      </c>
      <c r="AB1365" s="11">
        <v>0</v>
      </c>
      <c r="AC1365" s="11">
        <v>0</v>
      </c>
      <c r="AD1365" s="11">
        <v>0</v>
      </c>
      <c r="AE1365" s="11">
        <v>0</v>
      </c>
      <c r="AF1365" s="11">
        <f t="shared" si="63"/>
        <v>0.42</v>
      </c>
      <c r="AG1365" s="11">
        <f t="shared" si="64"/>
        <v>7.42</v>
      </c>
      <c r="AH1365" s="11">
        <v>0</v>
      </c>
      <c r="AI1365" s="11">
        <f t="shared" si="65"/>
        <v>7.42</v>
      </c>
      <c r="AJ1365" t="s">
        <v>62</v>
      </c>
    </row>
    <row r="1366" spans="1:36" ht="15" customHeight="1" x14ac:dyDescent="0.35">
      <c r="A1366">
        <v>10428918</v>
      </c>
      <c r="B1366" t="s">
        <v>36</v>
      </c>
      <c r="C1366" t="s">
        <v>37</v>
      </c>
      <c r="D1366" s="6" t="s">
        <v>38</v>
      </c>
      <c r="E1366" t="s">
        <v>4099</v>
      </c>
      <c r="F1366" t="s">
        <v>40</v>
      </c>
      <c r="G1366" t="s">
        <v>41</v>
      </c>
      <c r="H1366" t="s">
        <v>4100</v>
      </c>
      <c r="I1366" t="s">
        <v>43</v>
      </c>
      <c r="J1366">
        <v>2</v>
      </c>
      <c r="K1366" t="s">
        <v>44</v>
      </c>
      <c r="L1366" t="s">
        <v>45</v>
      </c>
      <c r="M1366" t="s">
        <v>46</v>
      </c>
      <c r="N1366" s="7">
        <v>4</v>
      </c>
      <c r="O1366" s="8">
        <v>45634.633414351854</v>
      </c>
      <c r="P1366" s="9">
        <v>45636</v>
      </c>
      <c r="Q1366" t="s">
        <v>74</v>
      </c>
      <c r="R1366" t="s">
        <v>48</v>
      </c>
      <c r="S1366" t="s">
        <v>49</v>
      </c>
      <c r="T1366" t="s">
        <v>117</v>
      </c>
      <c r="U1366" t="s">
        <v>3029</v>
      </c>
      <c r="V1366">
        <v>43650</v>
      </c>
      <c r="W1366" t="s">
        <v>48</v>
      </c>
      <c r="X1366" t="s">
        <v>53</v>
      </c>
      <c r="Y1366" t="s">
        <v>54</v>
      </c>
      <c r="Z1366" s="12">
        <f>IF(N1366&lt;=1,9,9+0.8*ROUNDUP(N1366-1,0))</f>
        <v>11.4</v>
      </c>
      <c r="AA1366" s="11">
        <v>-2</v>
      </c>
      <c r="AB1366" s="11">
        <v>0</v>
      </c>
      <c r="AC1366" s="11">
        <v>0</v>
      </c>
      <c r="AD1366" s="11">
        <v>0</v>
      </c>
      <c r="AE1366" s="11">
        <v>0</v>
      </c>
      <c r="AF1366" s="11">
        <f t="shared" si="63"/>
        <v>0.56399999999999995</v>
      </c>
      <c r="AG1366" s="11">
        <f t="shared" si="64"/>
        <v>9.9640000000000004</v>
      </c>
      <c r="AH1366" s="11">
        <v>0</v>
      </c>
      <c r="AI1366" s="11">
        <f t="shared" si="65"/>
        <v>9.9640000000000004</v>
      </c>
      <c r="AJ1366" t="s">
        <v>62</v>
      </c>
    </row>
    <row r="1367" spans="1:36" ht="15" customHeight="1" x14ac:dyDescent="0.35">
      <c r="A1367">
        <v>10428918</v>
      </c>
      <c r="B1367" t="s">
        <v>36</v>
      </c>
      <c r="C1367" t="s">
        <v>37</v>
      </c>
      <c r="D1367" s="6" t="s">
        <v>38</v>
      </c>
      <c r="E1367" t="s">
        <v>4101</v>
      </c>
      <c r="F1367" t="s">
        <v>40</v>
      </c>
      <c r="G1367" t="s">
        <v>41</v>
      </c>
      <c r="H1367" t="s">
        <v>4102</v>
      </c>
      <c r="I1367" t="s">
        <v>43</v>
      </c>
      <c r="J1367">
        <v>2</v>
      </c>
      <c r="K1367" t="s">
        <v>44</v>
      </c>
      <c r="L1367" t="s">
        <v>45</v>
      </c>
      <c r="M1367" t="s">
        <v>46</v>
      </c>
      <c r="N1367" s="7">
        <v>14</v>
      </c>
      <c r="O1367" s="8">
        <v>45634.652997685182</v>
      </c>
      <c r="P1367" s="9">
        <v>45636</v>
      </c>
      <c r="Q1367" t="s">
        <v>74</v>
      </c>
      <c r="R1367" t="s">
        <v>48</v>
      </c>
      <c r="S1367" t="s">
        <v>49</v>
      </c>
      <c r="T1367" t="s">
        <v>161</v>
      </c>
      <c r="U1367" t="s">
        <v>4103</v>
      </c>
      <c r="V1367">
        <v>14100</v>
      </c>
      <c r="W1367" t="s">
        <v>48</v>
      </c>
      <c r="X1367" t="s">
        <v>3404</v>
      </c>
      <c r="Y1367" t="s">
        <v>54</v>
      </c>
      <c r="Z1367" s="12">
        <f>IF(N1367&lt;=1,9,9+0.8*ROUNDUP(N1367-1,0))</f>
        <v>19.399999999999999</v>
      </c>
      <c r="AA1367" s="11">
        <v>-2</v>
      </c>
      <c r="AB1367" s="11">
        <v>0</v>
      </c>
      <c r="AC1367" s="11">
        <v>0</v>
      </c>
      <c r="AD1367" s="11">
        <v>0</v>
      </c>
      <c r="AE1367" s="11">
        <v>0</v>
      </c>
      <c r="AF1367" s="11">
        <f t="shared" si="63"/>
        <v>1.0439999999999998</v>
      </c>
      <c r="AG1367" s="11">
        <f t="shared" si="64"/>
        <v>18.443999999999999</v>
      </c>
      <c r="AH1367" s="11">
        <v>0</v>
      </c>
      <c r="AI1367" s="11">
        <f t="shared" si="65"/>
        <v>18.443999999999999</v>
      </c>
      <c r="AJ1367" t="s">
        <v>62</v>
      </c>
    </row>
    <row r="1368" spans="1:36" ht="15" customHeight="1" x14ac:dyDescent="0.35">
      <c r="A1368">
        <v>10428918</v>
      </c>
      <c r="B1368" t="s">
        <v>36</v>
      </c>
      <c r="C1368" t="s">
        <v>37</v>
      </c>
      <c r="D1368" s="6" t="s">
        <v>38</v>
      </c>
      <c r="E1368" t="s">
        <v>4104</v>
      </c>
      <c r="F1368" t="s">
        <v>40</v>
      </c>
      <c r="G1368" t="s">
        <v>41</v>
      </c>
      <c r="H1368" t="s">
        <v>4105</v>
      </c>
      <c r="I1368" t="s">
        <v>43</v>
      </c>
      <c r="J1368">
        <v>2</v>
      </c>
      <c r="K1368" t="s">
        <v>44</v>
      </c>
      <c r="L1368" t="s">
        <v>45</v>
      </c>
      <c r="M1368" t="s">
        <v>46</v>
      </c>
      <c r="N1368" s="7">
        <v>8</v>
      </c>
      <c r="O1368" s="8">
        <v>45635.708368055559</v>
      </c>
      <c r="P1368" s="9">
        <v>45636</v>
      </c>
      <c r="Q1368" t="s">
        <v>74</v>
      </c>
      <c r="R1368" t="s">
        <v>48</v>
      </c>
      <c r="S1368" t="s">
        <v>49</v>
      </c>
      <c r="T1368" t="s">
        <v>59</v>
      </c>
      <c r="U1368" t="s">
        <v>4106</v>
      </c>
      <c r="V1368">
        <v>18300</v>
      </c>
      <c r="W1368" t="s">
        <v>48</v>
      </c>
      <c r="X1368" t="s">
        <v>831</v>
      </c>
      <c r="Y1368" t="s">
        <v>54</v>
      </c>
      <c r="Z1368" s="12">
        <f>IF(N1368&lt;=1,9,9+0.8*ROUNDUP(N1368-1,0))</f>
        <v>14.600000000000001</v>
      </c>
      <c r="AA1368" s="11">
        <v>-2</v>
      </c>
      <c r="AB1368" s="11">
        <v>0</v>
      </c>
      <c r="AC1368" s="11">
        <v>0</v>
      </c>
      <c r="AD1368" s="11">
        <v>0</v>
      </c>
      <c r="AE1368" s="11">
        <v>0</v>
      </c>
      <c r="AF1368" s="11">
        <f t="shared" si="63"/>
        <v>0.75600000000000001</v>
      </c>
      <c r="AG1368" s="11">
        <f t="shared" si="64"/>
        <v>13.356000000000002</v>
      </c>
      <c r="AH1368" s="11">
        <v>0</v>
      </c>
      <c r="AI1368" s="11">
        <f t="shared" si="65"/>
        <v>13.356000000000002</v>
      </c>
      <c r="AJ1368" t="s">
        <v>62</v>
      </c>
    </row>
    <row r="1369" spans="1:36" ht="15" customHeight="1" x14ac:dyDescent="0.35">
      <c r="A1369">
        <v>10428918</v>
      </c>
      <c r="B1369" t="s">
        <v>36</v>
      </c>
      <c r="C1369" t="s">
        <v>37</v>
      </c>
      <c r="D1369" s="6" t="s">
        <v>38</v>
      </c>
      <c r="E1369" t="s">
        <v>4107</v>
      </c>
      <c r="F1369" t="s">
        <v>40</v>
      </c>
      <c r="G1369" t="s">
        <v>41</v>
      </c>
      <c r="H1369" t="s">
        <v>4108</v>
      </c>
      <c r="I1369" t="s">
        <v>43</v>
      </c>
      <c r="J1369">
        <v>2</v>
      </c>
      <c r="K1369" t="s">
        <v>44</v>
      </c>
      <c r="L1369" t="s">
        <v>45</v>
      </c>
      <c r="M1369" t="s">
        <v>46</v>
      </c>
      <c r="N1369" s="7">
        <v>1</v>
      </c>
      <c r="O1369" s="8">
        <v>45633.848356481481</v>
      </c>
      <c r="P1369" s="9">
        <v>45636</v>
      </c>
      <c r="Q1369" t="s">
        <v>74</v>
      </c>
      <c r="R1369" t="s">
        <v>48</v>
      </c>
      <c r="S1369" t="s">
        <v>49</v>
      </c>
      <c r="T1369" t="s">
        <v>101</v>
      </c>
      <c r="U1369" t="s">
        <v>4109</v>
      </c>
      <c r="V1369">
        <v>34850</v>
      </c>
      <c r="W1369" t="s">
        <v>48</v>
      </c>
      <c r="X1369" t="s">
        <v>827</v>
      </c>
      <c r="Y1369" t="s">
        <v>54</v>
      </c>
      <c r="Z1369" s="12">
        <f>IF(N1369&lt;=1,9,9+0.8*ROUNDUP(N1369-1,0))</f>
        <v>9</v>
      </c>
      <c r="AA1369" s="11">
        <v>-2</v>
      </c>
      <c r="AB1369" s="11">
        <v>0</v>
      </c>
      <c r="AC1369" s="11">
        <v>0</v>
      </c>
      <c r="AD1369" s="11">
        <v>0</v>
      </c>
      <c r="AE1369" s="11">
        <v>0</v>
      </c>
      <c r="AF1369" s="11">
        <f t="shared" si="63"/>
        <v>0.42</v>
      </c>
      <c r="AG1369" s="11">
        <f t="shared" si="64"/>
        <v>7.42</v>
      </c>
      <c r="AH1369" s="11">
        <v>0</v>
      </c>
      <c r="AI1369" s="11">
        <f t="shared" si="65"/>
        <v>7.42</v>
      </c>
      <c r="AJ1369" t="s">
        <v>62</v>
      </c>
    </row>
    <row r="1370" spans="1:36" ht="15" customHeight="1" x14ac:dyDescent="0.35">
      <c r="A1370">
        <v>10428918</v>
      </c>
      <c r="B1370" t="s">
        <v>36</v>
      </c>
      <c r="C1370" t="s">
        <v>37</v>
      </c>
      <c r="D1370" s="6" t="s">
        <v>38</v>
      </c>
      <c r="E1370" t="s">
        <v>4110</v>
      </c>
      <c r="F1370" t="s">
        <v>40</v>
      </c>
      <c r="G1370" t="s">
        <v>41</v>
      </c>
      <c r="H1370" t="s">
        <v>4111</v>
      </c>
      <c r="I1370" t="s">
        <v>43</v>
      </c>
      <c r="J1370">
        <v>2</v>
      </c>
      <c r="K1370" t="s">
        <v>44</v>
      </c>
      <c r="L1370" t="s">
        <v>45</v>
      </c>
      <c r="M1370" t="s">
        <v>46</v>
      </c>
      <c r="N1370" s="7">
        <v>5</v>
      </c>
      <c r="O1370" s="8">
        <v>45633.856481481482</v>
      </c>
      <c r="P1370" s="9">
        <v>45636</v>
      </c>
      <c r="Q1370" t="s">
        <v>74</v>
      </c>
      <c r="R1370" t="s">
        <v>48</v>
      </c>
      <c r="S1370" t="s">
        <v>49</v>
      </c>
      <c r="T1370" t="s">
        <v>69</v>
      </c>
      <c r="U1370" t="s">
        <v>4112</v>
      </c>
      <c r="V1370">
        <v>80400</v>
      </c>
      <c r="W1370" t="s">
        <v>48</v>
      </c>
      <c r="X1370" t="s">
        <v>53</v>
      </c>
      <c r="Y1370" t="s">
        <v>54</v>
      </c>
      <c r="Z1370" s="12">
        <f>IF(N1370&lt;=1,9,9+0.8*ROUNDUP(N1370-1,0))</f>
        <v>12.2</v>
      </c>
      <c r="AA1370" s="11">
        <v>-2</v>
      </c>
      <c r="AB1370" s="11">
        <v>0</v>
      </c>
      <c r="AC1370" s="11">
        <v>0</v>
      </c>
      <c r="AD1370" s="11">
        <v>0</v>
      </c>
      <c r="AE1370" s="11">
        <v>0</v>
      </c>
      <c r="AF1370" s="11">
        <f t="shared" si="63"/>
        <v>0.61199999999999999</v>
      </c>
      <c r="AG1370" s="11">
        <f t="shared" si="64"/>
        <v>10.811999999999999</v>
      </c>
      <c r="AH1370" s="11">
        <v>0</v>
      </c>
      <c r="AI1370" s="11">
        <f t="shared" si="65"/>
        <v>10.811999999999999</v>
      </c>
      <c r="AJ1370" t="s">
        <v>62</v>
      </c>
    </row>
    <row r="1371" spans="1:36" ht="15" customHeight="1" x14ac:dyDescent="0.35">
      <c r="A1371">
        <v>10428918</v>
      </c>
      <c r="B1371" t="s">
        <v>36</v>
      </c>
      <c r="C1371" t="s">
        <v>37</v>
      </c>
      <c r="D1371" s="6" t="s">
        <v>38</v>
      </c>
      <c r="E1371" t="s">
        <v>4113</v>
      </c>
      <c r="F1371" t="s">
        <v>40</v>
      </c>
      <c r="G1371" t="s">
        <v>41</v>
      </c>
      <c r="H1371" t="s">
        <v>4114</v>
      </c>
      <c r="I1371" t="s">
        <v>43</v>
      </c>
      <c r="J1371">
        <v>2</v>
      </c>
      <c r="K1371" t="s">
        <v>44</v>
      </c>
      <c r="L1371" t="s">
        <v>45</v>
      </c>
      <c r="M1371" t="s">
        <v>46</v>
      </c>
      <c r="N1371" s="7">
        <v>1</v>
      </c>
      <c r="O1371" s="8">
        <v>45633.721828703703</v>
      </c>
      <c r="P1371" s="9">
        <v>45636</v>
      </c>
      <c r="Q1371" t="s">
        <v>74</v>
      </c>
      <c r="R1371" t="s">
        <v>48</v>
      </c>
      <c r="S1371" t="s">
        <v>49</v>
      </c>
      <c r="T1371" t="s">
        <v>117</v>
      </c>
      <c r="U1371" t="s">
        <v>4115</v>
      </c>
      <c r="V1371">
        <v>53100</v>
      </c>
      <c r="W1371" t="s">
        <v>48</v>
      </c>
      <c r="X1371" t="s">
        <v>53</v>
      </c>
      <c r="Y1371" t="s">
        <v>54</v>
      </c>
      <c r="Z1371" s="12">
        <f>IF(N1371&lt;=1,9,9+0.8*ROUNDUP(N1371-1,0))</f>
        <v>9</v>
      </c>
      <c r="AA1371" s="11">
        <v>-2</v>
      </c>
      <c r="AB1371" s="11">
        <v>0</v>
      </c>
      <c r="AC1371" s="11">
        <v>0</v>
      </c>
      <c r="AD1371" s="11">
        <v>0</v>
      </c>
      <c r="AE1371" s="11">
        <v>0</v>
      </c>
      <c r="AF1371" s="11">
        <f t="shared" si="63"/>
        <v>0.42</v>
      </c>
      <c r="AG1371" s="11">
        <f t="shared" si="64"/>
        <v>7.42</v>
      </c>
      <c r="AH1371" s="11">
        <v>0</v>
      </c>
      <c r="AI1371" s="11">
        <f t="shared" si="65"/>
        <v>7.42</v>
      </c>
      <c r="AJ1371" t="s">
        <v>62</v>
      </c>
    </row>
    <row r="1372" spans="1:36" ht="15" customHeight="1" x14ac:dyDescent="0.35">
      <c r="A1372">
        <v>10428918</v>
      </c>
      <c r="B1372" t="s">
        <v>36</v>
      </c>
      <c r="C1372" t="s">
        <v>37</v>
      </c>
      <c r="D1372" s="6" t="s">
        <v>38</v>
      </c>
      <c r="E1372" t="s">
        <v>4116</v>
      </c>
      <c r="F1372" t="s">
        <v>40</v>
      </c>
      <c r="G1372" t="s">
        <v>41</v>
      </c>
      <c r="H1372" t="s">
        <v>849</v>
      </c>
      <c r="I1372" t="s">
        <v>43</v>
      </c>
      <c r="J1372">
        <v>2</v>
      </c>
      <c r="K1372" t="s">
        <v>44</v>
      </c>
      <c r="L1372" t="s">
        <v>45</v>
      </c>
      <c r="M1372" t="s">
        <v>46</v>
      </c>
      <c r="N1372" s="7">
        <v>7</v>
      </c>
      <c r="O1372" s="8">
        <v>45634.747800925928</v>
      </c>
      <c r="P1372" s="9">
        <v>45636</v>
      </c>
      <c r="Q1372" t="s">
        <v>74</v>
      </c>
      <c r="R1372" t="s">
        <v>48</v>
      </c>
      <c r="S1372" t="s">
        <v>49</v>
      </c>
      <c r="T1372" t="s">
        <v>75</v>
      </c>
      <c r="U1372" t="s">
        <v>850</v>
      </c>
      <c r="V1372">
        <v>39100</v>
      </c>
      <c r="W1372" t="s">
        <v>48</v>
      </c>
      <c r="X1372" t="s">
        <v>851</v>
      </c>
      <c r="Y1372" t="s">
        <v>54</v>
      </c>
      <c r="Z1372" s="12">
        <f>IF(N1372&lt;=1,9,9+0.8*ROUNDUP(N1372-1,0))</f>
        <v>13.8</v>
      </c>
      <c r="AA1372" s="11">
        <v>-2</v>
      </c>
      <c r="AB1372" s="11">
        <v>0</v>
      </c>
      <c r="AC1372" s="11">
        <v>0</v>
      </c>
      <c r="AD1372" s="11">
        <v>0</v>
      </c>
      <c r="AE1372" s="11">
        <v>0</v>
      </c>
      <c r="AF1372" s="11">
        <f t="shared" si="63"/>
        <v>0.70799999999999996</v>
      </c>
      <c r="AG1372" s="11">
        <f t="shared" si="64"/>
        <v>12.508000000000001</v>
      </c>
      <c r="AH1372" s="11">
        <v>0</v>
      </c>
      <c r="AI1372" s="11">
        <f t="shared" si="65"/>
        <v>12.508000000000001</v>
      </c>
      <c r="AJ1372" t="s">
        <v>62</v>
      </c>
    </row>
    <row r="1373" spans="1:36" ht="15" customHeight="1" x14ac:dyDescent="0.35">
      <c r="A1373">
        <v>10428918</v>
      </c>
      <c r="B1373" t="s">
        <v>36</v>
      </c>
      <c r="C1373" t="s">
        <v>37</v>
      </c>
      <c r="D1373" s="6" t="s">
        <v>38</v>
      </c>
      <c r="E1373" t="s">
        <v>4117</v>
      </c>
      <c r="F1373" t="s">
        <v>40</v>
      </c>
      <c r="G1373" t="s">
        <v>41</v>
      </c>
      <c r="H1373" t="s">
        <v>4118</v>
      </c>
      <c r="I1373" t="s">
        <v>43</v>
      </c>
      <c r="J1373">
        <v>2</v>
      </c>
      <c r="K1373" t="s">
        <v>44</v>
      </c>
      <c r="L1373" t="s">
        <v>45</v>
      </c>
      <c r="M1373" t="s">
        <v>46</v>
      </c>
      <c r="N1373" s="7">
        <v>1</v>
      </c>
      <c r="O1373" s="8">
        <v>45635.41070601852</v>
      </c>
      <c r="P1373" s="9">
        <v>45636</v>
      </c>
      <c r="Q1373" t="s">
        <v>74</v>
      </c>
      <c r="R1373" t="s">
        <v>48</v>
      </c>
      <c r="S1373" t="s">
        <v>49</v>
      </c>
      <c r="T1373" t="s">
        <v>90</v>
      </c>
      <c r="U1373" t="s">
        <v>4119</v>
      </c>
      <c r="V1373">
        <v>22200</v>
      </c>
      <c r="W1373" t="s">
        <v>48</v>
      </c>
      <c r="X1373" t="s">
        <v>61</v>
      </c>
      <c r="Y1373" t="s">
        <v>54</v>
      </c>
      <c r="Z1373" s="12">
        <f>IF(N1373&lt;=1,9,9+0.8*ROUNDUP(N1373-1,0))</f>
        <v>9</v>
      </c>
      <c r="AA1373" s="11">
        <v>-2</v>
      </c>
      <c r="AB1373" s="11">
        <v>0</v>
      </c>
      <c r="AC1373" s="11">
        <v>0</v>
      </c>
      <c r="AD1373" s="11">
        <v>0</v>
      </c>
      <c r="AE1373" s="11">
        <v>0</v>
      </c>
      <c r="AF1373" s="11">
        <f t="shared" si="63"/>
        <v>0.42</v>
      </c>
      <c r="AG1373" s="11">
        <f t="shared" si="64"/>
        <v>7.42</v>
      </c>
      <c r="AH1373" s="11">
        <v>0</v>
      </c>
      <c r="AI1373" s="11">
        <f t="shared" si="65"/>
        <v>7.42</v>
      </c>
      <c r="AJ1373" t="s">
        <v>62</v>
      </c>
    </row>
    <row r="1374" spans="1:36" ht="15" customHeight="1" x14ac:dyDescent="0.35">
      <c r="A1374">
        <v>10428918</v>
      </c>
      <c r="B1374" t="s">
        <v>36</v>
      </c>
      <c r="C1374" t="s">
        <v>37</v>
      </c>
      <c r="D1374" s="6" t="s">
        <v>38</v>
      </c>
      <c r="E1374" t="s">
        <v>4120</v>
      </c>
      <c r="F1374" t="s">
        <v>40</v>
      </c>
      <c r="G1374" t="s">
        <v>41</v>
      </c>
      <c r="H1374" t="s">
        <v>4121</v>
      </c>
      <c r="I1374" t="s">
        <v>43</v>
      </c>
      <c r="J1374">
        <v>2</v>
      </c>
      <c r="K1374" t="s">
        <v>44</v>
      </c>
      <c r="L1374" t="s">
        <v>45</v>
      </c>
      <c r="M1374" t="s">
        <v>46</v>
      </c>
      <c r="N1374" s="7">
        <v>1</v>
      </c>
      <c r="O1374" s="8">
        <v>45635.659675925926</v>
      </c>
      <c r="P1374" s="9">
        <v>45636</v>
      </c>
      <c r="Q1374" t="s">
        <v>74</v>
      </c>
      <c r="R1374" t="s">
        <v>48</v>
      </c>
      <c r="S1374" t="s">
        <v>49</v>
      </c>
      <c r="T1374" t="s">
        <v>59</v>
      </c>
      <c r="U1374" t="s">
        <v>4122</v>
      </c>
      <c r="V1374">
        <v>17600</v>
      </c>
      <c r="W1374" t="s">
        <v>48</v>
      </c>
      <c r="X1374" t="s">
        <v>61</v>
      </c>
      <c r="Y1374" t="s">
        <v>54</v>
      </c>
      <c r="Z1374" s="12">
        <f>IF(N1374&lt;=1,9,9+0.8*ROUNDUP(N1374-1,0))</f>
        <v>9</v>
      </c>
      <c r="AA1374" s="11">
        <v>-2</v>
      </c>
      <c r="AB1374" s="11">
        <v>0</v>
      </c>
      <c r="AC1374" s="11">
        <v>0</v>
      </c>
      <c r="AD1374" s="11">
        <v>0</v>
      </c>
      <c r="AE1374" s="11">
        <v>0</v>
      </c>
      <c r="AF1374" s="11">
        <f t="shared" si="63"/>
        <v>0.42</v>
      </c>
      <c r="AG1374" s="11">
        <f t="shared" si="64"/>
        <v>7.42</v>
      </c>
      <c r="AH1374" s="11">
        <v>0</v>
      </c>
      <c r="AI1374" s="11">
        <f t="shared" si="65"/>
        <v>7.42</v>
      </c>
      <c r="AJ1374" t="s">
        <v>62</v>
      </c>
    </row>
    <row r="1375" spans="1:36" ht="15" customHeight="1" x14ac:dyDescent="0.35">
      <c r="A1375">
        <v>10428918</v>
      </c>
      <c r="B1375" t="s">
        <v>36</v>
      </c>
      <c r="C1375" t="s">
        <v>37</v>
      </c>
      <c r="D1375" s="6" t="s">
        <v>38</v>
      </c>
      <c r="E1375" t="s">
        <v>4123</v>
      </c>
      <c r="F1375" t="s">
        <v>40</v>
      </c>
      <c r="G1375" t="s">
        <v>41</v>
      </c>
      <c r="H1375" t="s">
        <v>4124</v>
      </c>
      <c r="I1375" t="s">
        <v>43</v>
      </c>
      <c r="J1375">
        <v>2</v>
      </c>
      <c r="K1375" t="s">
        <v>44</v>
      </c>
      <c r="L1375" t="s">
        <v>45</v>
      </c>
      <c r="M1375" t="s">
        <v>46</v>
      </c>
      <c r="N1375" s="7">
        <v>2</v>
      </c>
      <c r="O1375" s="8">
        <v>45629.583807870367</v>
      </c>
      <c r="P1375" s="9">
        <v>45636</v>
      </c>
      <c r="Q1375" t="s">
        <v>74</v>
      </c>
      <c r="R1375" t="s">
        <v>48</v>
      </c>
      <c r="S1375" t="s">
        <v>49</v>
      </c>
      <c r="T1375" t="s">
        <v>69</v>
      </c>
      <c r="U1375" t="s">
        <v>4125</v>
      </c>
      <c r="V1375">
        <v>86400</v>
      </c>
      <c r="W1375" t="s">
        <v>48</v>
      </c>
      <c r="X1375" t="s">
        <v>53</v>
      </c>
      <c r="Y1375" t="s">
        <v>54</v>
      </c>
      <c r="Z1375" s="12">
        <f>IF(N1375&lt;=1,9,9+0.8*ROUNDUP(N1375-1,0))</f>
        <v>9.8000000000000007</v>
      </c>
      <c r="AA1375" s="11">
        <v>-2</v>
      </c>
      <c r="AB1375" s="11">
        <v>0</v>
      </c>
      <c r="AC1375" s="11">
        <v>0</v>
      </c>
      <c r="AD1375" s="11">
        <v>0</v>
      </c>
      <c r="AE1375" s="11">
        <v>0</v>
      </c>
      <c r="AF1375" s="11">
        <f t="shared" si="63"/>
        <v>0.46800000000000003</v>
      </c>
      <c r="AG1375" s="11">
        <f t="shared" si="64"/>
        <v>8.2680000000000007</v>
      </c>
      <c r="AH1375" s="11">
        <v>0</v>
      </c>
      <c r="AI1375" s="11">
        <f t="shared" si="65"/>
        <v>8.2680000000000007</v>
      </c>
      <c r="AJ1375" t="s">
        <v>62</v>
      </c>
    </row>
    <row r="1376" spans="1:36" ht="15" customHeight="1" x14ac:dyDescent="0.35">
      <c r="A1376">
        <v>10428918</v>
      </c>
      <c r="B1376" t="s">
        <v>36</v>
      </c>
      <c r="C1376" t="s">
        <v>37</v>
      </c>
      <c r="D1376" s="6" t="s">
        <v>38</v>
      </c>
      <c r="E1376" t="s">
        <v>4126</v>
      </c>
      <c r="F1376" t="s">
        <v>40</v>
      </c>
      <c r="G1376" t="s">
        <v>41</v>
      </c>
      <c r="H1376" t="s">
        <v>4127</v>
      </c>
      <c r="I1376" t="s">
        <v>43</v>
      </c>
      <c r="J1376">
        <v>2</v>
      </c>
      <c r="K1376" t="s">
        <v>44</v>
      </c>
      <c r="L1376" t="s">
        <v>45</v>
      </c>
      <c r="M1376" t="s">
        <v>46</v>
      </c>
      <c r="N1376" s="7">
        <v>1</v>
      </c>
      <c r="O1376" s="8">
        <v>45635.658113425925</v>
      </c>
      <c r="P1376" s="9">
        <v>45636</v>
      </c>
      <c r="Q1376" t="s">
        <v>74</v>
      </c>
      <c r="R1376" t="s">
        <v>48</v>
      </c>
      <c r="S1376" t="s">
        <v>49</v>
      </c>
      <c r="T1376" t="s">
        <v>170</v>
      </c>
      <c r="U1376" t="s">
        <v>4128</v>
      </c>
      <c r="V1376">
        <v>57100</v>
      </c>
      <c r="W1376" t="s">
        <v>48</v>
      </c>
      <c r="X1376" t="s">
        <v>790</v>
      </c>
      <c r="Y1376" t="s">
        <v>54</v>
      </c>
      <c r="Z1376" s="12">
        <f>IF(N1376&lt;=1,9,9+0.8*ROUNDUP(N1376-1,0))</f>
        <v>9</v>
      </c>
      <c r="AA1376" s="11">
        <v>-2</v>
      </c>
      <c r="AB1376" s="11">
        <v>0</v>
      </c>
      <c r="AC1376" s="11">
        <v>0</v>
      </c>
      <c r="AD1376" s="11">
        <v>0</v>
      </c>
      <c r="AE1376" s="11">
        <v>0</v>
      </c>
      <c r="AF1376" s="11">
        <f t="shared" si="63"/>
        <v>0.42</v>
      </c>
      <c r="AG1376" s="11">
        <f t="shared" si="64"/>
        <v>7.42</v>
      </c>
      <c r="AH1376" s="11">
        <v>0</v>
      </c>
      <c r="AI1376" s="11">
        <f t="shared" si="65"/>
        <v>7.42</v>
      </c>
      <c r="AJ1376" t="s">
        <v>62</v>
      </c>
    </row>
    <row r="1377" spans="1:36" ht="15" customHeight="1" x14ac:dyDescent="0.35">
      <c r="A1377">
        <v>10428918</v>
      </c>
      <c r="B1377" t="s">
        <v>36</v>
      </c>
      <c r="C1377" t="s">
        <v>37</v>
      </c>
      <c r="D1377" s="6" t="s">
        <v>38</v>
      </c>
      <c r="E1377" t="s">
        <v>4129</v>
      </c>
      <c r="F1377" t="s">
        <v>40</v>
      </c>
      <c r="G1377" t="s">
        <v>41</v>
      </c>
      <c r="H1377" t="s">
        <v>4130</v>
      </c>
      <c r="I1377" t="s">
        <v>43</v>
      </c>
      <c r="J1377">
        <v>2</v>
      </c>
      <c r="K1377" t="s">
        <v>44</v>
      </c>
      <c r="L1377" t="s">
        <v>45</v>
      </c>
      <c r="M1377" t="s">
        <v>46</v>
      </c>
      <c r="N1377" s="7">
        <v>1</v>
      </c>
      <c r="O1377" s="8">
        <v>45634.775405092594</v>
      </c>
      <c r="P1377" s="9">
        <v>45636</v>
      </c>
      <c r="Q1377" t="s">
        <v>74</v>
      </c>
      <c r="R1377" t="s">
        <v>48</v>
      </c>
      <c r="S1377" t="s">
        <v>49</v>
      </c>
      <c r="T1377" t="s">
        <v>90</v>
      </c>
      <c r="U1377" t="s">
        <v>4131</v>
      </c>
      <c r="V1377">
        <v>24000</v>
      </c>
      <c r="W1377" t="s">
        <v>48</v>
      </c>
      <c r="X1377" t="s">
        <v>77</v>
      </c>
      <c r="Y1377" t="s">
        <v>54</v>
      </c>
      <c r="Z1377" s="12">
        <f>IF(N1377&lt;=1,9,9+0.8*ROUNDUP(N1377-1,0))</f>
        <v>9</v>
      </c>
      <c r="AA1377" s="11">
        <v>-2</v>
      </c>
      <c r="AB1377" s="11">
        <v>0</v>
      </c>
      <c r="AC1377" s="11">
        <v>0</v>
      </c>
      <c r="AD1377" s="11">
        <v>0</v>
      </c>
      <c r="AE1377" s="11">
        <v>0</v>
      </c>
      <c r="AF1377" s="11">
        <f t="shared" si="63"/>
        <v>0.42</v>
      </c>
      <c r="AG1377" s="11">
        <f t="shared" si="64"/>
        <v>7.42</v>
      </c>
      <c r="AH1377" s="11">
        <v>0</v>
      </c>
      <c r="AI1377" s="11">
        <f t="shared" si="65"/>
        <v>7.42</v>
      </c>
      <c r="AJ1377" t="s">
        <v>62</v>
      </c>
    </row>
    <row r="1378" spans="1:36" ht="15" customHeight="1" x14ac:dyDescent="0.35">
      <c r="A1378">
        <v>10428918</v>
      </c>
      <c r="B1378" t="s">
        <v>36</v>
      </c>
      <c r="C1378" t="s">
        <v>37</v>
      </c>
      <c r="D1378" s="6" t="s">
        <v>38</v>
      </c>
      <c r="E1378" t="s">
        <v>4132</v>
      </c>
      <c r="F1378" t="s">
        <v>40</v>
      </c>
      <c r="G1378" t="s">
        <v>41</v>
      </c>
      <c r="H1378" t="s">
        <v>332</v>
      </c>
      <c r="I1378" t="s">
        <v>43</v>
      </c>
      <c r="J1378">
        <v>2</v>
      </c>
      <c r="K1378" t="s">
        <v>44</v>
      </c>
      <c r="L1378" t="s">
        <v>45</v>
      </c>
      <c r="M1378" t="s">
        <v>46</v>
      </c>
      <c r="N1378" s="7">
        <v>2</v>
      </c>
      <c r="O1378" s="8">
        <v>45630.836087962962</v>
      </c>
      <c r="P1378" s="9">
        <v>45636</v>
      </c>
      <c r="Q1378" t="s">
        <v>74</v>
      </c>
      <c r="R1378" t="s">
        <v>48</v>
      </c>
      <c r="S1378" t="s">
        <v>49</v>
      </c>
      <c r="T1378" t="s">
        <v>50</v>
      </c>
      <c r="U1378" t="s">
        <v>333</v>
      </c>
      <c r="V1378">
        <v>88300</v>
      </c>
      <c r="W1378" t="s">
        <v>52</v>
      </c>
      <c r="X1378" t="s">
        <v>53</v>
      </c>
      <c r="Y1378" t="s">
        <v>54</v>
      </c>
      <c r="Z1378" s="10">
        <f>IF(N1378&lt;=1,13,IF(N1378&lt;=2,23,IF(N1378&lt;=3,35,IF(N1378&lt;=4,43,IF(N1378&lt;=5,53,IF(N1378&lt;=6,63,IF(N1378&lt;=7,71,IF(N1378&lt;=8,79,IF(N1378&lt;=9,87,IF(N1378&lt;=10,95,IF(N1378&lt;=11,105,IF(N1378&lt;=12,114,IF(N1378&lt;=13,119,IF(N1378&lt;=14,127,IF(N1378&lt;=15,135,IF(N1378&lt;=16,143,IF(N1378&lt;=17,153,IF(N1378&lt;=18,163,IF(N1378&lt;=19,171,IF(N1378&lt;=20,185,IF(N1378&lt;=21,193,IF(N1378&lt;=22,201,IF(N1378&lt;=23,210,IF(N1378&lt;=24,220,IF(N1378&lt;=25,230,IF(N1378&lt;=26,240,IF(N1378&lt;=27,250,IF(N1378&lt;=28,260,IF(N1378&lt;=29,270,IF(N1378&lt;=30,280,280+10*ROUNDUP(N1378-30,0)))))))))))))))))))))))))))))))</f>
        <v>23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f t="shared" si="63"/>
        <v>1.38</v>
      </c>
      <c r="AG1378" s="11">
        <f t="shared" si="64"/>
        <v>24.38</v>
      </c>
      <c r="AH1378" s="11">
        <v>0</v>
      </c>
      <c r="AI1378" s="11">
        <f t="shared" si="65"/>
        <v>24.38</v>
      </c>
      <c r="AJ1378" t="s">
        <v>55</v>
      </c>
    </row>
    <row r="1379" spans="1:36" ht="15" customHeight="1" x14ac:dyDescent="0.35">
      <c r="A1379">
        <v>10428918</v>
      </c>
      <c r="B1379" t="s">
        <v>36</v>
      </c>
      <c r="C1379" t="s">
        <v>37</v>
      </c>
      <c r="D1379" s="6" t="s">
        <v>38</v>
      </c>
      <c r="E1379" t="s">
        <v>4133</v>
      </c>
      <c r="F1379" t="s">
        <v>40</v>
      </c>
      <c r="G1379" t="s">
        <v>41</v>
      </c>
      <c r="H1379" t="s">
        <v>4134</v>
      </c>
      <c r="I1379" t="s">
        <v>43</v>
      </c>
      <c r="J1379">
        <v>2</v>
      </c>
      <c r="K1379" t="s">
        <v>44</v>
      </c>
      <c r="L1379" t="s">
        <v>45</v>
      </c>
      <c r="M1379" t="s">
        <v>46</v>
      </c>
      <c r="N1379" s="7">
        <v>2</v>
      </c>
      <c r="O1379" s="8">
        <v>45633.856504629628</v>
      </c>
      <c r="P1379" s="9">
        <v>45636</v>
      </c>
      <c r="Q1379" t="s">
        <v>74</v>
      </c>
      <c r="R1379" t="s">
        <v>48</v>
      </c>
      <c r="S1379" t="s">
        <v>49</v>
      </c>
      <c r="T1379" t="s">
        <v>80</v>
      </c>
      <c r="U1379" t="s">
        <v>4135</v>
      </c>
      <c r="V1379">
        <v>6750</v>
      </c>
      <c r="W1379" t="s">
        <v>48</v>
      </c>
      <c r="X1379" t="s">
        <v>670</v>
      </c>
      <c r="Y1379" t="s">
        <v>54</v>
      </c>
      <c r="Z1379" s="12">
        <f>IF(N1379&lt;=1,9,9+0.8*ROUNDUP(N1379-1,0))</f>
        <v>9.8000000000000007</v>
      </c>
      <c r="AA1379" s="11">
        <v>-2</v>
      </c>
      <c r="AB1379" s="11">
        <v>0</v>
      </c>
      <c r="AC1379" s="11">
        <v>0</v>
      </c>
      <c r="AD1379" s="11">
        <v>0</v>
      </c>
      <c r="AE1379" s="11">
        <v>0</v>
      </c>
      <c r="AF1379" s="11">
        <f t="shared" si="63"/>
        <v>0.46800000000000003</v>
      </c>
      <c r="AG1379" s="11">
        <f t="shared" si="64"/>
        <v>8.2680000000000007</v>
      </c>
      <c r="AH1379" s="11">
        <v>0</v>
      </c>
      <c r="AI1379" s="11">
        <f t="shared" si="65"/>
        <v>8.2680000000000007</v>
      </c>
      <c r="AJ1379" t="s">
        <v>62</v>
      </c>
    </row>
    <row r="1380" spans="1:36" ht="15" customHeight="1" x14ac:dyDescent="0.35">
      <c r="A1380">
        <v>10428918</v>
      </c>
      <c r="B1380" t="s">
        <v>36</v>
      </c>
      <c r="C1380" t="s">
        <v>37</v>
      </c>
      <c r="D1380" s="6" t="s">
        <v>38</v>
      </c>
      <c r="E1380" t="s">
        <v>4136</v>
      </c>
      <c r="F1380" t="s">
        <v>40</v>
      </c>
      <c r="G1380" t="s">
        <v>41</v>
      </c>
      <c r="H1380" t="s">
        <v>849</v>
      </c>
      <c r="I1380" t="s">
        <v>43</v>
      </c>
      <c r="J1380">
        <v>2</v>
      </c>
      <c r="K1380" t="s">
        <v>44</v>
      </c>
      <c r="L1380" t="s">
        <v>45</v>
      </c>
      <c r="M1380" t="s">
        <v>46</v>
      </c>
      <c r="N1380" s="7">
        <v>6</v>
      </c>
      <c r="O1380" s="8">
        <v>45634.747800925928</v>
      </c>
      <c r="P1380" s="9">
        <v>45636</v>
      </c>
      <c r="Q1380" t="s">
        <v>74</v>
      </c>
      <c r="R1380" t="s">
        <v>48</v>
      </c>
      <c r="S1380" t="s">
        <v>49</v>
      </c>
      <c r="T1380" t="s">
        <v>75</v>
      </c>
      <c r="U1380" t="s">
        <v>850</v>
      </c>
      <c r="V1380">
        <v>39100</v>
      </c>
      <c r="W1380" t="s">
        <v>48</v>
      </c>
      <c r="X1380" t="s">
        <v>851</v>
      </c>
      <c r="Y1380" t="s">
        <v>54</v>
      </c>
      <c r="Z1380" s="12">
        <f>IF(N1380&lt;=1,9,9+0.8*ROUNDUP(N1380-1,0))</f>
        <v>13</v>
      </c>
      <c r="AA1380" s="11">
        <v>-2</v>
      </c>
      <c r="AB1380" s="11">
        <v>0</v>
      </c>
      <c r="AC1380" s="11">
        <v>0</v>
      </c>
      <c r="AD1380" s="11">
        <v>0</v>
      </c>
      <c r="AE1380" s="11">
        <v>0</v>
      </c>
      <c r="AF1380" s="11">
        <f t="shared" si="63"/>
        <v>0.65999999999999992</v>
      </c>
      <c r="AG1380" s="11">
        <f t="shared" si="64"/>
        <v>11.66</v>
      </c>
      <c r="AH1380" s="11">
        <v>0</v>
      </c>
      <c r="AI1380" s="11">
        <f t="shared" si="65"/>
        <v>11.66</v>
      </c>
      <c r="AJ1380" t="s">
        <v>62</v>
      </c>
    </row>
    <row r="1381" spans="1:36" ht="15" customHeight="1" x14ac:dyDescent="0.35">
      <c r="A1381">
        <v>10428918</v>
      </c>
      <c r="B1381" t="s">
        <v>36</v>
      </c>
      <c r="C1381" t="s">
        <v>37</v>
      </c>
      <c r="D1381" s="6" t="s">
        <v>38</v>
      </c>
      <c r="E1381" t="s">
        <v>4137</v>
      </c>
      <c r="F1381" t="s">
        <v>40</v>
      </c>
      <c r="G1381" t="s">
        <v>41</v>
      </c>
      <c r="H1381" t="s">
        <v>4138</v>
      </c>
      <c r="I1381" t="s">
        <v>43</v>
      </c>
      <c r="J1381">
        <v>2</v>
      </c>
      <c r="K1381" t="s">
        <v>44</v>
      </c>
      <c r="L1381" t="s">
        <v>45</v>
      </c>
      <c r="M1381" t="s">
        <v>46</v>
      </c>
      <c r="N1381" s="7">
        <v>1</v>
      </c>
      <c r="O1381" s="8">
        <v>45635.658113425925</v>
      </c>
      <c r="P1381" s="9">
        <v>45636</v>
      </c>
      <c r="Q1381" t="s">
        <v>74</v>
      </c>
      <c r="R1381" t="s">
        <v>48</v>
      </c>
      <c r="S1381" t="s">
        <v>49</v>
      </c>
      <c r="T1381" t="s">
        <v>90</v>
      </c>
      <c r="U1381" t="s">
        <v>4139</v>
      </c>
      <c r="V1381">
        <v>21700</v>
      </c>
      <c r="W1381" t="s">
        <v>48</v>
      </c>
      <c r="X1381" t="s">
        <v>92</v>
      </c>
      <c r="Y1381" t="s">
        <v>54</v>
      </c>
      <c r="Z1381" s="12">
        <f>IF(N1381&lt;=1,9,9+0.8*ROUNDUP(N1381-1,0))</f>
        <v>9</v>
      </c>
      <c r="AA1381" s="11">
        <v>-2</v>
      </c>
      <c r="AB1381" s="11">
        <v>0</v>
      </c>
      <c r="AC1381" s="11">
        <v>0</v>
      </c>
      <c r="AD1381" s="11">
        <v>0</v>
      </c>
      <c r="AE1381" s="11">
        <v>0</v>
      </c>
      <c r="AF1381" s="11">
        <f t="shared" si="63"/>
        <v>0.42</v>
      </c>
      <c r="AG1381" s="11">
        <f t="shared" si="64"/>
        <v>7.42</v>
      </c>
      <c r="AH1381" s="11">
        <v>0</v>
      </c>
      <c r="AI1381" s="11">
        <f t="shared" si="65"/>
        <v>7.42</v>
      </c>
      <c r="AJ1381" t="s">
        <v>62</v>
      </c>
    </row>
    <row r="1382" spans="1:36" ht="15" customHeight="1" x14ac:dyDescent="0.35">
      <c r="A1382">
        <v>10428918</v>
      </c>
      <c r="B1382" t="s">
        <v>36</v>
      </c>
      <c r="C1382" t="s">
        <v>37</v>
      </c>
      <c r="D1382" s="6" t="s">
        <v>38</v>
      </c>
      <c r="E1382" t="s">
        <v>4140</v>
      </c>
      <c r="F1382" t="s">
        <v>40</v>
      </c>
      <c r="G1382" t="s">
        <v>41</v>
      </c>
      <c r="H1382" t="s">
        <v>4141</v>
      </c>
      <c r="I1382" t="s">
        <v>43</v>
      </c>
      <c r="J1382">
        <v>2</v>
      </c>
      <c r="K1382" t="s">
        <v>44</v>
      </c>
      <c r="L1382" t="s">
        <v>45</v>
      </c>
      <c r="M1382" t="s">
        <v>46</v>
      </c>
      <c r="N1382" s="7">
        <v>1</v>
      </c>
      <c r="O1382" s="8">
        <v>45635.656168981484</v>
      </c>
      <c r="P1382" s="9">
        <v>45636</v>
      </c>
      <c r="Q1382" t="s">
        <v>74</v>
      </c>
      <c r="R1382" t="s">
        <v>48</v>
      </c>
      <c r="S1382" t="s">
        <v>49</v>
      </c>
      <c r="T1382" t="s">
        <v>59</v>
      </c>
      <c r="U1382" t="s">
        <v>4142</v>
      </c>
      <c r="V1382">
        <v>16100</v>
      </c>
      <c r="W1382" t="s">
        <v>48</v>
      </c>
      <c r="X1382" t="s">
        <v>61</v>
      </c>
      <c r="Y1382" t="s">
        <v>54</v>
      </c>
      <c r="Z1382" s="12">
        <f>IF(N1382&lt;=1,9,9+0.8*ROUNDUP(N1382-1,0))</f>
        <v>9</v>
      </c>
      <c r="AA1382" s="11">
        <v>-2</v>
      </c>
      <c r="AB1382" s="11">
        <v>0</v>
      </c>
      <c r="AC1382" s="11">
        <v>0</v>
      </c>
      <c r="AD1382" s="11">
        <v>0</v>
      </c>
      <c r="AE1382" s="11">
        <v>0</v>
      </c>
      <c r="AF1382" s="11">
        <f t="shared" si="63"/>
        <v>0.42</v>
      </c>
      <c r="AG1382" s="11">
        <f t="shared" si="64"/>
        <v>7.42</v>
      </c>
      <c r="AH1382" s="11">
        <v>0</v>
      </c>
      <c r="AI1382" s="11">
        <f t="shared" si="65"/>
        <v>7.42</v>
      </c>
      <c r="AJ1382" t="s">
        <v>62</v>
      </c>
    </row>
    <row r="1383" spans="1:36" ht="15" customHeight="1" x14ac:dyDescent="0.35">
      <c r="A1383">
        <v>10428918</v>
      </c>
      <c r="B1383" t="s">
        <v>36</v>
      </c>
      <c r="C1383" t="s">
        <v>37</v>
      </c>
      <c r="D1383" s="6" t="s">
        <v>38</v>
      </c>
      <c r="E1383" t="s">
        <v>4143</v>
      </c>
      <c r="F1383" t="s">
        <v>40</v>
      </c>
      <c r="G1383" t="s">
        <v>41</v>
      </c>
      <c r="H1383" t="s">
        <v>4144</v>
      </c>
      <c r="I1383" t="s">
        <v>43</v>
      </c>
      <c r="J1383">
        <v>2</v>
      </c>
      <c r="K1383" t="s">
        <v>44</v>
      </c>
      <c r="L1383" t="s">
        <v>45</v>
      </c>
      <c r="M1383" t="s">
        <v>46</v>
      </c>
      <c r="N1383" s="7">
        <v>1</v>
      </c>
      <c r="O1383" s="8">
        <v>45633.848356481481</v>
      </c>
      <c r="P1383" s="9">
        <v>45636</v>
      </c>
      <c r="Q1383" t="s">
        <v>74</v>
      </c>
      <c r="R1383" t="s">
        <v>48</v>
      </c>
      <c r="S1383" t="s">
        <v>49</v>
      </c>
      <c r="T1383" t="s">
        <v>69</v>
      </c>
      <c r="U1383" t="s">
        <v>4145</v>
      </c>
      <c r="V1383">
        <v>86800</v>
      </c>
      <c r="W1383" t="s">
        <v>48</v>
      </c>
      <c r="X1383" t="s">
        <v>53</v>
      </c>
      <c r="Y1383" t="s">
        <v>54</v>
      </c>
      <c r="Z1383" s="12">
        <f>IF(N1383&lt;=1,9,9+0.8*ROUNDUP(N1383-1,0))</f>
        <v>9</v>
      </c>
      <c r="AA1383" s="11">
        <v>-2</v>
      </c>
      <c r="AB1383" s="11">
        <v>0</v>
      </c>
      <c r="AC1383" s="11">
        <v>0</v>
      </c>
      <c r="AD1383" s="11">
        <v>0</v>
      </c>
      <c r="AE1383" s="11">
        <v>0</v>
      </c>
      <c r="AF1383" s="11">
        <f t="shared" si="63"/>
        <v>0.42</v>
      </c>
      <c r="AG1383" s="11">
        <f t="shared" si="64"/>
        <v>7.42</v>
      </c>
      <c r="AH1383" s="11">
        <v>0</v>
      </c>
      <c r="AI1383" s="11">
        <f t="shared" si="65"/>
        <v>7.42</v>
      </c>
      <c r="AJ1383" t="s">
        <v>62</v>
      </c>
    </row>
    <row r="1384" spans="1:36" ht="15" customHeight="1" x14ac:dyDescent="0.35">
      <c r="A1384">
        <v>10428918</v>
      </c>
      <c r="B1384" t="s">
        <v>36</v>
      </c>
      <c r="C1384" t="s">
        <v>37</v>
      </c>
      <c r="D1384" s="6" t="s">
        <v>38</v>
      </c>
      <c r="E1384" t="s">
        <v>4146</v>
      </c>
      <c r="F1384" t="s">
        <v>40</v>
      </c>
      <c r="G1384" t="s">
        <v>41</v>
      </c>
      <c r="H1384" t="s">
        <v>4147</v>
      </c>
      <c r="I1384" t="s">
        <v>43</v>
      </c>
      <c r="J1384">
        <v>2</v>
      </c>
      <c r="K1384" t="s">
        <v>44</v>
      </c>
      <c r="L1384" t="s">
        <v>45</v>
      </c>
      <c r="M1384" t="s">
        <v>46</v>
      </c>
      <c r="N1384" s="7">
        <v>1</v>
      </c>
      <c r="O1384" s="8">
        <v>45633.836944444447</v>
      </c>
      <c r="P1384" s="9">
        <v>45636</v>
      </c>
      <c r="Q1384" t="s">
        <v>74</v>
      </c>
      <c r="R1384" t="s">
        <v>48</v>
      </c>
      <c r="S1384" t="s">
        <v>49</v>
      </c>
      <c r="T1384" t="s">
        <v>69</v>
      </c>
      <c r="U1384" t="s">
        <v>4148</v>
      </c>
      <c r="V1384">
        <v>86200</v>
      </c>
      <c r="W1384" t="s">
        <v>48</v>
      </c>
      <c r="X1384" t="s">
        <v>410</v>
      </c>
      <c r="Y1384" t="s">
        <v>54</v>
      </c>
      <c r="Z1384" s="12">
        <f>IF(N1384&lt;=1,9,9+0.8*ROUNDUP(N1384-1,0))</f>
        <v>9</v>
      </c>
      <c r="AA1384" s="11">
        <v>-2</v>
      </c>
      <c r="AB1384" s="11">
        <v>0</v>
      </c>
      <c r="AC1384" s="11">
        <v>0</v>
      </c>
      <c r="AD1384" s="11">
        <v>0</v>
      </c>
      <c r="AE1384" s="11">
        <v>0</v>
      </c>
      <c r="AF1384" s="11">
        <f t="shared" si="63"/>
        <v>0.42</v>
      </c>
      <c r="AG1384" s="11">
        <f t="shared" si="64"/>
        <v>7.42</v>
      </c>
      <c r="AH1384" s="11">
        <v>0</v>
      </c>
      <c r="AI1384" s="11">
        <f t="shared" si="65"/>
        <v>7.42</v>
      </c>
      <c r="AJ1384" t="s">
        <v>62</v>
      </c>
    </row>
    <row r="1385" spans="1:36" ht="15" customHeight="1" x14ac:dyDescent="0.35">
      <c r="A1385">
        <v>10428918</v>
      </c>
      <c r="B1385" t="s">
        <v>36</v>
      </c>
      <c r="C1385" t="s">
        <v>37</v>
      </c>
      <c r="D1385" s="6" t="s">
        <v>38</v>
      </c>
      <c r="E1385" t="s">
        <v>4149</v>
      </c>
      <c r="F1385" t="s">
        <v>40</v>
      </c>
      <c r="G1385" t="s">
        <v>41</v>
      </c>
      <c r="H1385" t="s">
        <v>4150</v>
      </c>
      <c r="I1385" t="s">
        <v>43</v>
      </c>
      <c r="J1385">
        <v>2</v>
      </c>
      <c r="K1385" t="s">
        <v>44</v>
      </c>
      <c r="L1385" t="s">
        <v>45</v>
      </c>
      <c r="M1385" t="s">
        <v>46</v>
      </c>
      <c r="N1385" s="7">
        <v>1</v>
      </c>
      <c r="O1385" s="8">
        <v>45634.795405092591</v>
      </c>
      <c r="P1385" s="9">
        <v>45636</v>
      </c>
      <c r="Q1385" t="s">
        <v>74</v>
      </c>
      <c r="R1385" t="s">
        <v>48</v>
      </c>
      <c r="S1385" t="s">
        <v>49</v>
      </c>
      <c r="T1385" t="s">
        <v>59</v>
      </c>
      <c r="U1385" t="s">
        <v>4151</v>
      </c>
      <c r="V1385">
        <v>16400</v>
      </c>
      <c r="W1385" t="s">
        <v>48</v>
      </c>
      <c r="X1385" t="s">
        <v>61</v>
      </c>
      <c r="Y1385" t="s">
        <v>54</v>
      </c>
      <c r="Z1385" s="12">
        <f>IF(N1385&lt;=1,9,9+0.8*ROUNDUP(N1385-1,0))</f>
        <v>9</v>
      </c>
      <c r="AA1385" s="11">
        <v>-2</v>
      </c>
      <c r="AB1385" s="11">
        <v>0</v>
      </c>
      <c r="AC1385" s="11">
        <v>0</v>
      </c>
      <c r="AD1385" s="11">
        <v>0</v>
      </c>
      <c r="AE1385" s="11">
        <v>0</v>
      </c>
      <c r="AF1385" s="11">
        <f t="shared" si="63"/>
        <v>0.42</v>
      </c>
      <c r="AG1385" s="11">
        <f t="shared" si="64"/>
        <v>7.42</v>
      </c>
      <c r="AH1385" s="11">
        <v>0</v>
      </c>
      <c r="AI1385" s="11">
        <f t="shared" si="65"/>
        <v>7.42</v>
      </c>
      <c r="AJ1385" t="s">
        <v>62</v>
      </c>
    </row>
    <row r="1386" spans="1:36" ht="15" customHeight="1" x14ac:dyDescent="0.35">
      <c r="A1386">
        <v>10428918</v>
      </c>
      <c r="B1386" t="s">
        <v>36</v>
      </c>
      <c r="C1386" t="s">
        <v>37</v>
      </c>
      <c r="D1386" s="6" t="s">
        <v>38</v>
      </c>
      <c r="E1386" t="s">
        <v>4152</v>
      </c>
      <c r="F1386" t="s">
        <v>40</v>
      </c>
      <c r="G1386" t="s">
        <v>41</v>
      </c>
      <c r="H1386" t="s">
        <v>4153</v>
      </c>
      <c r="I1386" t="s">
        <v>43</v>
      </c>
      <c r="J1386">
        <v>2</v>
      </c>
      <c r="K1386" t="s">
        <v>44</v>
      </c>
      <c r="L1386" t="s">
        <v>45</v>
      </c>
      <c r="M1386" t="s">
        <v>46</v>
      </c>
      <c r="N1386" s="7">
        <v>1</v>
      </c>
      <c r="O1386" s="8">
        <v>45631.839745370373</v>
      </c>
      <c r="P1386" s="9">
        <v>45636</v>
      </c>
      <c r="Q1386" t="s">
        <v>58</v>
      </c>
      <c r="R1386" t="s">
        <v>48</v>
      </c>
      <c r="S1386" t="s">
        <v>49</v>
      </c>
      <c r="T1386" t="s">
        <v>85</v>
      </c>
      <c r="U1386" t="s">
        <v>4154</v>
      </c>
      <c r="V1386">
        <v>72200</v>
      </c>
      <c r="W1386" t="s">
        <v>48</v>
      </c>
      <c r="X1386" t="s">
        <v>243</v>
      </c>
      <c r="Y1386" t="s">
        <v>54</v>
      </c>
      <c r="Z1386" s="12">
        <f>IF(N1386&lt;=1,9,9+0.8*ROUNDUP(N1386-1,0))</f>
        <v>9</v>
      </c>
      <c r="AA1386" s="11">
        <v>-2</v>
      </c>
      <c r="AB1386" s="11">
        <v>0</v>
      </c>
      <c r="AC1386" s="11">
        <v>0</v>
      </c>
      <c r="AD1386" s="11">
        <v>0</v>
      </c>
      <c r="AE1386" s="11">
        <v>0</v>
      </c>
      <c r="AF1386" s="11">
        <f t="shared" si="63"/>
        <v>0.42</v>
      </c>
      <c r="AG1386" s="11">
        <f t="shared" si="64"/>
        <v>7.42</v>
      </c>
      <c r="AH1386" s="11">
        <v>0</v>
      </c>
      <c r="AI1386" s="11">
        <f t="shared" si="65"/>
        <v>7.42</v>
      </c>
      <c r="AJ1386" t="s">
        <v>62</v>
      </c>
    </row>
    <row r="1387" spans="1:36" ht="15" customHeight="1" x14ac:dyDescent="0.35">
      <c r="A1387">
        <v>10428918</v>
      </c>
      <c r="B1387" t="s">
        <v>36</v>
      </c>
      <c r="C1387" t="s">
        <v>37</v>
      </c>
      <c r="D1387" s="6" t="s">
        <v>38</v>
      </c>
      <c r="E1387" t="s">
        <v>4155</v>
      </c>
      <c r="F1387" t="s">
        <v>40</v>
      </c>
      <c r="G1387" t="s">
        <v>41</v>
      </c>
      <c r="H1387" t="s">
        <v>4156</v>
      </c>
      <c r="I1387" t="s">
        <v>43</v>
      </c>
      <c r="J1387">
        <v>2</v>
      </c>
      <c r="K1387" t="s">
        <v>44</v>
      </c>
      <c r="L1387" t="s">
        <v>45</v>
      </c>
      <c r="M1387" t="s">
        <v>46</v>
      </c>
      <c r="N1387" s="7">
        <v>1</v>
      </c>
      <c r="O1387" s="8">
        <v>45631.454155092593</v>
      </c>
      <c r="P1387" s="9">
        <v>45636</v>
      </c>
      <c r="Q1387" t="s">
        <v>74</v>
      </c>
      <c r="R1387" t="s">
        <v>48</v>
      </c>
      <c r="S1387" t="s">
        <v>49</v>
      </c>
      <c r="T1387" t="s">
        <v>161</v>
      </c>
      <c r="U1387" t="s">
        <v>4157</v>
      </c>
      <c r="V1387">
        <v>10300</v>
      </c>
      <c r="W1387" t="s">
        <v>48</v>
      </c>
      <c r="X1387" t="s">
        <v>163</v>
      </c>
      <c r="Y1387" t="s">
        <v>54</v>
      </c>
      <c r="Z1387" s="12">
        <f>IF(N1387&lt;=1,9,9+0.8*ROUNDUP(N1387-1,0))</f>
        <v>9</v>
      </c>
      <c r="AA1387" s="11">
        <v>-2</v>
      </c>
      <c r="AB1387" s="11">
        <v>0</v>
      </c>
      <c r="AC1387" s="11">
        <v>0</v>
      </c>
      <c r="AD1387" s="11">
        <v>0</v>
      </c>
      <c r="AE1387" s="11">
        <v>0</v>
      </c>
      <c r="AF1387" s="11">
        <f t="shared" si="63"/>
        <v>0.42</v>
      </c>
      <c r="AG1387" s="11">
        <f t="shared" si="64"/>
        <v>7.42</v>
      </c>
      <c r="AH1387" s="11">
        <v>0</v>
      </c>
      <c r="AI1387" s="11">
        <f t="shared" si="65"/>
        <v>7.42</v>
      </c>
      <c r="AJ1387" t="s">
        <v>62</v>
      </c>
    </row>
    <row r="1388" spans="1:36" ht="15" customHeight="1" x14ac:dyDescent="0.35">
      <c r="A1388">
        <v>10428918</v>
      </c>
      <c r="B1388" t="s">
        <v>36</v>
      </c>
      <c r="C1388" t="s">
        <v>37</v>
      </c>
      <c r="D1388" s="6" t="s">
        <v>38</v>
      </c>
      <c r="E1388" t="s">
        <v>4158</v>
      </c>
      <c r="F1388" t="s">
        <v>40</v>
      </c>
      <c r="G1388" t="s">
        <v>41</v>
      </c>
      <c r="H1388" t="s">
        <v>4159</v>
      </c>
      <c r="I1388" t="s">
        <v>43</v>
      </c>
      <c r="J1388">
        <v>2</v>
      </c>
      <c r="K1388" t="s">
        <v>44</v>
      </c>
      <c r="L1388" t="s">
        <v>45</v>
      </c>
      <c r="M1388" t="s">
        <v>46</v>
      </c>
      <c r="N1388" s="7">
        <v>2</v>
      </c>
      <c r="O1388" s="8">
        <v>45634.801354166666</v>
      </c>
      <c r="P1388" s="9">
        <v>45636</v>
      </c>
      <c r="Q1388" t="s">
        <v>74</v>
      </c>
      <c r="R1388" t="s">
        <v>48</v>
      </c>
      <c r="S1388" t="s">
        <v>49</v>
      </c>
      <c r="T1388" t="s">
        <v>90</v>
      </c>
      <c r="U1388" t="s">
        <v>4160</v>
      </c>
      <c r="V1388">
        <v>24000</v>
      </c>
      <c r="W1388" t="s">
        <v>48</v>
      </c>
      <c r="X1388" t="s">
        <v>962</v>
      </c>
      <c r="Y1388" t="s">
        <v>54</v>
      </c>
      <c r="Z1388" s="12">
        <f>IF(N1388&lt;=1,9,9+0.8*ROUNDUP(N1388-1,0))</f>
        <v>9.8000000000000007</v>
      </c>
      <c r="AA1388" s="11">
        <v>-2</v>
      </c>
      <c r="AB1388" s="11">
        <v>0</v>
      </c>
      <c r="AC1388" s="11">
        <v>0</v>
      </c>
      <c r="AD1388" s="11">
        <v>0</v>
      </c>
      <c r="AE1388" s="11">
        <v>0</v>
      </c>
      <c r="AF1388" s="11">
        <f t="shared" si="63"/>
        <v>0.46800000000000003</v>
      </c>
      <c r="AG1388" s="11">
        <f t="shared" si="64"/>
        <v>8.2680000000000007</v>
      </c>
      <c r="AH1388" s="11">
        <v>0</v>
      </c>
      <c r="AI1388" s="11">
        <f t="shared" si="65"/>
        <v>8.2680000000000007</v>
      </c>
      <c r="AJ1388" t="s">
        <v>62</v>
      </c>
    </row>
    <row r="1389" spans="1:36" ht="15" customHeight="1" x14ac:dyDescent="0.35">
      <c r="A1389">
        <v>10428918</v>
      </c>
      <c r="B1389" t="s">
        <v>36</v>
      </c>
      <c r="C1389" t="s">
        <v>37</v>
      </c>
      <c r="D1389" s="6" t="s">
        <v>38</v>
      </c>
      <c r="E1389" t="s">
        <v>4161</v>
      </c>
      <c r="F1389" t="s">
        <v>40</v>
      </c>
      <c r="G1389" t="s">
        <v>41</v>
      </c>
      <c r="H1389" t="s">
        <v>4162</v>
      </c>
      <c r="I1389" t="s">
        <v>43</v>
      </c>
      <c r="J1389">
        <v>2</v>
      </c>
      <c r="K1389" t="s">
        <v>44</v>
      </c>
      <c r="L1389" t="s">
        <v>45</v>
      </c>
      <c r="M1389" t="s">
        <v>46</v>
      </c>
      <c r="N1389" s="7">
        <v>1</v>
      </c>
      <c r="O1389" s="8">
        <v>45633.848356481481</v>
      </c>
      <c r="P1389" s="9">
        <v>45636</v>
      </c>
      <c r="Q1389" t="s">
        <v>74</v>
      </c>
      <c r="R1389" t="s">
        <v>48</v>
      </c>
      <c r="S1389" t="s">
        <v>49</v>
      </c>
      <c r="T1389" t="s">
        <v>85</v>
      </c>
      <c r="U1389" t="s">
        <v>4163</v>
      </c>
      <c r="V1389">
        <v>70300</v>
      </c>
      <c r="W1389" t="s">
        <v>48</v>
      </c>
      <c r="X1389" t="s">
        <v>503</v>
      </c>
      <c r="Y1389" t="s">
        <v>54</v>
      </c>
      <c r="Z1389" s="12">
        <f>IF(N1389&lt;=1,9,9+0.8*ROUNDUP(N1389-1,0))</f>
        <v>9</v>
      </c>
      <c r="AA1389" s="11">
        <v>-2</v>
      </c>
      <c r="AB1389" s="11">
        <v>0</v>
      </c>
      <c r="AC1389" s="11">
        <v>0</v>
      </c>
      <c r="AD1389" s="11">
        <v>0</v>
      </c>
      <c r="AE1389" s="11">
        <v>0</v>
      </c>
      <c r="AF1389" s="11">
        <f t="shared" si="63"/>
        <v>0.42</v>
      </c>
      <c r="AG1389" s="11">
        <f t="shared" si="64"/>
        <v>7.42</v>
      </c>
      <c r="AH1389" s="11">
        <v>0</v>
      </c>
      <c r="AI1389" s="11">
        <f t="shared" si="65"/>
        <v>7.42</v>
      </c>
      <c r="AJ1389" t="s">
        <v>62</v>
      </c>
    </row>
    <row r="1390" spans="1:36" ht="15" customHeight="1" x14ac:dyDescent="0.35">
      <c r="A1390">
        <v>10428918</v>
      </c>
      <c r="B1390" t="s">
        <v>36</v>
      </c>
      <c r="C1390" t="s">
        <v>37</v>
      </c>
      <c r="D1390" s="6" t="s">
        <v>38</v>
      </c>
      <c r="E1390" t="s">
        <v>4164</v>
      </c>
      <c r="F1390" t="s">
        <v>40</v>
      </c>
      <c r="G1390" t="s">
        <v>41</v>
      </c>
      <c r="H1390" t="s">
        <v>4165</v>
      </c>
      <c r="I1390" t="s">
        <v>43</v>
      </c>
      <c r="J1390">
        <v>2</v>
      </c>
      <c r="K1390" t="s">
        <v>44</v>
      </c>
      <c r="L1390" t="s">
        <v>45</v>
      </c>
      <c r="M1390" t="s">
        <v>46</v>
      </c>
      <c r="N1390" s="7">
        <v>1</v>
      </c>
      <c r="O1390" s="8">
        <v>45634.550810185188</v>
      </c>
      <c r="P1390" s="9">
        <v>45636</v>
      </c>
      <c r="Q1390" t="s">
        <v>74</v>
      </c>
      <c r="R1390" t="s">
        <v>48</v>
      </c>
      <c r="S1390" t="s">
        <v>49</v>
      </c>
      <c r="T1390" t="s">
        <v>117</v>
      </c>
      <c r="U1390" t="s">
        <v>4166</v>
      </c>
      <c r="V1390">
        <v>40000</v>
      </c>
      <c r="W1390" t="s">
        <v>48</v>
      </c>
      <c r="X1390" t="s">
        <v>53</v>
      </c>
      <c r="Y1390" t="s">
        <v>54</v>
      </c>
      <c r="Z1390" s="12">
        <f>IF(N1390&lt;=1,9,9+0.8*ROUNDUP(N1390-1,0))</f>
        <v>9</v>
      </c>
      <c r="AA1390" s="11">
        <v>-2</v>
      </c>
      <c r="AB1390" s="11">
        <v>0</v>
      </c>
      <c r="AC1390" s="11">
        <v>0</v>
      </c>
      <c r="AD1390" s="11">
        <v>0</v>
      </c>
      <c r="AE1390" s="11">
        <v>0</v>
      </c>
      <c r="AF1390" s="11">
        <f t="shared" si="63"/>
        <v>0.42</v>
      </c>
      <c r="AG1390" s="11">
        <f t="shared" si="64"/>
        <v>7.42</v>
      </c>
      <c r="AH1390" s="11">
        <v>0</v>
      </c>
      <c r="AI1390" s="11">
        <f t="shared" si="65"/>
        <v>7.42</v>
      </c>
      <c r="AJ1390" t="s">
        <v>62</v>
      </c>
    </row>
    <row r="1391" spans="1:36" ht="15" customHeight="1" x14ac:dyDescent="0.35">
      <c r="A1391">
        <v>10428918</v>
      </c>
      <c r="B1391" t="s">
        <v>36</v>
      </c>
      <c r="C1391" t="s">
        <v>37</v>
      </c>
      <c r="D1391" s="6" t="s">
        <v>38</v>
      </c>
      <c r="E1391" t="s">
        <v>4167</v>
      </c>
      <c r="F1391" t="s">
        <v>40</v>
      </c>
      <c r="G1391" t="s">
        <v>41</v>
      </c>
      <c r="H1391" t="s">
        <v>4168</v>
      </c>
      <c r="I1391" t="s">
        <v>43</v>
      </c>
      <c r="J1391">
        <v>2</v>
      </c>
      <c r="K1391" t="s">
        <v>44</v>
      </c>
      <c r="L1391" t="s">
        <v>45</v>
      </c>
      <c r="M1391" t="s">
        <v>46</v>
      </c>
      <c r="N1391" s="7">
        <v>2</v>
      </c>
      <c r="O1391" s="8">
        <v>45634.75273148148</v>
      </c>
      <c r="P1391" s="9">
        <v>45636</v>
      </c>
      <c r="Q1391" t="s">
        <v>74</v>
      </c>
      <c r="R1391" t="s">
        <v>48</v>
      </c>
      <c r="S1391" t="s">
        <v>49</v>
      </c>
      <c r="T1391" t="s">
        <v>101</v>
      </c>
      <c r="U1391" t="s">
        <v>4169</v>
      </c>
      <c r="V1391">
        <v>33400</v>
      </c>
      <c r="W1391" t="s">
        <v>48</v>
      </c>
      <c r="X1391" t="s">
        <v>465</v>
      </c>
      <c r="Y1391" t="s">
        <v>54</v>
      </c>
      <c r="Z1391" s="12">
        <f>IF(N1391&lt;=1,9,9+0.8*ROUNDUP(N1391-1,0))</f>
        <v>9.8000000000000007</v>
      </c>
      <c r="AA1391" s="11">
        <v>-2</v>
      </c>
      <c r="AB1391" s="11">
        <v>0</v>
      </c>
      <c r="AC1391" s="11">
        <v>0</v>
      </c>
      <c r="AD1391" s="11">
        <v>0</v>
      </c>
      <c r="AE1391" s="11">
        <v>0</v>
      </c>
      <c r="AF1391" s="11">
        <f t="shared" si="63"/>
        <v>0.46800000000000003</v>
      </c>
      <c r="AG1391" s="11">
        <f t="shared" si="64"/>
        <v>8.2680000000000007</v>
      </c>
      <c r="AH1391" s="11">
        <v>0</v>
      </c>
      <c r="AI1391" s="11">
        <f t="shared" si="65"/>
        <v>8.2680000000000007</v>
      </c>
      <c r="AJ1391" t="s">
        <v>62</v>
      </c>
    </row>
    <row r="1392" spans="1:36" ht="15" customHeight="1" x14ac:dyDescent="0.35">
      <c r="A1392">
        <v>10428918</v>
      </c>
      <c r="B1392" t="s">
        <v>36</v>
      </c>
      <c r="C1392" t="s">
        <v>37</v>
      </c>
      <c r="D1392" s="6" t="s">
        <v>38</v>
      </c>
      <c r="E1392" t="s">
        <v>4170</v>
      </c>
      <c r="F1392" t="s">
        <v>40</v>
      </c>
      <c r="G1392" t="s">
        <v>41</v>
      </c>
      <c r="H1392" t="s">
        <v>4171</v>
      </c>
      <c r="I1392" t="s">
        <v>43</v>
      </c>
      <c r="J1392">
        <v>2</v>
      </c>
      <c r="K1392" t="s">
        <v>44</v>
      </c>
      <c r="L1392" t="s">
        <v>45</v>
      </c>
      <c r="M1392" t="s">
        <v>46</v>
      </c>
      <c r="N1392" s="7">
        <v>1</v>
      </c>
      <c r="O1392" s="8">
        <v>45631.84270833333</v>
      </c>
      <c r="P1392" s="9">
        <v>45636</v>
      </c>
      <c r="Q1392" t="s">
        <v>58</v>
      </c>
      <c r="R1392" t="s">
        <v>48</v>
      </c>
      <c r="S1392" t="s">
        <v>49</v>
      </c>
      <c r="T1392" t="s">
        <v>50</v>
      </c>
      <c r="U1392" t="s">
        <v>4172</v>
      </c>
      <c r="V1392">
        <v>91308</v>
      </c>
      <c r="W1392" t="s">
        <v>52</v>
      </c>
      <c r="X1392" t="s">
        <v>53</v>
      </c>
      <c r="Y1392" t="s">
        <v>54</v>
      </c>
      <c r="Z1392" s="10">
        <f>IF(N1392&lt;=1,13,IF(N1392&lt;=2,23,IF(N1392&lt;=3,35,IF(N1392&lt;=4,43,IF(N1392&lt;=5,53,IF(N1392&lt;=6,63,IF(N1392&lt;=7,71,IF(N1392&lt;=8,79,IF(N1392&lt;=9,87,IF(N1392&lt;=10,95,IF(N1392&lt;=11,105,IF(N1392&lt;=12,114,IF(N1392&lt;=13,119,IF(N1392&lt;=14,127,IF(N1392&lt;=15,135,IF(N1392&lt;=16,143,IF(N1392&lt;=17,153,IF(N1392&lt;=18,163,IF(N1392&lt;=19,171,IF(N1392&lt;=20,185,IF(N1392&lt;=21,193,IF(N1392&lt;=22,201,IF(N1392&lt;=23,210,IF(N1392&lt;=24,220,IF(N1392&lt;=25,230,IF(N1392&lt;=26,240,IF(N1392&lt;=27,250,IF(N1392&lt;=28,260,IF(N1392&lt;=29,270,IF(N1392&lt;=30,280,280+10*ROUNDUP(N1392-30,0)))))))))))))))))))))))))))))))</f>
        <v>13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f t="shared" si="63"/>
        <v>0.78</v>
      </c>
      <c r="AG1392" s="11">
        <f t="shared" si="64"/>
        <v>13.78</v>
      </c>
      <c r="AH1392" s="11">
        <v>0</v>
      </c>
      <c r="AI1392" s="11">
        <f t="shared" si="65"/>
        <v>13.78</v>
      </c>
      <c r="AJ1392" t="s">
        <v>55</v>
      </c>
    </row>
    <row r="1393" spans="1:36" ht="15" customHeight="1" x14ac:dyDescent="0.35">
      <c r="A1393">
        <v>10428918</v>
      </c>
      <c r="B1393" t="s">
        <v>36</v>
      </c>
      <c r="C1393" t="s">
        <v>37</v>
      </c>
      <c r="D1393" s="6" t="s">
        <v>38</v>
      </c>
      <c r="E1393" t="s">
        <v>4173</v>
      </c>
      <c r="F1393" t="s">
        <v>40</v>
      </c>
      <c r="G1393" t="s">
        <v>41</v>
      </c>
      <c r="H1393" t="s">
        <v>341</v>
      </c>
      <c r="I1393" t="s">
        <v>43</v>
      </c>
      <c r="J1393">
        <v>2</v>
      </c>
      <c r="K1393" t="s">
        <v>44</v>
      </c>
      <c r="L1393" t="s">
        <v>45</v>
      </c>
      <c r="M1393" t="s">
        <v>46</v>
      </c>
      <c r="N1393" s="7">
        <v>1</v>
      </c>
      <c r="O1393" s="8">
        <v>45635.658101851855</v>
      </c>
      <c r="P1393" s="9">
        <v>45636</v>
      </c>
      <c r="Q1393" t="s">
        <v>74</v>
      </c>
      <c r="R1393" t="s">
        <v>48</v>
      </c>
      <c r="S1393" t="s">
        <v>49</v>
      </c>
      <c r="T1393" t="s">
        <v>170</v>
      </c>
      <c r="U1393" t="s">
        <v>342</v>
      </c>
      <c r="V1393">
        <v>56100</v>
      </c>
      <c r="W1393" t="s">
        <v>48</v>
      </c>
      <c r="X1393" t="s">
        <v>343</v>
      </c>
      <c r="Y1393" t="s">
        <v>54</v>
      </c>
      <c r="Z1393" s="12">
        <f>IF(N1393&lt;=1,9,9+0.8*ROUNDUP(N1393-1,0))</f>
        <v>9</v>
      </c>
      <c r="AA1393" s="11">
        <v>-2</v>
      </c>
      <c r="AB1393" s="11">
        <v>0</v>
      </c>
      <c r="AC1393" s="11">
        <v>0</v>
      </c>
      <c r="AD1393" s="11">
        <v>0</v>
      </c>
      <c r="AE1393" s="11">
        <v>0</v>
      </c>
      <c r="AF1393" s="11">
        <f t="shared" si="63"/>
        <v>0.42</v>
      </c>
      <c r="AG1393" s="11">
        <f t="shared" si="64"/>
        <v>7.42</v>
      </c>
      <c r="AH1393" s="11">
        <v>0</v>
      </c>
      <c r="AI1393" s="11">
        <f t="shared" si="65"/>
        <v>7.42</v>
      </c>
      <c r="AJ1393" t="s">
        <v>62</v>
      </c>
    </row>
    <row r="1394" spans="1:36" ht="15" customHeight="1" x14ac:dyDescent="0.35">
      <c r="A1394">
        <v>10428918</v>
      </c>
      <c r="B1394" t="s">
        <v>36</v>
      </c>
      <c r="C1394" t="s">
        <v>37</v>
      </c>
      <c r="D1394" s="6" t="s">
        <v>38</v>
      </c>
      <c r="E1394" t="s">
        <v>4174</v>
      </c>
      <c r="F1394" t="s">
        <v>40</v>
      </c>
      <c r="G1394" t="s">
        <v>41</v>
      </c>
      <c r="H1394" t="s">
        <v>4175</v>
      </c>
      <c r="I1394" t="s">
        <v>43</v>
      </c>
      <c r="J1394">
        <v>2</v>
      </c>
      <c r="K1394" t="s">
        <v>44</v>
      </c>
      <c r="L1394" t="s">
        <v>45</v>
      </c>
      <c r="M1394" t="s">
        <v>46</v>
      </c>
      <c r="N1394" s="7">
        <v>2</v>
      </c>
      <c r="O1394" s="8">
        <v>45633.413553240738</v>
      </c>
      <c r="P1394" s="9">
        <v>45636</v>
      </c>
      <c r="Q1394" t="s">
        <v>74</v>
      </c>
      <c r="R1394" t="s">
        <v>48</v>
      </c>
      <c r="S1394" t="s">
        <v>49</v>
      </c>
      <c r="T1394" t="s">
        <v>69</v>
      </c>
      <c r="U1394" t="s">
        <v>4176</v>
      </c>
      <c r="V1394">
        <v>83000</v>
      </c>
      <c r="W1394" t="s">
        <v>48</v>
      </c>
      <c r="X1394" t="s">
        <v>71</v>
      </c>
      <c r="Y1394" t="s">
        <v>54</v>
      </c>
      <c r="Z1394" s="12">
        <f>IF(N1394&lt;=1,9,9+0.8*ROUNDUP(N1394-1,0))</f>
        <v>9.8000000000000007</v>
      </c>
      <c r="AA1394" s="11">
        <v>-2</v>
      </c>
      <c r="AB1394" s="11">
        <v>0</v>
      </c>
      <c r="AC1394" s="11">
        <v>0</v>
      </c>
      <c r="AD1394" s="11">
        <v>0</v>
      </c>
      <c r="AE1394" s="11">
        <v>0</v>
      </c>
      <c r="AF1394" s="11">
        <f t="shared" si="63"/>
        <v>0.46800000000000003</v>
      </c>
      <c r="AG1394" s="11">
        <f t="shared" si="64"/>
        <v>8.2680000000000007</v>
      </c>
      <c r="AH1394" s="11">
        <v>0</v>
      </c>
      <c r="AI1394" s="11">
        <f t="shared" si="65"/>
        <v>8.2680000000000007</v>
      </c>
      <c r="AJ1394" t="s">
        <v>62</v>
      </c>
    </row>
    <row r="1395" spans="1:36" ht="15" customHeight="1" x14ac:dyDescent="0.35">
      <c r="A1395">
        <v>10428918</v>
      </c>
      <c r="B1395" t="s">
        <v>36</v>
      </c>
      <c r="C1395" t="s">
        <v>37</v>
      </c>
      <c r="D1395" s="6" t="s">
        <v>38</v>
      </c>
      <c r="E1395" t="s">
        <v>4177</v>
      </c>
      <c r="F1395" t="s">
        <v>40</v>
      </c>
      <c r="G1395" t="s">
        <v>41</v>
      </c>
      <c r="H1395" t="s">
        <v>4178</v>
      </c>
      <c r="I1395" t="s">
        <v>43</v>
      </c>
      <c r="J1395">
        <v>2</v>
      </c>
      <c r="K1395" t="s">
        <v>44</v>
      </c>
      <c r="L1395" t="s">
        <v>45</v>
      </c>
      <c r="M1395" t="s">
        <v>46</v>
      </c>
      <c r="N1395" s="7">
        <v>2</v>
      </c>
      <c r="O1395" s="8">
        <v>45635.410694444443</v>
      </c>
      <c r="P1395" s="9">
        <v>45636</v>
      </c>
      <c r="Q1395" t="s">
        <v>74</v>
      </c>
      <c r="R1395" t="s">
        <v>48</v>
      </c>
      <c r="S1395" t="s">
        <v>49</v>
      </c>
      <c r="T1395" t="s">
        <v>59</v>
      </c>
      <c r="U1395" t="s">
        <v>4179</v>
      </c>
      <c r="V1395">
        <v>16020</v>
      </c>
      <c r="W1395" t="s">
        <v>48</v>
      </c>
      <c r="X1395" t="s">
        <v>61</v>
      </c>
      <c r="Y1395" t="s">
        <v>54</v>
      </c>
      <c r="Z1395" s="12">
        <f>IF(N1395&lt;=1,9,9+0.8*ROUNDUP(N1395-1,0))</f>
        <v>9.8000000000000007</v>
      </c>
      <c r="AA1395" s="11">
        <v>-2</v>
      </c>
      <c r="AB1395" s="11">
        <v>0</v>
      </c>
      <c r="AC1395" s="11">
        <v>0</v>
      </c>
      <c r="AD1395" s="11">
        <v>0</v>
      </c>
      <c r="AE1395" s="11">
        <v>0</v>
      </c>
      <c r="AF1395" s="11">
        <f t="shared" si="63"/>
        <v>0.46800000000000003</v>
      </c>
      <c r="AG1395" s="11">
        <f t="shared" si="64"/>
        <v>8.2680000000000007</v>
      </c>
      <c r="AH1395" s="11">
        <v>0</v>
      </c>
      <c r="AI1395" s="11">
        <f t="shared" si="65"/>
        <v>8.2680000000000007</v>
      </c>
      <c r="AJ1395" t="s">
        <v>62</v>
      </c>
    </row>
    <row r="1396" spans="1:36" ht="15" customHeight="1" x14ac:dyDescent="0.35">
      <c r="A1396">
        <v>10428918</v>
      </c>
      <c r="B1396" t="s">
        <v>36</v>
      </c>
      <c r="C1396" t="s">
        <v>37</v>
      </c>
      <c r="D1396" s="6" t="s">
        <v>38</v>
      </c>
      <c r="E1396" t="s">
        <v>4180</v>
      </c>
      <c r="F1396" t="s">
        <v>40</v>
      </c>
      <c r="G1396" t="s">
        <v>41</v>
      </c>
      <c r="H1396" t="s">
        <v>4181</v>
      </c>
      <c r="I1396" t="s">
        <v>43</v>
      </c>
      <c r="J1396">
        <v>2</v>
      </c>
      <c r="K1396" t="s">
        <v>44</v>
      </c>
      <c r="L1396" t="s">
        <v>45</v>
      </c>
      <c r="M1396" t="s">
        <v>46</v>
      </c>
      <c r="N1396" s="7">
        <v>1</v>
      </c>
      <c r="O1396" s="8">
        <v>45635.612407407411</v>
      </c>
      <c r="P1396" s="9">
        <v>45636</v>
      </c>
      <c r="Q1396" t="s">
        <v>74</v>
      </c>
      <c r="R1396" t="s">
        <v>48</v>
      </c>
      <c r="S1396" t="s">
        <v>49</v>
      </c>
      <c r="T1396" t="s">
        <v>117</v>
      </c>
      <c r="U1396" t="s">
        <v>4182</v>
      </c>
      <c r="V1396">
        <v>43000</v>
      </c>
      <c r="W1396" t="s">
        <v>48</v>
      </c>
      <c r="X1396" t="s">
        <v>4183</v>
      </c>
      <c r="Y1396" t="s">
        <v>54</v>
      </c>
      <c r="Z1396" s="12">
        <f>IF(N1396&lt;=1,9,9+0.8*ROUNDUP(N1396-1,0))</f>
        <v>9</v>
      </c>
      <c r="AA1396" s="11">
        <v>-2</v>
      </c>
      <c r="AB1396" s="11">
        <v>0</v>
      </c>
      <c r="AC1396" s="11">
        <v>0</v>
      </c>
      <c r="AD1396" s="11">
        <v>0</v>
      </c>
      <c r="AE1396" s="11">
        <v>0</v>
      </c>
      <c r="AF1396" s="11">
        <f t="shared" si="63"/>
        <v>0.42</v>
      </c>
      <c r="AG1396" s="11">
        <f t="shared" si="64"/>
        <v>7.42</v>
      </c>
      <c r="AH1396" s="11">
        <v>0</v>
      </c>
      <c r="AI1396" s="11">
        <f t="shared" si="65"/>
        <v>7.42</v>
      </c>
      <c r="AJ1396" t="s">
        <v>62</v>
      </c>
    </row>
    <row r="1397" spans="1:36" ht="15" customHeight="1" x14ac:dyDescent="0.35">
      <c r="A1397">
        <v>10428918</v>
      </c>
      <c r="B1397" t="s">
        <v>36</v>
      </c>
      <c r="C1397" t="s">
        <v>37</v>
      </c>
      <c r="D1397" s="6" t="s">
        <v>38</v>
      </c>
      <c r="E1397" t="s">
        <v>4184</v>
      </c>
      <c r="F1397" t="s">
        <v>40</v>
      </c>
      <c r="G1397" t="s">
        <v>41</v>
      </c>
      <c r="H1397" t="s">
        <v>4185</v>
      </c>
      <c r="I1397" t="s">
        <v>43</v>
      </c>
      <c r="J1397">
        <v>2</v>
      </c>
      <c r="K1397" t="s">
        <v>44</v>
      </c>
      <c r="L1397" t="s">
        <v>45</v>
      </c>
      <c r="M1397" t="s">
        <v>46</v>
      </c>
      <c r="N1397" s="7">
        <v>3</v>
      </c>
      <c r="O1397" s="8">
        <v>45633.856504629628</v>
      </c>
      <c r="P1397" s="9">
        <v>45636</v>
      </c>
      <c r="Q1397" t="s">
        <v>74</v>
      </c>
      <c r="R1397" t="s">
        <v>48</v>
      </c>
      <c r="S1397" t="s">
        <v>49</v>
      </c>
      <c r="T1397" t="s">
        <v>117</v>
      </c>
      <c r="U1397" t="s">
        <v>4186</v>
      </c>
      <c r="V1397">
        <v>43100</v>
      </c>
      <c r="W1397" t="s">
        <v>48</v>
      </c>
      <c r="X1397" t="s">
        <v>53</v>
      </c>
      <c r="Y1397" t="s">
        <v>54</v>
      </c>
      <c r="Z1397" s="12">
        <f>IF(N1397&lt;=1,9,9+0.8*ROUNDUP(N1397-1,0))</f>
        <v>10.6</v>
      </c>
      <c r="AA1397" s="11">
        <v>-2</v>
      </c>
      <c r="AB1397" s="11">
        <v>0</v>
      </c>
      <c r="AC1397" s="11">
        <v>0</v>
      </c>
      <c r="AD1397" s="11">
        <v>0</v>
      </c>
      <c r="AE1397" s="11">
        <v>0</v>
      </c>
      <c r="AF1397" s="11">
        <f t="shared" si="63"/>
        <v>0.51600000000000001</v>
      </c>
      <c r="AG1397" s="11">
        <f t="shared" si="64"/>
        <v>9.1159999999999997</v>
      </c>
      <c r="AH1397" s="11">
        <v>0</v>
      </c>
      <c r="AI1397" s="11">
        <f t="shared" si="65"/>
        <v>9.1159999999999997</v>
      </c>
      <c r="AJ1397" t="s">
        <v>62</v>
      </c>
    </row>
    <row r="1398" spans="1:36" ht="15" customHeight="1" x14ac:dyDescent="0.35">
      <c r="A1398">
        <v>10428918</v>
      </c>
      <c r="B1398" t="s">
        <v>36</v>
      </c>
      <c r="C1398" t="s">
        <v>37</v>
      </c>
      <c r="D1398" s="6" t="s">
        <v>38</v>
      </c>
      <c r="E1398" t="s">
        <v>4187</v>
      </c>
      <c r="F1398" t="s">
        <v>40</v>
      </c>
      <c r="G1398" t="s">
        <v>41</v>
      </c>
      <c r="H1398" t="s">
        <v>605</v>
      </c>
      <c r="I1398" t="s">
        <v>43</v>
      </c>
      <c r="J1398">
        <v>2</v>
      </c>
      <c r="K1398" t="s">
        <v>44</v>
      </c>
      <c r="L1398" t="s">
        <v>45</v>
      </c>
      <c r="M1398" t="s">
        <v>46</v>
      </c>
      <c r="N1398" s="7">
        <v>3</v>
      </c>
      <c r="O1398" s="8">
        <v>45635.658113425925</v>
      </c>
      <c r="P1398" s="9">
        <v>45636</v>
      </c>
      <c r="Q1398" t="s">
        <v>74</v>
      </c>
      <c r="R1398" t="s">
        <v>48</v>
      </c>
      <c r="S1398" t="s">
        <v>49</v>
      </c>
      <c r="T1398" t="s">
        <v>59</v>
      </c>
      <c r="U1398" t="s">
        <v>606</v>
      </c>
      <c r="V1398">
        <v>18300</v>
      </c>
      <c r="W1398" t="s">
        <v>48</v>
      </c>
      <c r="X1398" t="s">
        <v>61</v>
      </c>
      <c r="Y1398" t="s">
        <v>54</v>
      </c>
      <c r="Z1398" s="12">
        <f>IF(N1398&lt;=1,9,9+0.8*ROUNDUP(N1398-1,0))</f>
        <v>10.6</v>
      </c>
      <c r="AA1398" s="11">
        <v>-2</v>
      </c>
      <c r="AB1398" s="11">
        <v>0</v>
      </c>
      <c r="AC1398" s="11">
        <v>0</v>
      </c>
      <c r="AD1398" s="11">
        <v>0</v>
      </c>
      <c r="AE1398" s="11">
        <v>0</v>
      </c>
      <c r="AF1398" s="11">
        <f t="shared" si="63"/>
        <v>0.51600000000000001</v>
      </c>
      <c r="AG1398" s="11">
        <f t="shared" si="64"/>
        <v>9.1159999999999997</v>
      </c>
      <c r="AH1398" s="11">
        <v>0</v>
      </c>
      <c r="AI1398" s="11">
        <f t="shared" si="65"/>
        <v>9.1159999999999997</v>
      </c>
      <c r="AJ1398" t="s">
        <v>62</v>
      </c>
    </row>
    <row r="1399" spans="1:36" ht="15" customHeight="1" x14ac:dyDescent="0.35">
      <c r="A1399">
        <v>10428918</v>
      </c>
      <c r="B1399" t="s">
        <v>36</v>
      </c>
      <c r="C1399" t="s">
        <v>37</v>
      </c>
      <c r="D1399" s="6" t="s">
        <v>38</v>
      </c>
      <c r="E1399" t="s">
        <v>4188</v>
      </c>
      <c r="F1399" t="s">
        <v>40</v>
      </c>
      <c r="G1399" t="s">
        <v>41</v>
      </c>
      <c r="H1399" t="s">
        <v>4189</v>
      </c>
      <c r="I1399" t="s">
        <v>43</v>
      </c>
      <c r="J1399">
        <v>2</v>
      </c>
      <c r="K1399" t="s">
        <v>44</v>
      </c>
      <c r="L1399" t="s">
        <v>45</v>
      </c>
      <c r="M1399" t="s">
        <v>46</v>
      </c>
      <c r="N1399" s="7">
        <v>3</v>
      </c>
      <c r="O1399" s="8">
        <v>45635.658113425925</v>
      </c>
      <c r="P1399" s="9">
        <v>45636</v>
      </c>
      <c r="Q1399" t="s">
        <v>74</v>
      </c>
      <c r="R1399" t="s">
        <v>48</v>
      </c>
      <c r="S1399" t="s">
        <v>49</v>
      </c>
      <c r="T1399" t="s">
        <v>75</v>
      </c>
      <c r="U1399" t="s">
        <v>4190</v>
      </c>
      <c r="V1399">
        <v>28000</v>
      </c>
      <c r="W1399" t="s">
        <v>48</v>
      </c>
      <c r="X1399" t="s">
        <v>77</v>
      </c>
      <c r="Y1399" t="s">
        <v>54</v>
      </c>
      <c r="Z1399" s="12">
        <f>IF(N1399&lt;=1,9,9+0.8*ROUNDUP(N1399-1,0))</f>
        <v>10.6</v>
      </c>
      <c r="AA1399" s="11">
        <v>-2</v>
      </c>
      <c r="AB1399" s="11">
        <v>0</v>
      </c>
      <c r="AC1399" s="11">
        <v>0</v>
      </c>
      <c r="AD1399" s="11">
        <v>0</v>
      </c>
      <c r="AE1399" s="11">
        <v>0</v>
      </c>
      <c r="AF1399" s="11">
        <f t="shared" si="63"/>
        <v>0.51600000000000001</v>
      </c>
      <c r="AG1399" s="11">
        <f t="shared" si="64"/>
        <v>9.1159999999999997</v>
      </c>
      <c r="AH1399" s="11">
        <v>0</v>
      </c>
      <c r="AI1399" s="11">
        <f t="shared" si="65"/>
        <v>9.1159999999999997</v>
      </c>
      <c r="AJ1399" t="s">
        <v>62</v>
      </c>
    </row>
    <row r="1400" spans="1:36" ht="15" customHeight="1" x14ac:dyDescent="0.35">
      <c r="A1400">
        <v>10428918</v>
      </c>
      <c r="B1400" t="s">
        <v>36</v>
      </c>
      <c r="C1400" t="s">
        <v>37</v>
      </c>
      <c r="D1400" s="6" t="s">
        <v>38</v>
      </c>
      <c r="E1400" t="s">
        <v>4191</v>
      </c>
      <c r="F1400" t="s">
        <v>40</v>
      </c>
      <c r="G1400" t="s">
        <v>41</v>
      </c>
      <c r="H1400" t="s">
        <v>169</v>
      </c>
      <c r="I1400" t="s">
        <v>43</v>
      </c>
      <c r="J1400">
        <v>2</v>
      </c>
      <c r="K1400" t="s">
        <v>44</v>
      </c>
      <c r="L1400" t="s">
        <v>45</v>
      </c>
      <c r="M1400" t="s">
        <v>46</v>
      </c>
      <c r="N1400" s="7">
        <v>1</v>
      </c>
      <c r="O1400" s="8">
        <v>45635.658113425925</v>
      </c>
      <c r="P1400" s="9">
        <v>45636</v>
      </c>
      <c r="Q1400" t="s">
        <v>74</v>
      </c>
      <c r="R1400" t="s">
        <v>48</v>
      </c>
      <c r="S1400" t="s">
        <v>49</v>
      </c>
      <c r="T1400" t="s">
        <v>170</v>
      </c>
      <c r="U1400" t="s">
        <v>171</v>
      </c>
      <c r="V1400">
        <v>55100</v>
      </c>
      <c r="W1400" t="s">
        <v>48</v>
      </c>
      <c r="X1400" t="s">
        <v>172</v>
      </c>
      <c r="Y1400" t="s">
        <v>54</v>
      </c>
      <c r="Z1400" s="12">
        <f>IF(N1400&lt;=1,9,9+0.8*ROUNDUP(N1400-1,0))</f>
        <v>9</v>
      </c>
      <c r="AA1400" s="11">
        <v>-2</v>
      </c>
      <c r="AB1400" s="11">
        <v>0</v>
      </c>
      <c r="AC1400" s="11">
        <v>0</v>
      </c>
      <c r="AD1400" s="11">
        <v>0</v>
      </c>
      <c r="AE1400" s="11">
        <v>0</v>
      </c>
      <c r="AF1400" s="11">
        <f t="shared" si="63"/>
        <v>0.42</v>
      </c>
      <c r="AG1400" s="11">
        <f t="shared" si="64"/>
        <v>7.42</v>
      </c>
      <c r="AH1400" s="11">
        <v>0</v>
      </c>
      <c r="AI1400" s="11">
        <f t="shared" si="65"/>
        <v>7.42</v>
      </c>
      <c r="AJ1400" t="s">
        <v>62</v>
      </c>
    </row>
    <row r="1401" spans="1:36" ht="15" customHeight="1" x14ac:dyDescent="0.35">
      <c r="A1401">
        <v>10428918</v>
      </c>
      <c r="B1401" t="s">
        <v>36</v>
      </c>
      <c r="C1401" t="s">
        <v>37</v>
      </c>
      <c r="D1401" s="6" t="s">
        <v>38</v>
      </c>
      <c r="E1401" t="s">
        <v>4192</v>
      </c>
      <c r="F1401" t="s">
        <v>40</v>
      </c>
      <c r="G1401" t="s">
        <v>41</v>
      </c>
      <c r="H1401" t="s">
        <v>165</v>
      </c>
      <c r="I1401" t="s">
        <v>43</v>
      </c>
      <c r="J1401">
        <v>2</v>
      </c>
      <c r="K1401" t="s">
        <v>44</v>
      </c>
      <c r="L1401" t="s">
        <v>45</v>
      </c>
      <c r="M1401" t="s">
        <v>46</v>
      </c>
      <c r="N1401" s="7">
        <v>2</v>
      </c>
      <c r="O1401" s="8">
        <v>45633.848356481481</v>
      </c>
      <c r="P1401" s="9">
        <v>45636</v>
      </c>
      <c r="Q1401" t="s">
        <v>74</v>
      </c>
      <c r="R1401" t="s">
        <v>48</v>
      </c>
      <c r="S1401" t="s">
        <v>49</v>
      </c>
      <c r="T1401" t="s">
        <v>65</v>
      </c>
      <c r="U1401" t="s">
        <v>4193</v>
      </c>
      <c r="V1401">
        <v>75150</v>
      </c>
      <c r="W1401" t="s">
        <v>48</v>
      </c>
      <c r="X1401" t="s">
        <v>167</v>
      </c>
      <c r="Y1401" t="s">
        <v>54</v>
      </c>
      <c r="Z1401" s="12">
        <f>IF(N1401&lt;=1,9,9+0.8*ROUNDUP(N1401-1,0))</f>
        <v>9.8000000000000007</v>
      </c>
      <c r="AA1401" s="11">
        <v>-2</v>
      </c>
      <c r="AB1401" s="11">
        <v>0</v>
      </c>
      <c r="AC1401" s="11">
        <v>0</v>
      </c>
      <c r="AD1401" s="11">
        <v>0</v>
      </c>
      <c r="AE1401" s="11">
        <v>0</v>
      </c>
      <c r="AF1401" s="11">
        <f t="shared" si="63"/>
        <v>0.46800000000000003</v>
      </c>
      <c r="AG1401" s="11">
        <f t="shared" si="64"/>
        <v>8.2680000000000007</v>
      </c>
      <c r="AH1401" s="11">
        <v>0</v>
      </c>
      <c r="AI1401" s="11">
        <f t="shared" si="65"/>
        <v>8.2680000000000007</v>
      </c>
      <c r="AJ1401" t="s">
        <v>62</v>
      </c>
    </row>
    <row r="1402" spans="1:36" ht="15" customHeight="1" x14ac:dyDescent="0.35">
      <c r="A1402">
        <v>10428918</v>
      </c>
      <c r="B1402" t="s">
        <v>36</v>
      </c>
      <c r="C1402" t="s">
        <v>37</v>
      </c>
      <c r="D1402" s="6" t="s">
        <v>38</v>
      </c>
      <c r="E1402" t="s">
        <v>4194</v>
      </c>
      <c r="F1402" t="s">
        <v>40</v>
      </c>
      <c r="G1402" t="s">
        <v>41</v>
      </c>
      <c r="H1402" t="s">
        <v>4195</v>
      </c>
      <c r="I1402" t="s">
        <v>43</v>
      </c>
      <c r="J1402">
        <v>2</v>
      </c>
      <c r="K1402" t="s">
        <v>44</v>
      </c>
      <c r="L1402" t="s">
        <v>45</v>
      </c>
      <c r="M1402" t="s">
        <v>46</v>
      </c>
      <c r="N1402" s="7">
        <v>2</v>
      </c>
      <c r="O1402" s="8">
        <v>45635.41070601852</v>
      </c>
      <c r="P1402" s="9">
        <v>45637</v>
      </c>
      <c r="Q1402" t="s">
        <v>74</v>
      </c>
      <c r="R1402" t="s">
        <v>48</v>
      </c>
      <c r="S1402" t="s">
        <v>49</v>
      </c>
      <c r="T1402" t="s">
        <v>69</v>
      </c>
      <c r="U1402" t="s">
        <v>4196</v>
      </c>
      <c r="V1402">
        <v>81700</v>
      </c>
      <c r="W1402" t="s">
        <v>48</v>
      </c>
      <c r="X1402" t="s">
        <v>841</v>
      </c>
      <c r="Y1402" t="s">
        <v>54</v>
      </c>
      <c r="Z1402" s="12">
        <f>IF(N1402&lt;=1,9,9+0.8*ROUNDUP(N1402-1,0))</f>
        <v>9.8000000000000007</v>
      </c>
      <c r="AA1402" s="11">
        <v>-2</v>
      </c>
      <c r="AB1402" s="11">
        <v>0</v>
      </c>
      <c r="AC1402" s="11">
        <v>0</v>
      </c>
      <c r="AD1402" s="11">
        <v>0</v>
      </c>
      <c r="AE1402" s="11">
        <v>0</v>
      </c>
      <c r="AF1402" s="11">
        <f t="shared" si="63"/>
        <v>0.46800000000000003</v>
      </c>
      <c r="AG1402" s="11">
        <f t="shared" si="64"/>
        <v>8.2680000000000007</v>
      </c>
      <c r="AH1402" s="11">
        <v>0</v>
      </c>
      <c r="AI1402" s="11">
        <f t="shared" si="65"/>
        <v>8.2680000000000007</v>
      </c>
      <c r="AJ1402" t="s">
        <v>62</v>
      </c>
    </row>
    <row r="1403" spans="1:36" ht="15" customHeight="1" x14ac:dyDescent="0.35">
      <c r="A1403">
        <v>10428918</v>
      </c>
      <c r="B1403" t="s">
        <v>36</v>
      </c>
      <c r="C1403" t="s">
        <v>37</v>
      </c>
      <c r="D1403" s="6" t="s">
        <v>38</v>
      </c>
      <c r="E1403" t="s">
        <v>4197</v>
      </c>
      <c r="F1403" t="s">
        <v>40</v>
      </c>
      <c r="G1403" t="s">
        <v>41</v>
      </c>
      <c r="H1403" t="s">
        <v>4198</v>
      </c>
      <c r="I1403" t="s">
        <v>43</v>
      </c>
      <c r="J1403">
        <v>2</v>
      </c>
      <c r="K1403" t="s">
        <v>44</v>
      </c>
      <c r="L1403" t="s">
        <v>45</v>
      </c>
      <c r="M1403" t="s">
        <v>46</v>
      </c>
      <c r="N1403" s="7">
        <v>1</v>
      </c>
      <c r="O1403" s="8">
        <v>45633.842800925922</v>
      </c>
      <c r="P1403" s="9">
        <v>45637</v>
      </c>
      <c r="Q1403" t="s">
        <v>74</v>
      </c>
      <c r="R1403" t="s">
        <v>48</v>
      </c>
      <c r="S1403" t="s">
        <v>49</v>
      </c>
      <c r="T1403" t="s">
        <v>50</v>
      </c>
      <c r="U1403" t="s">
        <v>4199</v>
      </c>
      <c r="V1403">
        <v>88875</v>
      </c>
      <c r="W1403" t="s">
        <v>52</v>
      </c>
      <c r="X1403" t="s">
        <v>53</v>
      </c>
      <c r="Y1403" t="s">
        <v>54</v>
      </c>
      <c r="Z1403" s="10">
        <f>IF(N1403&lt;=1,13,IF(N1403&lt;=2,23,IF(N1403&lt;=3,35,IF(N1403&lt;=4,43,IF(N1403&lt;=5,53,IF(N1403&lt;=6,63,IF(N1403&lt;=7,71,IF(N1403&lt;=8,79,IF(N1403&lt;=9,87,IF(N1403&lt;=10,95,IF(N1403&lt;=11,105,IF(N1403&lt;=12,114,IF(N1403&lt;=13,119,IF(N1403&lt;=14,127,IF(N1403&lt;=15,135,IF(N1403&lt;=16,143,IF(N1403&lt;=17,153,IF(N1403&lt;=18,163,IF(N1403&lt;=19,171,IF(N1403&lt;=20,185,IF(N1403&lt;=21,193,IF(N1403&lt;=22,201,IF(N1403&lt;=23,210,IF(N1403&lt;=24,220,IF(N1403&lt;=25,230,IF(N1403&lt;=26,240,IF(N1403&lt;=27,250,IF(N1403&lt;=28,260,IF(N1403&lt;=29,270,IF(N1403&lt;=30,280,280+10*ROUNDUP(N1403-30,0)))))))))))))))))))))))))))))))</f>
        <v>13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f t="shared" si="63"/>
        <v>0.78</v>
      </c>
      <c r="AG1403" s="11">
        <f t="shared" si="64"/>
        <v>13.78</v>
      </c>
      <c r="AH1403" s="11">
        <v>0</v>
      </c>
      <c r="AI1403" s="11">
        <f t="shared" si="65"/>
        <v>13.78</v>
      </c>
      <c r="AJ1403" t="s">
        <v>55</v>
      </c>
    </row>
    <row r="1404" spans="1:36" ht="15" customHeight="1" x14ac:dyDescent="0.35">
      <c r="A1404">
        <v>10428918</v>
      </c>
      <c r="B1404" t="s">
        <v>36</v>
      </c>
      <c r="C1404" t="s">
        <v>37</v>
      </c>
      <c r="D1404" s="6" t="s">
        <v>38</v>
      </c>
      <c r="E1404" t="s">
        <v>4200</v>
      </c>
      <c r="F1404" t="s">
        <v>40</v>
      </c>
      <c r="G1404" t="s">
        <v>41</v>
      </c>
      <c r="H1404" t="s">
        <v>4201</v>
      </c>
      <c r="I1404" t="s">
        <v>43</v>
      </c>
      <c r="J1404">
        <v>2</v>
      </c>
      <c r="K1404" t="s">
        <v>44</v>
      </c>
      <c r="L1404" t="s">
        <v>45</v>
      </c>
      <c r="M1404" t="s">
        <v>46</v>
      </c>
      <c r="N1404" s="7">
        <v>2</v>
      </c>
      <c r="O1404" s="8">
        <v>45633.838645833333</v>
      </c>
      <c r="P1404" s="9">
        <v>45636</v>
      </c>
      <c r="Q1404" t="s">
        <v>74</v>
      </c>
      <c r="R1404" t="s">
        <v>48</v>
      </c>
      <c r="S1404" t="s">
        <v>49</v>
      </c>
      <c r="T1404" t="s">
        <v>69</v>
      </c>
      <c r="U1404" t="s">
        <v>4202</v>
      </c>
      <c r="V1404">
        <v>81930</v>
      </c>
      <c r="W1404" t="s">
        <v>48</v>
      </c>
      <c r="X1404" t="s">
        <v>53</v>
      </c>
      <c r="Y1404" t="s">
        <v>54</v>
      </c>
      <c r="Z1404" s="12">
        <f>IF(N1404&lt;=1,9,9+0.8*ROUNDUP(N1404-1,0))</f>
        <v>9.8000000000000007</v>
      </c>
      <c r="AA1404" s="11">
        <v>-2</v>
      </c>
      <c r="AB1404" s="11">
        <v>0</v>
      </c>
      <c r="AC1404" s="11">
        <v>0</v>
      </c>
      <c r="AD1404" s="11">
        <v>0</v>
      </c>
      <c r="AE1404" s="11">
        <v>0</v>
      </c>
      <c r="AF1404" s="11">
        <f t="shared" si="63"/>
        <v>0.46800000000000003</v>
      </c>
      <c r="AG1404" s="11">
        <f t="shared" si="64"/>
        <v>8.2680000000000007</v>
      </c>
      <c r="AH1404" s="11">
        <v>0</v>
      </c>
      <c r="AI1404" s="11">
        <f t="shared" si="65"/>
        <v>8.2680000000000007</v>
      </c>
      <c r="AJ1404" t="s">
        <v>62</v>
      </c>
    </row>
    <row r="1405" spans="1:36" ht="15" customHeight="1" x14ac:dyDescent="0.35">
      <c r="A1405">
        <v>10428918</v>
      </c>
      <c r="B1405" t="s">
        <v>36</v>
      </c>
      <c r="C1405" t="s">
        <v>37</v>
      </c>
      <c r="D1405" s="6" t="s">
        <v>38</v>
      </c>
      <c r="E1405" t="s">
        <v>4203</v>
      </c>
      <c r="F1405" t="s">
        <v>40</v>
      </c>
      <c r="G1405" t="s">
        <v>41</v>
      </c>
      <c r="H1405" t="s">
        <v>4204</v>
      </c>
      <c r="I1405" t="s">
        <v>43</v>
      </c>
      <c r="J1405">
        <v>2</v>
      </c>
      <c r="K1405" t="s">
        <v>44</v>
      </c>
      <c r="L1405" t="s">
        <v>45</v>
      </c>
      <c r="M1405" t="s">
        <v>46</v>
      </c>
      <c r="N1405" s="7">
        <v>2</v>
      </c>
      <c r="O1405" s="8">
        <v>45634.795405092591</v>
      </c>
      <c r="P1405" s="9">
        <v>45637</v>
      </c>
      <c r="Q1405" t="s">
        <v>74</v>
      </c>
      <c r="R1405" t="s">
        <v>48</v>
      </c>
      <c r="S1405" t="s">
        <v>49</v>
      </c>
      <c r="T1405" t="s">
        <v>101</v>
      </c>
      <c r="U1405" t="s">
        <v>4205</v>
      </c>
      <c r="V1405">
        <v>31150</v>
      </c>
      <c r="W1405" t="s">
        <v>48</v>
      </c>
      <c r="X1405" t="s">
        <v>1401</v>
      </c>
      <c r="Y1405" t="s">
        <v>54</v>
      </c>
      <c r="Z1405" s="12">
        <f>IF(N1405&lt;=1,9,9+0.8*ROUNDUP(N1405-1,0))</f>
        <v>9.8000000000000007</v>
      </c>
      <c r="AA1405" s="11">
        <v>-2</v>
      </c>
      <c r="AB1405" s="11">
        <v>0</v>
      </c>
      <c r="AC1405" s="11">
        <v>0</v>
      </c>
      <c r="AD1405" s="11">
        <v>0</v>
      </c>
      <c r="AE1405" s="11">
        <v>0</v>
      </c>
      <c r="AF1405" s="11">
        <f t="shared" si="63"/>
        <v>0.46800000000000003</v>
      </c>
      <c r="AG1405" s="11">
        <f t="shared" si="64"/>
        <v>8.2680000000000007</v>
      </c>
      <c r="AH1405" s="11">
        <v>0</v>
      </c>
      <c r="AI1405" s="11">
        <f t="shared" si="65"/>
        <v>8.2680000000000007</v>
      </c>
      <c r="AJ1405" t="s">
        <v>62</v>
      </c>
    </row>
    <row r="1406" spans="1:36" ht="15" customHeight="1" x14ac:dyDescent="0.35">
      <c r="A1406">
        <v>10428918</v>
      </c>
      <c r="B1406" t="s">
        <v>36</v>
      </c>
      <c r="C1406" t="s">
        <v>37</v>
      </c>
      <c r="D1406" s="6" t="s">
        <v>38</v>
      </c>
      <c r="E1406" t="s">
        <v>4206</v>
      </c>
      <c r="F1406" t="s">
        <v>40</v>
      </c>
      <c r="G1406" t="s">
        <v>41</v>
      </c>
      <c r="H1406" t="s">
        <v>4207</v>
      </c>
      <c r="I1406" t="s">
        <v>43</v>
      </c>
      <c r="J1406">
        <v>2</v>
      </c>
      <c r="K1406" t="s">
        <v>44</v>
      </c>
      <c r="L1406" t="s">
        <v>45</v>
      </c>
      <c r="M1406" t="s">
        <v>46</v>
      </c>
      <c r="N1406" s="7">
        <v>1</v>
      </c>
      <c r="O1406" s="8">
        <v>45636.499467592592</v>
      </c>
      <c r="P1406" s="9">
        <v>45637</v>
      </c>
      <c r="Q1406" t="s">
        <v>74</v>
      </c>
      <c r="R1406" t="s">
        <v>48</v>
      </c>
      <c r="S1406" t="s">
        <v>49</v>
      </c>
      <c r="T1406" t="s">
        <v>75</v>
      </c>
      <c r="U1406" t="s">
        <v>4208</v>
      </c>
      <c r="V1406">
        <v>25990</v>
      </c>
      <c r="W1406" t="s">
        <v>48</v>
      </c>
      <c r="X1406" t="s">
        <v>77</v>
      </c>
      <c r="Y1406" t="s">
        <v>54</v>
      </c>
      <c r="Z1406" s="12">
        <f>IF(N1406&lt;=1,9,9+0.8*ROUNDUP(N1406-1,0))</f>
        <v>9</v>
      </c>
      <c r="AA1406" s="11">
        <v>-2</v>
      </c>
      <c r="AB1406" s="11">
        <v>0</v>
      </c>
      <c r="AC1406" s="11">
        <v>0</v>
      </c>
      <c r="AD1406" s="11">
        <v>0</v>
      </c>
      <c r="AE1406" s="11">
        <v>0</v>
      </c>
      <c r="AF1406" s="11">
        <f t="shared" si="63"/>
        <v>0.42</v>
      </c>
      <c r="AG1406" s="11">
        <f t="shared" si="64"/>
        <v>7.42</v>
      </c>
      <c r="AH1406" s="11">
        <v>0</v>
      </c>
      <c r="AI1406" s="11">
        <f t="shared" si="65"/>
        <v>7.42</v>
      </c>
      <c r="AJ1406" t="s">
        <v>62</v>
      </c>
    </row>
    <row r="1407" spans="1:36" ht="15" customHeight="1" x14ac:dyDescent="0.35">
      <c r="A1407">
        <v>10428918</v>
      </c>
      <c r="B1407" t="s">
        <v>36</v>
      </c>
      <c r="C1407" t="s">
        <v>37</v>
      </c>
      <c r="D1407" s="6" t="s">
        <v>38</v>
      </c>
      <c r="E1407" t="s">
        <v>4209</v>
      </c>
      <c r="F1407" t="s">
        <v>40</v>
      </c>
      <c r="G1407" t="s">
        <v>41</v>
      </c>
      <c r="H1407" t="s">
        <v>4210</v>
      </c>
      <c r="I1407" t="s">
        <v>43</v>
      </c>
      <c r="J1407">
        <v>2</v>
      </c>
      <c r="K1407" t="s">
        <v>44</v>
      </c>
      <c r="L1407" t="s">
        <v>45</v>
      </c>
      <c r="M1407" t="s">
        <v>46</v>
      </c>
      <c r="N1407" s="7">
        <v>1</v>
      </c>
      <c r="O1407" s="8">
        <v>45634.775405092594</v>
      </c>
      <c r="P1407" s="9">
        <v>45637</v>
      </c>
      <c r="Q1407" t="s">
        <v>74</v>
      </c>
      <c r="R1407" t="s">
        <v>48</v>
      </c>
      <c r="S1407" t="s">
        <v>49</v>
      </c>
      <c r="T1407" t="s">
        <v>101</v>
      </c>
      <c r="U1407" t="s">
        <v>4211</v>
      </c>
      <c r="V1407">
        <v>31150</v>
      </c>
      <c r="W1407" t="s">
        <v>48</v>
      </c>
      <c r="X1407" t="s">
        <v>1401</v>
      </c>
      <c r="Y1407" t="s">
        <v>54</v>
      </c>
      <c r="Z1407" s="12">
        <f>IF(N1407&lt;=1,9,9+0.8*ROUNDUP(N1407-1,0))</f>
        <v>9</v>
      </c>
      <c r="AA1407" s="11">
        <v>-2</v>
      </c>
      <c r="AB1407" s="11">
        <v>0</v>
      </c>
      <c r="AC1407" s="11">
        <v>0</v>
      </c>
      <c r="AD1407" s="11">
        <v>0</v>
      </c>
      <c r="AE1407" s="11">
        <v>0</v>
      </c>
      <c r="AF1407" s="11">
        <f t="shared" si="63"/>
        <v>0.42</v>
      </c>
      <c r="AG1407" s="11">
        <f t="shared" si="64"/>
        <v>7.42</v>
      </c>
      <c r="AH1407" s="11">
        <v>0</v>
      </c>
      <c r="AI1407" s="11">
        <f t="shared" si="65"/>
        <v>7.42</v>
      </c>
      <c r="AJ1407" t="s">
        <v>62</v>
      </c>
    </row>
    <row r="1408" spans="1:36" ht="15" customHeight="1" x14ac:dyDescent="0.35">
      <c r="A1408">
        <v>10428918</v>
      </c>
      <c r="B1408" t="s">
        <v>36</v>
      </c>
      <c r="C1408" t="s">
        <v>37</v>
      </c>
      <c r="D1408" s="6" t="s">
        <v>38</v>
      </c>
      <c r="E1408" t="s">
        <v>4212</v>
      </c>
      <c r="F1408" t="s">
        <v>40</v>
      </c>
      <c r="G1408" t="s">
        <v>41</v>
      </c>
      <c r="H1408" t="s">
        <v>4213</v>
      </c>
      <c r="I1408" t="s">
        <v>43</v>
      </c>
      <c r="J1408">
        <v>2</v>
      </c>
      <c r="K1408" t="s">
        <v>44</v>
      </c>
      <c r="L1408" t="s">
        <v>45</v>
      </c>
      <c r="M1408" t="s">
        <v>46</v>
      </c>
      <c r="N1408" s="7">
        <v>2</v>
      </c>
      <c r="O1408" s="8">
        <v>45635.69159722222</v>
      </c>
      <c r="P1408" s="9">
        <v>45637</v>
      </c>
      <c r="Q1408" t="s">
        <v>74</v>
      </c>
      <c r="R1408" t="s">
        <v>48</v>
      </c>
      <c r="S1408" t="s">
        <v>49</v>
      </c>
      <c r="T1408" t="s">
        <v>101</v>
      </c>
      <c r="U1408" t="s">
        <v>4214</v>
      </c>
      <c r="V1408">
        <v>32040</v>
      </c>
      <c r="W1408" t="s">
        <v>48</v>
      </c>
      <c r="X1408" t="s">
        <v>1120</v>
      </c>
      <c r="Y1408" t="s">
        <v>54</v>
      </c>
      <c r="Z1408" s="12">
        <f>IF(N1408&lt;=1,9,9+0.8*ROUNDUP(N1408-1,0))</f>
        <v>9.8000000000000007</v>
      </c>
      <c r="AA1408" s="11">
        <v>-2</v>
      </c>
      <c r="AB1408" s="11">
        <v>0</v>
      </c>
      <c r="AC1408" s="11">
        <v>0</v>
      </c>
      <c r="AD1408" s="11">
        <v>0</v>
      </c>
      <c r="AE1408" s="11">
        <v>0</v>
      </c>
      <c r="AF1408" s="11">
        <f t="shared" si="63"/>
        <v>0.46800000000000003</v>
      </c>
      <c r="AG1408" s="11">
        <f t="shared" si="64"/>
        <v>8.2680000000000007</v>
      </c>
      <c r="AH1408" s="11">
        <v>0</v>
      </c>
      <c r="AI1408" s="11">
        <f t="shared" si="65"/>
        <v>8.2680000000000007</v>
      </c>
      <c r="AJ1408" t="s">
        <v>62</v>
      </c>
    </row>
    <row r="1409" spans="1:36" ht="15" customHeight="1" x14ac:dyDescent="0.35">
      <c r="A1409">
        <v>10428918</v>
      </c>
      <c r="B1409" t="s">
        <v>36</v>
      </c>
      <c r="C1409" t="s">
        <v>37</v>
      </c>
      <c r="D1409" s="6" t="s">
        <v>38</v>
      </c>
      <c r="E1409" t="s">
        <v>4215</v>
      </c>
      <c r="F1409" t="s">
        <v>40</v>
      </c>
      <c r="G1409" t="s">
        <v>41</v>
      </c>
      <c r="H1409" t="s">
        <v>4216</v>
      </c>
      <c r="I1409" t="s">
        <v>43</v>
      </c>
      <c r="J1409">
        <v>2</v>
      </c>
      <c r="K1409" t="s">
        <v>44</v>
      </c>
      <c r="L1409" t="s">
        <v>45</v>
      </c>
      <c r="M1409" t="s">
        <v>46</v>
      </c>
      <c r="N1409" s="7">
        <v>1</v>
      </c>
      <c r="O1409" s="8">
        <v>45631.800324074073</v>
      </c>
      <c r="P1409" s="9">
        <v>45637</v>
      </c>
      <c r="Q1409" t="s">
        <v>74</v>
      </c>
      <c r="R1409" t="s">
        <v>48</v>
      </c>
      <c r="S1409" t="s">
        <v>49</v>
      </c>
      <c r="T1409" t="s">
        <v>65</v>
      </c>
      <c r="U1409" t="s">
        <v>4217</v>
      </c>
      <c r="V1409">
        <v>76450</v>
      </c>
      <c r="W1409" t="s">
        <v>48</v>
      </c>
      <c r="X1409" t="s">
        <v>406</v>
      </c>
      <c r="Y1409" t="s">
        <v>54</v>
      </c>
      <c r="Z1409" s="12">
        <f>IF(N1409&lt;=1,9,9+0.8*ROUNDUP(N1409-1,0))</f>
        <v>9</v>
      </c>
      <c r="AA1409" s="11">
        <v>-2</v>
      </c>
      <c r="AB1409" s="11">
        <v>0</v>
      </c>
      <c r="AC1409" s="11">
        <v>0</v>
      </c>
      <c r="AD1409" s="11">
        <v>0</v>
      </c>
      <c r="AE1409" s="11">
        <v>0</v>
      </c>
      <c r="AF1409" s="11">
        <f t="shared" si="63"/>
        <v>0.42</v>
      </c>
      <c r="AG1409" s="11">
        <f t="shared" si="64"/>
        <v>7.42</v>
      </c>
      <c r="AH1409" s="11">
        <v>0</v>
      </c>
      <c r="AI1409" s="11">
        <f t="shared" si="65"/>
        <v>7.42</v>
      </c>
      <c r="AJ1409" t="s">
        <v>62</v>
      </c>
    </row>
    <row r="1410" spans="1:36" ht="15" customHeight="1" x14ac:dyDescent="0.35">
      <c r="A1410">
        <v>10428918</v>
      </c>
      <c r="B1410" t="s">
        <v>36</v>
      </c>
      <c r="C1410" t="s">
        <v>37</v>
      </c>
      <c r="D1410" s="6" t="s">
        <v>38</v>
      </c>
      <c r="E1410" t="s">
        <v>4218</v>
      </c>
      <c r="F1410" t="s">
        <v>40</v>
      </c>
      <c r="G1410" t="s">
        <v>41</v>
      </c>
      <c r="H1410" t="s">
        <v>4219</v>
      </c>
      <c r="I1410" t="s">
        <v>43</v>
      </c>
      <c r="J1410">
        <v>2</v>
      </c>
      <c r="K1410" t="s">
        <v>44</v>
      </c>
      <c r="L1410" t="s">
        <v>45</v>
      </c>
      <c r="M1410" t="s">
        <v>46</v>
      </c>
      <c r="N1410" s="7">
        <v>1</v>
      </c>
      <c r="O1410" s="8">
        <v>45635.658101851855</v>
      </c>
      <c r="P1410" s="9">
        <v>45637</v>
      </c>
      <c r="Q1410" t="s">
        <v>74</v>
      </c>
      <c r="R1410" t="s">
        <v>48</v>
      </c>
      <c r="S1410" t="s">
        <v>49</v>
      </c>
      <c r="T1410" t="s">
        <v>65</v>
      </c>
      <c r="U1410" t="s">
        <v>4220</v>
      </c>
      <c r="V1410">
        <v>75450</v>
      </c>
      <c r="W1410" t="s">
        <v>48</v>
      </c>
      <c r="X1410" t="s">
        <v>480</v>
      </c>
      <c r="Y1410" t="s">
        <v>54</v>
      </c>
      <c r="Z1410" s="12">
        <f>IF(N1410&lt;=1,9,9+0.8*ROUNDUP(N1410-1,0))</f>
        <v>9</v>
      </c>
      <c r="AA1410" s="11">
        <v>-2</v>
      </c>
      <c r="AB1410" s="11">
        <v>0</v>
      </c>
      <c r="AC1410" s="11">
        <v>0</v>
      </c>
      <c r="AD1410" s="11">
        <v>0</v>
      </c>
      <c r="AE1410" s="11">
        <v>0</v>
      </c>
      <c r="AF1410" s="11">
        <f t="shared" ref="AF1410:AF1473" si="66">(Z1410+AA1410+AC1410+AE1410)*6%</f>
        <v>0.42</v>
      </c>
      <c r="AG1410" s="11">
        <f t="shared" ref="AG1410:AG1473" si="67">Z1410+AA1410+AC1410+AE1410+AF1410</f>
        <v>7.42</v>
      </c>
      <c r="AH1410" s="11">
        <v>0</v>
      </c>
      <c r="AI1410" s="11">
        <f t="shared" ref="AI1410:AI1473" si="68">AG1410+AH1410</f>
        <v>7.42</v>
      </c>
      <c r="AJ1410" t="s">
        <v>62</v>
      </c>
    </row>
    <row r="1411" spans="1:36" ht="15" customHeight="1" x14ac:dyDescent="0.35">
      <c r="A1411">
        <v>10428918</v>
      </c>
      <c r="B1411" t="s">
        <v>36</v>
      </c>
      <c r="C1411" t="s">
        <v>37</v>
      </c>
      <c r="D1411" s="6" t="s">
        <v>38</v>
      </c>
      <c r="E1411" t="s">
        <v>4221</v>
      </c>
      <c r="F1411" t="s">
        <v>40</v>
      </c>
      <c r="G1411" t="s">
        <v>41</v>
      </c>
      <c r="H1411" t="s">
        <v>412</v>
      </c>
      <c r="I1411" t="s">
        <v>43</v>
      </c>
      <c r="J1411">
        <v>2</v>
      </c>
      <c r="K1411" t="s">
        <v>44</v>
      </c>
      <c r="L1411" t="s">
        <v>45</v>
      </c>
      <c r="M1411" t="s">
        <v>46</v>
      </c>
      <c r="N1411" s="7">
        <v>1</v>
      </c>
      <c r="O1411" s="8">
        <v>45635.658125000002</v>
      </c>
      <c r="P1411" s="9">
        <v>45637</v>
      </c>
      <c r="Q1411" t="s">
        <v>74</v>
      </c>
      <c r="R1411" t="s">
        <v>48</v>
      </c>
      <c r="S1411" t="s">
        <v>49</v>
      </c>
      <c r="T1411" t="s">
        <v>101</v>
      </c>
      <c r="U1411" t="s">
        <v>413</v>
      </c>
      <c r="V1411">
        <v>32610</v>
      </c>
      <c r="W1411" t="s">
        <v>48</v>
      </c>
      <c r="X1411" t="s">
        <v>414</v>
      </c>
      <c r="Y1411" t="s">
        <v>54</v>
      </c>
      <c r="Z1411" s="12">
        <f>IF(N1411&lt;=1,9,9+0.8*ROUNDUP(N1411-1,0))</f>
        <v>9</v>
      </c>
      <c r="AA1411" s="11">
        <v>-2</v>
      </c>
      <c r="AB1411" s="11">
        <v>0</v>
      </c>
      <c r="AC1411" s="11">
        <v>0</v>
      </c>
      <c r="AD1411" s="11">
        <v>0</v>
      </c>
      <c r="AE1411" s="11">
        <v>0</v>
      </c>
      <c r="AF1411" s="11">
        <f t="shared" si="66"/>
        <v>0.42</v>
      </c>
      <c r="AG1411" s="11">
        <f t="shared" si="67"/>
        <v>7.42</v>
      </c>
      <c r="AH1411" s="11">
        <v>0</v>
      </c>
      <c r="AI1411" s="11">
        <f t="shared" si="68"/>
        <v>7.42</v>
      </c>
      <c r="AJ1411" t="s">
        <v>62</v>
      </c>
    </row>
    <row r="1412" spans="1:36" ht="15" customHeight="1" x14ac:dyDescent="0.35">
      <c r="A1412">
        <v>10428918</v>
      </c>
      <c r="B1412" t="s">
        <v>36</v>
      </c>
      <c r="C1412" t="s">
        <v>37</v>
      </c>
      <c r="D1412" s="6" t="s">
        <v>38</v>
      </c>
      <c r="E1412" t="s">
        <v>4222</v>
      </c>
      <c r="F1412" t="s">
        <v>40</v>
      </c>
      <c r="G1412" t="s">
        <v>41</v>
      </c>
      <c r="H1412" t="s">
        <v>4223</v>
      </c>
      <c r="I1412" t="s">
        <v>43</v>
      </c>
      <c r="J1412">
        <v>2</v>
      </c>
      <c r="K1412" t="s">
        <v>44</v>
      </c>
      <c r="L1412" t="s">
        <v>45</v>
      </c>
      <c r="M1412" t="s">
        <v>46</v>
      </c>
      <c r="N1412" s="7">
        <v>1</v>
      </c>
      <c r="O1412" s="8">
        <v>45636.401226851849</v>
      </c>
      <c r="P1412" s="9">
        <v>45637</v>
      </c>
      <c r="Q1412" t="s">
        <v>74</v>
      </c>
      <c r="R1412" t="s">
        <v>48</v>
      </c>
      <c r="S1412" t="s">
        <v>49</v>
      </c>
      <c r="T1412" t="s">
        <v>117</v>
      </c>
      <c r="U1412" t="s">
        <v>4224</v>
      </c>
      <c r="V1412">
        <v>40400</v>
      </c>
      <c r="W1412" t="s">
        <v>48</v>
      </c>
      <c r="X1412" t="s">
        <v>53</v>
      </c>
      <c r="Y1412" t="s">
        <v>54</v>
      </c>
      <c r="Z1412" s="12">
        <f>IF(N1412&lt;=1,9,9+0.8*ROUNDUP(N1412-1,0))</f>
        <v>9</v>
      </c>
      <c r="AA1412" s="11">
        <v>-2</v>
      </c>
      <c r="AB1412" s="11">
        <v>0</v>
      </c>
      <c r="AC1412" s="11">
        <v>0</v>
      </c>
      <c r="AD1412" s="11">
        <v>0</v>
      </c>
      <c r="AE1412" s="11">
        <v>0</v>
      </c>
      <c r="AF1412" s="11">
        <f t="shared" si="66"/>
        <v>0.42</v>
      </c>
      <c r="AG1412" s="11">
        <f t="shared" si="67"/>
        <v>7.42</v>
      </c>
      <c r="AH1412" s="11">
        <v>0</v>
      </c>
      <c r="AI1412" s="11">
        <f t="shared" si="68"/>
        <v>7.42</v>
      </c>
      <c r="AJ1412" t="s">
        <v>62</v>
      </c>
    </row>
    <row r="1413" spans="1:36" ht="15" customHeight="1" x14ac:dyDescent="0.35">
      <c r="A1413">
        <v>10428918</v>
      </c>
      <c r="B1413" t="s">
        <v>36</v>
      </c>
      <c r="C1413" t="s">
        <v>37</v>
      </c>
      <c r="D1413" s="6" t="s">
        <v>38</v>
      </c>
      <c r="E1413" t="s">
        <v>4225</v>
      </c>
      <c r="F1413" t="s">
        <v>40</v>
      </c>
      <c r="G1413" t="s">
        <v>41</v>
      </c>
      <c r="H1413" t="s">
        <v>4226</v>
      </c>
      <c r="I1413" t="s">
        <v>43</v>
      </c>
      <c r="J1413">
        <v>2</v>
      </c>
      <c r="K1413" t="s">
        <v>44</v>
      </c>
      <c r="L1413" t="s">
        <v>45</v>
      </c>
      <c r="M1413" t="s">
        <v>46</v>
      </c>
      <c r="N1413" s="7">
        <v>1</v>
      </c>
      <c r="O1413" s="8">
        <v>45634.775405092594</v>
      </c>
      <c r="P1413" s="9">
        <v>45637</v>
      </c>
      <c r="Q1413" t="s">
        <v>74</v>
      </c>
      <c r="R1413" t="s">
        <v>48</v>
      </c>
      <c r="S1413" t="s">
        <v>49</v>
      </c>
      <c r="T1413" t="s">
        <v>65</v>
      </c>
      <c r="U1413" t="s">
        <v>4227</v>
      </c>
      <c r="V1413">
        <v>75250</v>
      </c>
      <c r="W1413" t="s">
        <v>48</v>
      </c>
      <c r="X1413" t="s">
        <v>167</v>
      </c>
      <c r="Y1413" t="s">
        <v>54</v>
      </c>
      <c r="Z1413" s="12">
        <f>IF(N1413&lt;=1,9,9+0.8*ROUNDUP(N1413-1,0))</f>
        <v>9</v>
      </c>
      <c r="AA1413" s="11">
        <v>-2</v>
      </c>
      <c r="AB1413" s="11">
        <v>0</v>
      </c>
      <c r="AC1413" s="11">
        <v>0</v>
      </c>
      <c r="AD1413" s="11">
        <v>0</v>
      </c>
      <c r="AE1413" s="11">
        <v>0</v>
      </c>
      <c r="AF1413" s="11">
        <f t="shared" si="66"/>
        <v>0.42</v>
      </c>
      <c r="AG1413" s="11">
        <f t="shared" si="67"/>
        <v>7.42</v>
      </c>
      <c r="AH1413" s="11">
        <v>0</v>
      </c>
      <c r="AI1413" s="11">
        <f t="shared" si="68"/>
        <v>7.42</v>
      </c>
      <c r="AJ1413" t="s">
        <v>62</v>
      </c>
    </row>
    <row r="1414" spans="1:36" ht="15" customHeight="1" x14ac:dyDescent="0.35">
      <c r="A1414">
        <v>10428918</v>
      </c>
      <c r="B1414" t="s">
        <v>36</v>
      </c>
      <c r="C1414" t="s">
        <v>37</v>
      </c>
      <c r="D1414" s="6" t="s">
        <v>38</v>
      </c>
      <c r="E1414" t="s">
        <v>4228</v>
      </c>
      <c r="F1414" t="s">
        <v>40</v>
      </c>
      <c r="G1414" t="s">
        <v>41</v>
      </c>
      <c r="H1414" t="s">
        <v>4229</v>
      </c>
      <c r="I1414" t="s">
        <v>43</v>
      </c>
      <c r="J1414">
        <v>2</v>
      </c>
      <c r="K1414" t="s">
        <v>44</v>
      </c>
      <c r="L1414" t="s">
        <v>45</v>
      </c>
      <c r="M1414" t="s">
        <v>46</v>
      </c>
      <c r="N1414" s="7">
        <v>1</v>
      </c>
      <c r="O1414" s="8">
        <v>45635.77306712963</v>
      </c>
      <c r="P1414" s="9">
        <v>45637</v>
      </c>
      <c r="Q1414" t="s">
        <v>74</v>
      </c>
      <c r="R1414" t="s">
        <v>48</v>
      </c>
      <c r="S1414" t="s">
        <v>49</v>
      </c>
      <c r="T1414" t="s">
        <v>75</v>
      </c>
      <c r="U1414" t="s">
        <v>4230</v>
      </c>
      <c r="V1414">
        <v>28000</v>
      </c>
      <c r="W1414" t="s">
        <v>48</v>
      </c>
      <c r="X1414" t="s">
        <v>77</v>
      </c>
      <c r="Y1414" t="s">
        <v>54</v>
      </c>
      <c r="Z1414" s="12">
        <f>IF(N1414&lt;=1,9,9+0.8*ROUNDUP(N1414-1,0))</f>
        <v>9</v>
      </c>
      <c r="AA1414" s="11">
        <v>-2</v>
      </c>
      <c r="AB1414" s="11">
        <v>0</v>
      </c>
      <c r="AC1414" s="11">
        <v>0</v>
      </c>
      <c r="AD1414" s="11">
        <v>0</v>
      </c>
      <c r="AE1414" s="11">
        <v>0</v>
      </c>
      <c r="AF1414" s="11">
        <f t="shared" si="66"/>
        <v>0.42</v>
      </c>
      <c r="AG1414" s="11">
        <f t="shared" si="67"/>
        <v>7.42</v>
      </c>
      <c r="AH1414" s="11">
        <v>0</v>
      </c>
      <c r="AI1414" s="11">
        <f t="shared" si="68"/>
        <v>7.42</v>
      </c>
      <c r="AJ1414" t="s">
        <v>62</v>
      </c>
    </row>
    <row r="1415" spans="1:36" ht="15" customHeight="1" x14ac:dyDescent="0.35">
      <c r="A1415">
        <v>10428918</v>
      </c>
      <c r="B1415" t="s">
        <v>36</v>
      </c>
      <c r="C1415" t="s">
        <v>37</v>
      </c>
      <c r="D1415" s="6" t="s">
        <v>38</v>
      </c>
      <c r="E1415" t="s">
        <v>4231</v>
      </c>
      <c r="F1415" t="s">
        <v>40</v>
      </c>
      <c r="G1415" t="s">
        <v>41</v>
      </c>
      <c r="H1415" t="s">
        <v>4232</v>
      </c>
      <c r="I1415" t="s">
        <v>43</v>
      </c>
      <c r="J1415">
        <v>2</v>
      </c>
      <c r="K1415" t="s">
        <v>44</v>
      </c>
      <c r="L1415" t="s">
        <v>45</v>
      </c>
      <c r="M1415" t="s">
        <v>46</v>
      </c>
      <c r="N1415" s="7">
        <v>1</v>
      </c>
      <c r="O1415" s="8">
        <v>45636.401226851849</v>
      </c>
      <c r="P1415" s="9">
        <v>45637</v>
      </c>
      <c r="Q1415" t="s">
        <v>74</v>
      </c>
      <c r="R1415" t="s">
        <v>48</v>
      </c>
      <c r="S1415" t="s">
        <v>49</v>
      </c>
      <c r="T1415" t="s">
        <v>75</v>
      </c>
      <c r="U1415" t="s">
        <v>4233</v>
      </c>
      <c r="V1415">
        <v>28600</v>
      </c>
      <c r="W1415" t="s">
        <v>48</v>
      </c>
      <c r="X1415" t="s">
        <v>77</v>
      </c>
      <c r="Y1415" t="s">
        <v>54</v>
      </c>
      <c r="Z1415" s="12">
        <f>IF(N1415&lt;=1,9,9+0.8*ROUNDUP(N1415-1,0))</f>
        <v>9</v>
      </c>
      <c r="AA1415" s="11">
        <v>-2</v>
      </c>
      <c r="AB1415" s="11">
        <v>0</v>
      </c>
      <c r="AC1415" s="11">
        <v>0</v>
      </c>
      <c r="AD1415" s="11">
        <v>0</v>
      </c>
      <c r="AE1415" s="11">
        <v>0</v>
      </c>
      <c r="AF1415" s="11">
        <f t="shared" si="66"/>
        <v>0.42</v>
      </c>
      <c r="AG1415" s="11">
        <f t="shared" si="67"/>
        <v>7.42</v>
      </c>
      <c r="AH1415" s="11">
        <v>0</v>
      </c>
      <c r="AI1415" s="11">
        <f t="shared" si="68"/>
        <v>7.42</v>
      </c>
      <c r="AJ1415" t="s">
        <v>62</v>
      </c>
    </row>
    <row r="1416" spans="1:36" ht="15" customHeight="1" x14ac:dyDescent="0.35">
      <c r="A1416">
        <v>10428918</v>
      </c>
      <c r="B1416" t="s">
        <v>36</v>
      </c>
      <c r="C1416" t="s">
        <v>37</v>
      </c>
      <c r="D1416" s="6" t="s">
        <v>38</v>
      </c>
      <c r="E1416" t="s">
        <v>4234</v>
      </c>
      <c r="F1416" t="s">
        <v>40</v>
      </c>
      <c r="G1416" t="s">
        <v>41</v>
      </c>
      <c r="H1416" t="s">
        <v>4235</v>
      </c>
      <c r="I1416" t="s">
        <v>43</v>
      </c>
      <c r="J1416">
        <v>2</v>
      </c>
      <c r="K1416" t="s">
        <v>44</v>
      </c>
      <c r="L1416" t="s">
        <v>45</v>
      </c>
      <c r="M1416" t="s">
        <v>46</v>
      </c>
      <c r="N1416" s="7">
        <v>4</v>
      </c>
      <c r="O1416" s="8">
        <v>45635.573240740741</v>
      </c>
      <c r="P1416" s="9">
        <v>45637</v>
      </c>
      <c r="Q1416" t="s">
        <v>74</v>
      </c>
      <c r="R1416" t="s">
        <v>48</v>
      </c>
      <c r="S1416" t="s">
        <v>49</v>
      </c>
      <c r="T1416" t="s">
        <v>693</v>
      </c>
      <c r="U1416" t="s">
        <v>4236</v>
      </c>
      <c r="V1416">
        <v>2600</v>
      </c>
      <c r="W1416" t="s">
        <v>48</v>
      </c>
      <c r="X1416" t="s">
        <v>695</v>
      </c>
      <c r="Y1416" t="s">
        <v>54</v>
      </c>
      <c r="Z1416" s="12">
        <f>IF(N1416&lt;=1,9,9+0.8*ROUNDUP(N1416-1,0))</f>
        <v>11.4</v>
      </c>
      <c r="AA1416" s="11">
        <v>-2</v>
      </c>
      <c r="AB1416" s="11">
        <v>0</v>
      </c>
      <c r="AC1416" s="11">
        <v>0</v>
      </c>
      <c r="AD1416" s="11">
        <v>0</v>
      </c>
      <c r="AE1416" s="11">
        <v>0</v>
      </c>
      <c r="AF1416" s="11">
        <f t="shared" si="66"/>
        <v>0.56399999999999995</v>
      </c>
      <c r="AG1416" s="11">
        <f t="shared" si="67"/>
        <v>9.9640000000000004</v>
      </c>
      <c r="AH1416" s="11">
        <v>0</v>
      </c>
      <c r="AI1416" s="11">
        <f t="shared" si="68"/>
        <v>9.9640000000000004</v>
      </c>
      <c r="AJ1416" t="s">
        <v>62</v>
      </c>
    </row>
    <row r="1417" spans="1:36" ht="15" customHeight="1" x14ac:dyDescent="0.35">
      <c r="A1417">
        <v>10428918</v>
      </c>
      <c r="B1417" t="s">
        <v>36</v>
      </c>
      <c r="C1417" t="s">
        <v>37</v>
      </c>
      <c r="D1417" s="6" t="s">
        <v>38</v>
      </c>
      <c r="E1417" t="s">
        <v>4237</v>
      </c>
      <c r="F1417" t="s">
        <v>40</v>
      </c>
      <c r="G1417" t="s">
        <v>41</v>
      </c>
      <c r="H1417" t="s">
        <v>4238</v>
      </c>
      <c r="I1417" t="s">
        <v>43</v>
      </c>
      <c r="J1417">
        <v>2</v>
      </c>
      <c r="K1417" t="s">
        <v>44</v>
      </c>
      <c r="L1417" t="s">
        <v>45</v>
      </c>
      <c r="M1417" t="s">
        <v>46</v>
      </c>
      <c r="N1417" s="7">
        <v>2</v>
      </c>
      <c r="O1417" s="8">
        <v>45635.41070601852</v>
      </c>
      <c r="P1417" s="9">
        <v>45637</v>
      </c>
      <c r="Q1417" t="s">
        <v>74</v>
      </c>
      <c r="R1417" t="s">
        <v>48</v>
      </c>
      <c r="S1417" t="s">
        <v>49</v>
      </c>
      <c r="T1417" t="s">
        <v>170</v>
      </c>
      <c r="U1417" t="s">
        <v>4239</v>
      </c>
      <c r="V1417">
        <v>50603</v>
      </c>
      <c r="W1417" t="s">
        <v>48</v>
      </c>
      <c r="X1417" t="s">
        <v>1395</v>
      </c>
      <c r="Y1417" t="s">
        <v>54</v>
      </c>
      <c r="Z1417" s="12">
        <f>IF(N1417&lt;=1,9,9+0.8*ROUNDUP(N1417-1,0))</f>
        <v>9.8000000000000007</v>
      </c>
      <c r="AA1417" s="11">
        <v>-2</v>
      </c>
      <c r="AB1417" s="11">
        <v>0</v>
      </c>
      <c r="AC1417" s="11">
        <v>0</v>
      </c>
      <c r="AD1417" s="11">
        <v>0</v>
      </c>
      <c r="AE1417" s="11">
        <v>0</v>
      </c>
      <c r="AF1417" s="11">
        <f t="shared" si="66"/>
        <v>0.46800000000000003</v>
      </c>
      <c r="AG1417" s="11">
        <f t="shared" si="67"/>
        <v>8.2680000000000007</v>
      </c>
      <c r="AH1417" s="11">
        <v>0</v>
      </c>
      <c r="AI1417" s="11">
        <f t="shared" si="68"/>
        <v>8.2680000000000007</v>
      </c>
      <c r="AJ1417" t="s">
        <v>62</v>
      </c>
    </row>
    <row r="1418" spans="1:36" ht="15" customHeight="1" x14ac:dyDescent="0.35">
      <c r="A1418">
        <v>10428918</v>
      </c>
      <c r="B1418" t="s">
        <v>36</v>
      </c>
      <c r="C1418" t="s">
        <v>37</v>
      </c>
      <c r="D1418" s="6" t="s">
        <v>38</v>
      </c>
      <c r="E1418" t="s">
        <v>4240</v>
      </c>
      <c r="F1418" t="s">
        <v>40</v>
      </c>
      <c r="G1418" t="s">
        <v>41</v>
      </c>
      <c r="H1418" t="s">
        <v>4241</v>
      </c>
      <c r="I1418" t="s">
        <v>43</v>
      </c>
      <c r="J1418">
        <v>2</v>
      </c>
      <c r="K1418" t="s">
        <v>44</v>
      </c>
      <c r="L1418" t="s">
        <v>45</v>
      </c>
      <c r="M1418" t="s">
        <v>46</v>
      </c>
      <c r="N1418" s="7">
        <v>1</v>
      </c>
      <c r="O1418" s="8">
        <v>45636.410370370373</v>
      </c>
      <c r="P1418" s="9">
        <v>45637</v>
      </c>
      <c r="Q1418" t="s">
        <v>74</v>
      </c>
      <c r="R1418" t="s">
        <v>48</v>
      </c>
      <c r="S1418" t="s">
        <v>49</v>
      </c>
      <c r="T1418" t="s">
        <v>75</v>
      </c>
      <c r="U1418" t="s">
        <v>4242</v>
      </c>
      <c r="V1418">
        <v>26600</v>
      </c>
      <c r="W1418" t="s">
        <v>48</v>
      </c>
      <c r="X1418" t="s">
        <v>77</v>
      </c>
      <c r="Y1418" t="s">
        <v>54</v>
      </c>
      <c r="Z1418" s="12">
        <f>IF(N1418&lt;=1,9,9+0.8*ROUNDUP(N1418-1,0))</f>
        <v>9</v>
      </c>
      <c r="AA1418" s="11">
        <v>-2</v>
      </c>
      <c r="AB1418" s="11">
        <v>0</v>
      </c>
      <c r="AC1418" s="11">
        <v>0</v>
      </c>
      <c r="AD1418" s="11">
        <v>0</v>
      </c>
      <c r="AE1418" s="11">
        <v>0</v>
      </c>
      <c r="AF1418" s="11">
        <f t="shared" si="66"/>
        <v>0.42</v>
      </c>
      <c r="AG1418" s="11">
        <f t="shared" si="67"/>
        <v>7.42</v>
      </c>
      <c r="AH1418" s="11">
        <v>0</v>
      </c>
      <c r="AI1418" s="11">
        <f t="shared" si="68"/>
        <v>7.42</v>
      </c>
      <c r="AJ1418" t="s">
        <v>62</v>
      </c>
    </row>
    <row r="1419" spans="1:36" ht="15" customHeight="1" x14ac:dyDescent="0.35">
      <c r="A1419">
        <v>10428918</v>
      </c>
      <c r="B1419" t="s">
        <v>36</v>
      </c>
      <c r="C1419" t="s">
        <v>37</v>
      </c>
      <c r="D1419" s="6" t="s">
        <v>38</v>
      </c>
      <c r="E1419" t="s">
        <v>4243</v>
      </c>
      <c r="F1419" t="s">
        <v>40</v>
      </c>
      <c r="G1419" t="s">
        <v>41</v>
      </c>
      <c r="H1419" t="s">
        <v>4244</v>
      </c>
      <c r="I1419" t="s">
        <v>43</v>
      </c>
      <c r="J1419">
        <v>2</v>
      </c>
      <c r="K1419" t="s">
        <v>44</v>
      </c>
      <c r="L1419" t="s">
        <v>45</v>
      </c>
      <c r="M1419" t="s">
        <v>46</v>
      </c>
      <c r="N1419" s="7">
        <v>1</v>
      </c>
      <c r="O1419" s="8">
        <v>45636.401226851849</v>
      </c>
      <c r="P1419" s="9">
        <v>45637</v>
      </c>
      <c r="Q1419" t="s">
        <v>74</v>
      </c>
      <c r="R1419" t="s">
        <v>48</v>
      </c>
      <c r="S1419" t="s">
        <v>49</v>
      </c>
      <c r="T1419" t="s">
        <v>65</v>
      </c>
      <c r="U1419" t="s">
        <v>4245</v>
      </c>
      <c r="V1419">
        <v>78000</v>
      </c>
      <c r="W1419" t="s">
        <v>48</v>
      </c>
      <c r="X1419" t="s">
        <v>448</v>
      </c>
      <c r="Y1419" t="s">
        <v>54</v>
      </c>
      <c r="Z1419" s="12">
        <f>IF(N1419&lt;=1,9,9+0.8*ROUNDUP(N1419-1,0))</f>
        <v>9</v>
      </c>
      <c r="AA1419" s="11">
        <v>-2</v>
      </c>
      <c r="AB1419" s="11">
        <v>0</v>
      </c>
      <c r="AC1419" s="11">
        <v>0</v>
      </c>
      <c r="AD1419" s="11">
        <v>0</v>
      </c>
      <c r="AE1419" s="11">
        <v>0</v>
      </c>
      <c r="AF1419" s="11">
        <f t="shared" si="66"/>
        <v>0.42</v>
      </c>
      <c r="AG1419" s="11">
        <f t="shared" si="67"/>
        <v>7.42</v>
      </c>
      <c r="AH1419" s="11">
        <v>0</v>
      </c>
      <c r="AI1419" s="11">
        <f t="shared" si="68"/>
        <v>7.42</v>
      </c>
      <c r="AJ1419" t="s">
        <v>62</v>
      </c>
    </row>
    <row r="1420" spans="1:36" ht="15" customHeight="1" x14ac:dyDescent="0.35">
      <c r="A1420">
        <v>10428918</v>
      </c>
      <c r="B1420" t="s">
        <v>36</v>
      </c>
      <c r="C1420" t="s">
        <v>37</v>
      </c>
      <c r="D1420" s="6" t="s">
        <v>38</v>
      </c>
      <c r="E1420" t="s">
        <v>4246</v>
      </c>
      <c r="F1420" t="s">
        <v>40</v>
      </c>
      <c r="G1420" t="s">
        <v>41</v>
      </c>
      <c r="H1420" t="s">
        <v>4247</v>
      </c>
      <c r="I1420" t="s">
        <v>43</v>
      </c>
      <c r="J1420">
        <v>2</v>
      </c>
      <c r="K1420" t="s">
        <v>44</v>
      </c>
      <c r="L1420" t="s">
        <v>45</v>
      </c>
      <c r="M1420" t="s">
        <v>46</v>
      </c>
      <c r="N1420" s="7">
        <v>1</v>
      </c>
      <c r="O1420" s="8">
        <v>45636.410381944443</v>
      </c>
      <c r="P1420" s="9">
        <v>45637</v>
      </c>
      <c r="Q1420" t="s">
        <v>74</v>
      </c>
      <c r="R1420" t="s">
        <v>48</v>
      </c>
      <c r="S1420" t="s">
        <v>49</v>
      </c>
      <c r="T1420" t="s">
        <v>85</v>
      </c>
      <c r="U1420" t="s">
        <v>4248</v>
      </c>
      <c r="V1420">
        <v>70400</v>
      </c>
      <c r="W1420" t="s">
        <v>48</v>
      </c>
      <c r="X1420" t="s">
        <v>114</v>
      </c>
      <c r="Y1420" t="s">
        <v>54</v>
      </c>
      <c r="Z1420" s="12">
        <f>IF(N1420&lt;=1,9,9+0.8*ROUNDUP(N1420-1,0))</f>
        <v>9</v>
      </c>
      <c r="AA1420" s="11">
        <v>-2</v>
      </c>
      <c r="AB1420" s="11">
        <v>0</v>
      </c>
      <c r="AC1420" s="11">
        <v>0</v>
      </c>
      <c r="AD1420" s="11">
        <v>0</v>
      </c>
      <c r="AE1420" s="11">
        <v>0</v>
      </c>
      <c r="AF1420" s="11">
        <f t="shared" si="66"/>
        <v>0.42</v>
      </c>
      <c r="AG1420" s="11">
        <f t="shared" si="67"/>
        <v>7.42</v>
      </c>
      <c r="AH1420" s="11">
        <v>0</v>
      </c>
      <c r="AI1420" s="11">
        <f t="shared" si="68"/>
        <v>7.42</v>
      </c>
      <c r="AJ1420" t="s">
        <v>62</v>
      </c>
    </row>
    <row r="1421" spans="1:36" ht="15" customHeight="1" x14ac:dyDescent="0.35">
      <c r="A1421">
        <v>10428918</v>
      </c>
      <c r="B1421" t="s">
        <v>36</v>
      </c>
      <c r="C1421" t="s">
        <v>37</v>
      </c>
      <c r="D1421" s="6" t="s">
        <v>38</v>
      </c>
      <c r="E1421" t="s">
        <v>4249</v>
      </c>
      <c r="F1421" t="s">
        <v>40</v>
      </c>
      <c r="G1421" t="s">
        <v>41</v>
      </c>
      <c r="H1421" t="s">
        <v>4250</v>
      </c>
      <c r="I1421" t="s">
        <v>43</v>
      </c>
      <c r="J1421">
        <v>2</v>
      </c>
      <c r="K1421" t="s">
        <v>44</v>
      </c>
      <c r="L1421" t="s">
        <v>45</v>
      </c>
      <c r="M1421" t="s">
        <v>46</v>
      </c>
      <c r="N1421" s="7">
        <v>1</v>
      </c>
      <c r="O1421" s="8">
        <v>45636.747361111113</v>
      </c>
      <c r="P1421" s="9">
        <v>45637</v>
      </c>
      <c r="Q1421" t="s">
        <v>74</v>
      </c>
      <c r="R1421" t="s">
        <v>48</v>
      </c>
      <c r="S1421" t="s">
        <v>49</v>
      </c>
      <c r="T1421" t="s">
        <v>170</v>
      </c>
      <c r="U1421" t="s">
        <v>4251</v>
      </c>
      <c r="V1421">
        <v>50609</v>
      </c>
      <c r="W1421" t="s">
        <v>48</v>
      </c>
      <c r="X1421" t="s">
        <v>365</v>
      </c>
      <c r="Y1421" t="s">
        <v>54</v>
      </c>
      <c r="Z1421" s="12">
        <f>IF(N1421&lt;=1,9,9+0.8*ROUNDUP(N1421-1,0))</f>
        <v>9</v>
      </c>
      <c r="AA1421" s="11">
        <v>-2</v>
      </c>
      <c r="AB1421" s="11">
        <v>0</v>
      </c>
      <c r="AC1421" s="11">
        <v>0</v>
      </c>
      <c r="AD1421" s="11">
        <v>0</v>
      </c>
      <c r="AE1421" s="11">
        <v>0</v>
      </c>
      <c r="AF1421" s="11">
        <f t="shared" si="66"/>
        <v>0.42</v>
      </c>
      <c r="AG1421" s="11">
        <f t="shared" si="67"/>
        <v>7.42</v>
      </c>
      <c r="AH1421" s="11">
        <v>0</v>
      </c>
      <c r="AI1421" s="11">
        <f t="shared" si="68"/>
        <v>7.42</v>
      </c>
      <c r="AJ1421" t="s">
        <v>62</v>
      </c>
    </row>
    <row r="1422" spans="1:36" ht="15" customHeight="1" x14ac:dyDescent="0.35">
      <c r="A1422">
        <v>10428918</v>
      </c>
      <c r="B1422" t="s">
        <v>36</v>
      </c>
      <c r="C1422" t="s">
        <v>37</v>
      </c>
      <c r="D1422" s="6" t="s">
        <v>38</v>
      </c>
      <c r="E1422" t="s">
        <v>4252</v>
      </c>
      <c r="F1422" t="s">
        <v>40</v>
      </c>
      <c r="G1422" t="s">
        <v>41</v>
      </c>
      <c r="H1422" t="s">
        <v>2709</v>
      </c>
      <c r="I1422" t="s">
        <v>43</v>
      </c>
      <c r="J1422">
        <v>2</v>
      </c>
      <c r="K1422" t="s">
        <v>44</v>
      </c>
      <c r="L1422" t="s">
        <v>45</v>
      </c>
      <c r="M1422" t="s">
        <v>46</v>
      </c>
      <c r="N1422" s="7">
        <v>1</v>
      </c>
      <c r="O1422" s="8">
        <v>45634.791539351849</v>
      </c>
      <c r="P1422" s="9">
        <v>45637</v>
      </c>
      <c r="Q1422" t="s">
        <v>74</v>
      </c>
      <c r="R1422" t="s">
        <v>48</v>
      </c>
      <c r="S1422" t="s">
        <v>49</v>
      </c>
      <c r="T1422" t="s">
        <v>117</v>
      </c>
      <c r="U1422" t="s">
        <v>4253</v>
      </c>
      <c r="V1422">
        <v>62050</v>
      </c>
      <c r="W1422" t="s">
        <v>48</v>
      </c>
      <c r="X1422" t="s">
        <v>191</v>
      </c>
      <c r="Y1422" t="s">
        <v>54</v>
      </c>
      <c r="Z1422" s="12">
        <f>IF(N1422&lt;=1,9,9+0.8*ROUNDUP(N1422-1,0))</f>
        <v>9</v>
      </c>
      <c r="AA1422" s="11">
        <v>-2</v>
      </c>
      <c r="AB1422" s="11">
        <v>0</v>
      </c>
      <c r="AC1422" s="11">
        <v>0</v>
      </c>
      <c r="AD1422" s="11">
        <v>0</v>
      </c>
      <c r="AE1422" s="11">
        <v>0</v>
      </c>
      <c r="AF1422" s="11">
        <f t="shared" si="66"/>
        <v>0.42</v>
      </c>
      <c r="AG1422" s="11">
        <f t="shared" si="67"/>
        <v>7.42</v>
      </c>
      <c r="AH1422" s="11">
        <v>0</v>
      </c>
      <c r="AI1422" s="11">
        <f t="shared" si="68"/>
        <v>7.42</v>
      </c>
      <c r="AJ1422" t="s">
        <v>62</v>
      </c>
    </row>
    <row r="1423" spans="1:36" ht="15" customHeight="1" x14ac:dyDescent="0.35">
      <c r="A1423">
        <v>10428918</v>
      </c>
      <c r="B1423" t="s">
        <v>36</v>
      </c>
      <c r="C1423" t="s">
        <v>37</v>
      </c>
      <c r="D1423" s="6" t="s">
        <v>38</v>
      </c>
      <c r="E1423" t="s">
        <v>4254</v>
      </c>
      <c r="F1423" t="s">
        <v>40</v>
      </c>
      <c r="G1423" t="s">
        <v>41</v>
      </c>
      <c r="H1423" t="s">
        <v>4255</v>
      </c>
      <c r="I1423" t="s">
        <v>43</v>
      </c>
      <c r="J1423">
        <v>2</v>
      </c>
      <c r="K1423" t="s">
        <v>44</v>
      </c>
      <c r="L1423" t="s">
        <v>45</v>
      </c>
      <c r="M1423" t="s">
        <v>46</v>
      </c>
      <c r="N1423" s="7">
        <v>1</v>
      </c>
      <c r="O1423" s="8">
        <v>45635.801886574074</v>
      </c>
      <c r="P1423" s="9">
        <v>45637</v>
      </c>
      <c r="Q1423" t="s">
        <v>74</v>
      </c>
      <c r="R1423" t="s">
        <v>48</v>
      </c>
      <c r="S1423" t="s">
        <v>49</v>
      </c>
      <c r="T1423" t="s">
        <v>59</v>
      </c>
      <c r="U1423" t="s">
        <v>4256</v>
      </c>
      <c r="V1423">
        <v>17020</v>
      </c>
      <c r="W1423" t="s">
        <v>48</v>
      </c>
      <c r="X1423" t="s">
        <v>61</v>
      </c>
      <c r="Y1423" t="s">
        <v>54</v>
      </c>
      <c r="Z1423" s="12">
        <f>IF(N1423&lt;=1,9,9+0.8*ROUNDUP(N1423-1,0))</f>
        <v>9</v>
      </c>
      <c r="AA1423" s="11">
        <v>-2</v>
      </c>
      <c r="AB1423" s="11">
        <v>0</v>
      </c>
      <c r="AC1423" s="11">
        <v>0</v>
      </c>
      <c r="AD1423" s="11">
        <v>0</v>
      </c>
      <c r="AE1423" s="11">
        <v>0</v>
      </c>
      <c r="AF1423" s="11">
        <f t="shared" si="66"/>
        <v>0.42</v>
      </c>
      <c r="AG1423" s="11">
        <f t="shared" si="67"/>
        <v>7.42</v>
      </c>
      <c r="AH1423" s="11">
        <v>0</v>
      </c>
      <c r="AI1423" s="11">
        <f t="shared" si="68"/>
        <v>7.42</v>
      </c>
      <c r="AJ1423" t="s">
        <v>62</v>
      </c>
    </row>
    <row r="1424" spans="1:36" ht="15" customHeight="1" x14ac:dyDescent="0.35">
      <c r="A1424">
        <v>10428918</v>
      </c>
      <c r="B1424" t="s">
        <v>36</v>
      </c>
      <c r="C1424" t="s">
        <v>37</v>
      </c>
      <c r="D1424" s="6" t="s">
        <v>38</v>
      </c>
      <c r="E1424" t="s">
        <v>4257</v>
      </c>
      <c r="F1424" t="s">
        <v>40</v>
      </c>
      <c r="G1424" t="s">
        <v>41</v>
      </c>
      <c r="H1424" t="s">
        <v>4258</v>
      </c>
      <c r="I1424" t="s">
        <v>43</v>
      </c>
      <c r="J1424">
        <v>2</v>
      </c>
      <c r="K1424" t="s">
        <v>44</v>
      </c>
      <c r="L1424" t="s">
        <v>45</v>
      </c>
      <c r="M1424" t="s">
        <v>46</v>
      </c>
      <c r="N1424" s="7">
        <v>1</v>
      </c>
      <c r="O1424" s="8">
        <v>45636.70349537037</v>
      </c>
      <c r="P1424" s="9">
        <v>45637</v>
      </c>
      <c r="Q1424" t="s">
        <v>74</v>
      </c>
      <c r="R1424" t="s">
        <v>48</v>
      </c>
      <c r="S1424" t="s">
        <v>49</v>
      </c>
      <c r="T1424" t="s">
        <v>85</v>
      </c>
      <c r="U1424" t="s">
        <v>4259</v>
      </c>
      <c r="V1424">
        <v>70400</v>
      </c>
      <c r="W1424" t="s">
        <v>48</v>
      </c>
      <c r="X1424" t="s">
        <v>503</v>
      </c>
      <c r="Y1424" t="s">
        <v>54</v>
      </c>
      <c r="Z1424" s="12">
        <f>IF(N1424&lt;=1,9,9+0.8*ROUNDUP(N1424-1,0))</f>
        <v>9</v>
      </c>
      <c r="AA1424" s="11">
        <v>-2</v>
      </c>
      <c r="AB1424" s="11">
        <v>0</v>
      </c>
      <c r="AC1424" s="11">
        <v>0</v>
      </c>
      <c r="AD1424" s="11">
        <v>0</v>
      </c>
      <c r="AE1424" s="11">
        <v>0</v>
      </c>
      <c r="AF1424" s="11">
        <f t="shared" si="66"/>
        <v>0.42</v>
      </c>
      <c r="AG1424" s="11">
        <f t="shared" si="67"/>
        <v>7.42</v>
      </c>
      <c r="AH1424" s="11">
        <v>0</v>
      </c>
      <c r="AI1424" s="11">
        <f t="shared" si="68"/>
        <v>7.42</v>
      </c>
      <c r="AJ1424" t="s">
        <v>62</v>
      </c>
    </row>
    <row r="1425" spans="1:36" ht="15" customHeight="1" x14ac:dyDescent="0.35">
      <c r="A1425">
        <v>10428918</v>
      </c>
      <c r="B1425" t="s">
        <v>36</v>
      </c>
      <c r="C1425" t="s">
        <v>37</v>
      </c>
      <c r="D1425" s="6" t="s">
        <v>38</v>
      </c>
      <c r="E1425" t="s">
        <v>4260</v>
      </c>
      <c r="F1425" t="s">
        <v>40</v>
      </c>
      <c r="G1425" t="s">
        <v>41</v>
      </c>
      <c r="H1425" t="s">
        <v>4261</v>
      </c>
      <c r="I1425" t="s">
        <v>43</v>
      </c>
      <c r="J1425">
        <v>2</v>
      </c>
      <c r="K1425" t="s">
        <v>44</v>
      </c>
      <c r="L1425" t="s">
        <v>45</v>
      </c>
      <c r="M1425" t="s">
        <v>46</v>
      </c>
      <c r="N1425" s="7">
        <v>1</v>
      </c>
      <c r="O1425" s="8">
        <v>45635.801886574074</v>
      </c>
      <c r="P1425" s="9">
        <v>45637</v>
      </c>
      <c r="Q1425" t="s">
        <v>74</v>
      </c>
      <c r="R1425" t="s">
        <v>48</v>
      </c>
      <c r="S1425" t="s">
        <v>49</v>
      </c>
      <c r="T1425" t="s">
        <v>75</v>
      </c>
      <c r="U1425" t="s">
        <v>4262</v>
      </c>
      <c r="V1425">
        <v>27100</v>
      </c>
      <c r="W1425" t="s">
        <v>48</v>
      </c>
      <c r="X1425" t="s">
        <v>77</v>
      </c>
      <c r="Y1425" t="s">
        <v>54</v>
      </c>
      <c r="Z1425" s="12">
        <f>IF(N1425&lt;=1,9,9+0.8*ROUNDUP(N1425-1,0))</f>
        <v>9</v>
      </c>
      <c r="AA1425" s="11">
        <v>-2</v>
      </c>
      <c r="AB1425" s="11">
        <v>0</v>
      </c>
      <c r="AC1425" s="11">
        <v>0</v>
      </c>
      <c r="AD1425" s="11">
        <v>0</v>
      </c>
      <c r="AE1425" s="11">
        <v>0</v>
      </c>
      <c r="AF1425" s="11">
        <f t="shared" si="66"/>
        <v>0.42</v>
      </c>
      <c r="AG1425" s="11">
        <f t="shared" si="67"/>
        <v>7.42</v>
      </c>
      <c r="AH1425" s="11">
        <v>0</v>
      </c>
      <c r="AI1425" s="11">
        <f t="shared" si="68"/>
        <v>7.42</v>
      </c>
      <c r="AJ1425" t="s">
        <v>62</v>
      </c>
    </row>
    <row r="1426" spans="1:36" ht="15" customHeight="1" x14ac:dyDescent="0.35">
      <c r="A1426">
        <v>10428918</v>
      </c>
      <c r="B1426" t="s">
        <v>36</v>
      </c>
      <c r="C1426" t="s">
        <v>37</v>
      </c>
      <c r="D1426" s="6" t="s">
        <v>38</v>
      </c>
      <c r="E1426" t="s">
        <v>4263</v>
      </c>
      <c r="F1426" t="s">
        <v>40</v>
      </c>
      <c r="G1426" t="s">
        <v>41</v>
      </c>
      <c r="H1426" t="s">
        <v>4264</v>
      </c>
      <c r="I1426" t="s">
        <v>43</v>
      </c>
      <c r="J1426">
        <v>2</v>
      </c>
      <c r="K1426" t="s">
        <v>44</v>
      </c>
      <c r="L1426" t="s">
        <v>45</v>
      </c>
      <c r="M1426" t="s">
        <v>46</v>
      </c>
      <c r="N1426" s="7">
        <v>6</v>
      </c>
      <c r="O1426" s="8">
        <v>45635.758622685185</v>
      </c>
      <c r="P1426" s="9">
        <v>45637</v>
      </c>
      <c r="Q1426" t="s">
        <v>74</v>
      </c>
      <c r="R1426" t="s">
        <v>48</v>
      </c>
      <c r="S1426" t="s">
        <v>49</v>
      </c>
      <c r="T1426" t="s">
        <v>117</v>
      </c>
      <c r="U1426" t="s">
        <v>4265</v>
      </c>
      <c r="V1426">
        <v>68100</v>
      </c>
      <c r="W1426" t="s">
        <v>48</v>
      </c>
      <c r="X1426" t="s">
        <v>490</v>
      </c>
      <c r="Y1426" t="s">
        <v>54</v>
      </c>
      <c r="Z1426" s="12">
        <f>IF(N1426&lt;=1,9,9+0.8*ROUNDUP(N1426-1,0))</f>
        <v>13</v>
      </c>
      <c r="AA1426" s="11">
        <v>-2</v>
      </c>
      <c r="AB1426" s="11">
        <v>0</v>
      </c>
      <c r="AC1426" s="11">
        <v>0</v>
      </c>
      <c r="AD1426" s="11">
        <v>0</v>
      </c>
      <c r="AE1426" s="11">
        <v>0</v>
      </c>
      <c r="AF1426" s="11">
        <f t="shared" si="66"/>
        <v>0.65999999999999992</v>
      </c>
      <c r="AG1426" s="11">
        <f t="shared" si="67"/>
        <v>11.66</v>
      </c>
      <c r="AH1426" s="11">
        <v>0</v>
      </c>
      <c r="AI1426" s="11">
        <f t="shared" si="68"/>
        <v>11.66</v>
      </c>
      <c r="AJ1426" t="s">
        <v>62</v>
      </c>
    </row>
    <row r="1427" spans="1:36" ht="15" customHeight="1" x14ac:dyDescent="0.35">
      <c r="A1427">
        <v>10428918</v>
      </c>
      <c r="B1427" t="s">
        <v>36</v>
      </c>
      <c r="C1427" t="s">
        <v>37</v>
      </c>
      <c r="D1427" s="6" t="s">
        <v>38</v>
      </c>
      <c r="E1427" t="s">
        <v>4266</v>
      </c>
      <c r="F1427" t="s">
        <v>40</v>
      </c>
      <c r="G1427" t="s">
        <v>41</v>
      </c>
      <c r="H1427" t="s">
        <v>4250</v>
      </c>
      <c r="I1427" t="s">
        <v>43</v>
      </c>
      <c r="J1427">
        <v>2</v>
      </c>
      <c r="K1427" t="s">
        <v>44</v>
      </c>
      <c r="L1427" t="s">
        <v>45</v>
      </c>
      <c r="M1427" t="s">
        <v>46</v>
      </c>
      <c r="N1427" s="7">
        <v>1</v>
      </c>
      <c r="O1427" s="8">
        <v>45636.747361111113</v>
      </c>
      <c r="P1427" s="9">
        <v>45637</v>
      </c>
      <c r="Q1427" t="s">
        <v>74</v>
      </c>
      <c r="R1427" t="s">
        <v>48</v>
      </c>
      <c r="S1427" t="s">
        <v>49</v>
      </c>
      <c r="T1427" t="s">
        <v>170</v>
      </c>
      <c r="U1427" t="s">
        <v>4251</v>
      </c>
      <c r="V1427">
        <v>50609</v>
      </c>
      <c r="W1427" t="s">
        <v>48</v>
      </c>
      <c r="X1427" t="s">
        <v>365</v>
      </c>
      <c r="Y1427" t="s">
        <v>54</v>
      </c>
      <c r="Z1427" s="12">
        <f>IF(N1427&lt;=1,9,9+0.8*ROUNDUP(N1427-1,0))</f>
        <v>9</v>
      </c>
      <c r="AA1427" s="11">
        <v>-2</v>
      </c>
      <c r="AB1427" s="11">
        <v>0</v>
      </c>
      <c r="AC1427" s="11">
        <v>0</v>
      </c>
      <c r="AD1427" s="11">
        <v>0</v>
      </c>
      <c r="AE1427" s="11">
        <v>0</v>
      </c>
      <c r="AF1427" s="11">
        <f t="shared" si="66"/>
        <v>0.42</v>
      </c>
      <c r="AG1427" s="11">
        <f t="shared" si="67"/>
        <v>7.42</v>
      </c>
      <c r="AH1427" s="11">
        <v>0</v>
      </c>
      <c r="AI1427" s="11">
        <f t="shared" si="68"/>
        <v>7.42</v>
      </c>
      <c r="AJ1427" t="s">
        <v>62</v>
      </c>
    </row>
    <row r="1428" spans="1:36" ht="15" customHeight="1" x14ac:dyDescent="0.35">
      <c r="A1428">
        <v>10428918</v>
      </c>
      <c r="B1428" t="s">
        <v>36</v>
      </c>
      <c r="C1428" t="s">
        <v>37</v>
      </c>
      <c r="D1428" s="6" t="s">
        <v>38</v>
      </c>
      <c r="E1428" t="s">
        <v>4267</v>
      </c>
      <c r="F1428" t="s">
        <v>40</v>
      </c>
      <c r="G1428" t="s">
        <v>41</v>
      </c>
      <c r="H1428" t="s">
        <v>4268</v>
      </c>
      <c r="I1428" t="s">
        <v>43</v>
      </c>
      <c r="J1428">
        <v>2</v>
      </c>
      <c r="K1428" t="s">
        <v>44</v>
      </c>
      <c r="L1428" t="s">
        <v>45</v>
      </c>
      <c r="M1428" t="s">
        <v>46</v>
      </c>
      <c r="N1428" s="7">
        <v>1</v>
      </c>
      <c r="O1428" s="8">
        <v>45634.78597222222</v>
      </c>
      <c r="P1428" s="9">
        <v>45637</v>
      </c>
      <c r="Q1428" t="s">
        <v>74</v>
      </c>
      <c r="R1428" t="s">
        <v>48</v>
      </c>
      <c r="S1428" t="s">
        <v>49</v>
      </c>
      <c r="T1428" t="s">
        <v>80</v>
      </c>
      <c r="U1428" t="s">
        <v>4269</v>
      </c>
      <c r="V1428">
        <v>9000</v>
      </c>
      <c r="W1428" t="s">
        <v>48</v>
      </c>
      <c r="X1428" t="s">
        <v>690</v>
      </c>
      <c r="Y1428" t="s">
        <v>54</v>
      </c>
      <c r="Z1428" s="12">
        <f>IF(N1428&lt;=1,9,9+0.8*ROUNDUP(N1428-1,0))</f>
        <v>9</v>
      </c>
      <c r="AA1428" s="11">
        <v>-2</v>
      </c>
      <c r="AB1428" s="11">
        <v>0</v>
      </c>
      <c r="AC1428" s="11">
        <v>0</v>
      </c>
      <c r="AD1428" s="11">
        <v>0</v>
      </c>
      <c r="AE1428" s="11">
        <v>0</v>
      </c>
      <c r="AF1428" s="11">
        <f t="shared" si="66"/>
        <v>0.42</v>
      </c>
      <c r="AG1428" s="11">
        <f t="shared" si="67"/>
        <v>7.42</v>
      </c>
      <c r="AH1428" s="11">
        <v>0</v>
      </c>
      <c r="AI1428" s="11">
        <f t="shared" si="68"/>
        <v>7.42</v>
      </c>
      <c r="AJ1428" t="s">
        <v>62</v>
      </c>
    </row>
    <row r="1429" spans="1:36" ht="15" customHeight="1" x14ac:dyDescent="0.35">
      <c r="A1429">
        <v>10428918</v>
      </c>
      <c r="B1429" t="s">
        <v>36</v>
      </c>
      <c r="C1429" t="s">
        <v>37</v>
      </c>
      <c r="D1429" s="6" t="s">
        <v>38</v>
      </c>
      <c r="E1429" t="s">
        <v>4270</v>
      </c>
      <c r="F1429" t="s">
        <v>40</v>
      </c>
      <c r="G1429" t="s">
        <v>41</v>
      </c>
      <c r="H1429" t="s">
        <v>570</v>
      </c>
      <c r="I1429" t="s">
        <v>43</v>
      </c>
      <c r="J1429">
        <v>2</v>
      </c>
      <c r="K1429" t="s">
        <v>44</v>
      </c>
      <c r="L1429" t="s">
        <v>45</v>
      </c>
      <c r="M1429" t="s">
        <v>46</v>
      </c>
      <c r="N1429" s="7">
        <v>2</v>
      </c>
      <c r="O1429" s="8">
        <v>45635.644861111112</v>
      </c>
      <c r="P1429" s="9">
        <v>45637</v>
      </c>
      <c r="Q1429" t="s">
        <v>74</v>
      </c>
      <c r="R1429" t="s">
        <v>48</v>
      </c>
      <c r="S1429" t="s">
        <v>49</v>
      </c>
      <c r="T1429" t="s">
        <v>117</v>
      </c>
      <c r="U1429" t="s">
        <v>571</v>
      </c>
      <c r="V1429">
        <v>40000</v>
      </c>
      <c r="W1429" t="s">
        <v>48</v>
      </c>
      <c r="X1429" t="s">
        <v>473</v>
      </c>
      <c r="Y1429" t="s">
        <v>54</v>
      </c>
      <c r="Z1429" s="12">
        <f>IF(N1429&lt;=1,9,9+0.8*ROUNDUP(N1429-1,0))</f>
        <v>9.8000000000000007</v>
      </c>
      <c r="AA1429" s="11">
        <v>-2</v>
      </c>
      <c r="AB1429" s="11">
        <v>0</v>
      </c>
      <c r="AC1429" s="11">
        <v>0</v>
      </c>
      <c r="AD1429" s="11">
        <v>0</v>
      </c>
      <c r="AE1429" s="11">
        <v>0</v>
      </c>
      <c r="AF1429" s="11">
        <f t="shared" si="66"/>
        <v>0.46800000000000003</v>
      </c>
      <c r="AG1429" s="11">
        <f t="shared" si="67"/>
        <v>8.2680000000000007</v>
      </c>
      <c r="AH1429" s="11">
        <v>0</v>
      </c>
      <c r="AI1429" s="11">
        <f t="shared" si="68"/>
        <v>8.2680000000000007</v>
      </c>
      <c r="AJ1429" t="s">
        <v>62</v>
      </c>
    </row>
    <row r="1430" spans="1:36" ht="15" customHeight="1" x14ac:dyDescent="0.35">
      <c r="A1430">
        <v>10428918</v>
      </c>
      <c r="B1430" t="s">
        <v>36</v>
      </c>
      <c r="C1430" t="s">
        <v>37</v>
      </c>
      <c r="D1430" s="6" t="s">
        <v>38</v>
      </c>
      <c r="E1430" t="s">
        <v>4271</v>
      </c>
      <c r="F1430" t="s">
        <v>40</v>
      </c>
      <c r="G1430" t="s">
        <v>41</v>
      </c>
      <c r="H1430" t="s">
        <v>4272</v>
      </c>
      <c r="I1430" t="s">
        <v>43</v>
      </c>
      <c r="J1430">
        <v>2</v>
      </c>
      <c r="K1430" t="s">
        <v>44</v>
      </c>
      <c r="L1430" t="s">
        <v>45</v>
      </c>
      <c r="M1430" t="s">
        <v>46</v>
      </c>
      <c r="N1430" s="7">
        <v>1</v>
      </c>
      <c r="O1430" s="8">
        <v>45636.401226851849</v>
      </c>
      <c r="P1430" s="9">
        <v>45637</v>
      </c>
      <c r="Q1430" t="s">
        <v>74</v>
      </c>
      <c r="R1430" t="s">
        <v>48</v>
      </c>
      <c r="S1430" t="s">
        <v>49</v>
      </c>
      <c r="T1430" t="s">
        <v>65</v>
      </c>
      <c r="U1430" t="s">
        <v>4273</v>
      </c>
      <c r="V1430">
        <v>77000</v>
      </c>
      <c r="W1430" t="s">
        <v>48</v>
      </c>
      <c r="X1430" t="s">
        <v>3116</v>
      </c>
      <c r="Y1430" t="s">
        <v>54</v>
      </c>
      <c r="Z1430" s="12">
        <f>IF(N1430&lt;=1,9,9+0.8*ROUNDUP(N1430-1,0))</f>
        <v>9</v>
      </c>
      <c r="AA1430" s="11">
        <v>-2</v>
      </c>
      <c r="AB1430" s="11">
        <v>0</v>
      </c>
      <c r="AC1430" s="11">
        <v>0</v>
      </c>
      <c r="AD1430" s="11">
        <v>0</v>
      </c>
      <c r="AE1430" s="11">
        <v>0</v>
      </c>
      <c r="AF1430" s="11">
        <f t="shared" si="66"/>
        <v>0.42</v>
      </c>
      <c r="AG1430" s="11">
        <f t="shared" si="67"/>
        <v>7.42</v>
      </c>
      <c r="AH1430" s="11">
        <v>0</v>
      </c>
      <c r="AI1430" s="11">
        <f t="shared" si="68"/>
        <v>7.42</v>
      </c>
      <c r="AJ1430" t="s">
        <v>62</v>
      </c>
    </row>
    <row r="1431" spans="1:36" ht="15" customHeight="1" x14ac:dyDescent="0.35">
      <c r="A1431">
        <v>10428918</v>
      </c>
      <c r="B1431" t="s">
        <v>36</v>
      </c>
      <c r="C1431" t="s">
        <v>37</v>
      </c>
      <c r="D1431" s="6" t="s">
        <v>38</v>
      </c>
      <c r="E1431" t="s">
        <v>4274</v>
      </c>
      <c r="F1431" t="s">
        <v>40</v>
      </c>
      <c r="G1431" t="s">
        <v>41</v>
      </c>
      <c r="H1431" t="s">
        <v>4275</v>
      </c>
      <c r="I1431" t="s">
        <v>43</v>
      </c>
      <c r="J1431">
        <v>2</v>
      </c>
      <c r="K1431" t="s">
        <v>44</v>
      </c>
      <c r="L1431" t="s">
        <v>45</v>
      </c>
      <c r="M1431" t="s">
        <v>46</v>
      </c>
      <c r="N1431" s="7">
        <v>1</v>
      </c>
      <c r="O1431" s="8">
        <v>45634.795405092591</v>
      </c>
      <c r="P1431" s="9">
        <v>45637</v>
      </c>
      <c r="Q1431" t="s">
        <v>74</v>
      </c>
      <c r="R1431" t="s">
        <v>48</v>
      </c>
      <c r="S1431" t="s">
        <v>49</v>
      </c>
      <c r="T1431" t="s">
        <v>161</v>
      </c>
      <c r="U1431" t="s">
        <v>4276</v>
      </c>
      <c r="V1431">
        <v>13700</v>
      </c>
      <c r="W1431" t="s">
        <v>48</v>
      </c>
      <c r="X1431" t="s">
        <v>418</v>
      </c>
      <c r="Y1431" t="s">
        <v>54</v>
      </c>
      <c r="Z1431" s="12">
        <f>IF(N1431&lt;=1,9,9+0.8*ROUNDUP(N1431-1,0))</f>
        <v>9</v>
      </c>
      <c r="AA1431" s="11">
        <v>-2</v>
      </c>
      <c r="AB1431" s="11">
        <v>0</v>
      </c>
      <c r="AC1431" s="11">
        <v>0</v>
      </c>
      <c r="AD1431" s="11">
        <v>0</v>
      </c>
      <c r="AE1431" s="11">
        <v>0</v>
      </c>
      <c r="AF1431" s="11">
        <f t="shared" si="66"/>
        <v>0.42</v>
      </c>
      <c r="AG1431" s="11">
        <f t="shared" si="67"/>
        <v>7.42</v>
      </c>
      <c r="AH1431" s="11">
        <v>0</v>
      </c>
      <c r="AI1431" s="11">
        <f t="shared" si="68"/>
        <v>7.42</v>
      </c>
      <c r="AJ1431" t="s">
        <v>62</v>
      </c>
    </row>
    <row r="1432" spans="1:36" ht="15" customHeight="1" x14ac:dyDescent="0.35">
      <c r="A1432">
        <v>10428918</v>
      </c>
      <c r="B1432" t="s">
        <v>36</v>
      </c>
      <c r="C1432" t="s">
        <v>37</v>
      </c>
      <c r="D1432" s="6" t="s">
        <v>38</v>
      </c>
      <c r="E1432" t="s">
        <v>4277</v>
      </c>
      <c r="F1432" t="s">
        <v>40</v>
      </c>
      <c r="G1432" t="s">
        <v>41</v>
      </c>
      <c r="H1432" t="s">
        <v>4278</v>
      </c>
      <c r="I1432" t="s">
        <v>43</v>
      </c>
      <c r="J1432">
        <v>2</v>
      </c>
      <c r="K1432" t="s">
        <v>44</v>
      </c>
      <c r="L1432" t="s">
        <v>45</v>
      </c>
      <c r="M1432" t="s">
        <v>46</v>
      </c>
      <c r="N1432" s="7">
        <v>1</v>
      </c>
      <c r="O1432" s="8">
        <v>45635.694004629629</v>
      </c>
      <c r="P1432" s="9">
        <v>45637</v>
      </c>
      <c r="Q1432" t="s">
        <v>74</v>
      </c>
      <c r="R1432" t="s">
        <v>48</v>
      </c>
      <c r="S1432" t="s">
        <v>49</v>
      </c>
      <c r="T1432" t="s">
        <v>101</v>
      </c>
      <c r="U1432" t="s">
        <v>4279</v>
      </c>
      <c r="V1432">
        <v>30010</v>
      </c>
      <c r="W1432" t="s">
        <v>48</v>
      </c>
      <c r="X1432" t="s">
        <v>53</v>
      </c>
      <c r="Y1432" t="s">
        <v>54</v>
      </c>
      <c r="Z1432" s="12">
        <f>IF(N1432&lt;=1,9,9+0.8*ROUNDUP(N1432-1,0))</f>
        <v>9</v>
      </c>
      <c r="AA1432" s="11">
        <v>-2</v>
      </c>
      <c r="AB1432" s="11">
        <v>0</v>
      </c>
      <c r="AC1432" s="11">
        <v>0</v>
      </c>
      <c r="AD1432" s="11">
        <v>0</v>
      </c>
      <c r="AE1432" s="11">
        <v>0</v>
      </c>
      <c r="AF1432" s="11">
        <f t="shared" si="66"/>
        <v>0.42</v>
      </c>
      <c r="AG1432" s="11">
        <f t="shared" si="67"/>
        <v>7.42</v>
      </c>
      <c r="AH1432" s="11">
        <v>0</v>
      </c>
      <c r="AI1432" s="11">
        <f t="shared" si="68"/>
        <v>7.42</v>
      </c>
      <c r="AJ1432" t="s">
        <v>62</v>
      </c>
    </row>
    <row r="1433" spans="1:36" ht="15" customHeight="1" x14ac:dyDescent="0.35">
      <c r="A1433">
        <v>10428918</v>
      </c>
      <c r="B1433" t="s">
        <v>36</v>
      </c>
      <c r="C1433" t="s">
        <v>37</v>
      </c>
      <c r="D1433" s="6" t="s">
        <v>38</v>
      </c>
      <c r="E1433" t="s">
        <v>4280</v>
      </c>
      <c r="F1433" t="s">
        <v>40</v>
      </c>
      <c r="G1433" t="s">
        <v>41</v>
      </c>
      <c r="H1433" t="s">
        <v>4281</v>
      </c>
      <c r="I1433" t="s">
        <v>43</v>
      </c>
      <c r="J1433">
        <v>2</v>
      </c>
      <c r="K1433" t="s">
        <v>44</v>
      </c>
      <c r="L1433" t="s">
        <v>45</v>
      </c>
      <c r="M1433" t="s">
        <v>46</v>
      </c>
      <c r="N1433" s="7">
        <v>1</v>
      </c>
      <c r="O1433" s="8">
        <v>45636.410381944443</v>
      </c>
      <c r="P1433" s="9">
        <v>45637</v>
      </c>
      <c r="Q1433" t="s">
        <v>74</v>
      </c>
      <c r="R1433" t="s">
        <v>48</v>
      </c>
      <c r="S1433" t="s">
        <v>49</v>
      </c>
      <c r="T1433" t="s">
        <v>117</v>
      </c>
      <c r="U1433" t="s">
        <v>4282</v>
      </c>
      <c r="V1433">
        <v>45500</v>
      </c>
      <c r="W1433" t="s">
        <v>48</v>
      </c>
      <c r="X1433" t="s">
        <v>258</v>
      </c>
      <c r="Y1433" t="s">
        <v>54</v>
      </c>
      <c r="Z1433" s="12">
        <f>IF(N1433&lt;=1,9,9+0.8*ROUNDUP(N1433-1,0))</f>
        <v>9</v>
      </c>
      <c r="AA1433" s="11">
        <v>-2</v>
      </c>
      <c r="AB1433" s="11">
        <v>0</v>
      </c>
      <c r="AC1433" s="11">
        <v>0</v>
      </c>
      <c r="AD1433" s="11">
        <v>0</v>
      </c>
      <c r="AE1433" s="11">
        <v>0</v>
      </c>
      <c r="AF1433" s="11">
        <f t="shared" si="66"/>
        <v>0.42</v>
      </c>
      <c r="AG1433" s="11">
        <f t="shared" si="67"/>
        <v>7.42</v>
      </c>
      <c r="AH1433" s="11">
        <v>0</v>
      </c>
      <c r="AI1433" s="11">
        <f t="shared" si="68"/>
        <v>7.42</v>
      </c>
      <c r="AJ1433" t="s">
        <v>62</v>
      </c>
    </row>
    <row r="1434" spans="1:36" ht="15" customHeight="1" x14ac:dyDescent="0.35">
      <c r="A1434">
        <v>10428918</v>
      </c>
      <c r="B1434" t="s">
        <v>36</v>
      </c>
      <c r="C1434" t="s">
        <v>37</v>
      </c>
      <c r="D1434" s="6" t="s">
        <v>38</v>
      </c>
      <c r="E1434" t="s">
        <v>4283</v>
      </c>
      <c r="F1434" t="s">
        <v>40</v>
      </c>
      <c r="G1434" t="s">
        <v>41</v>
      </c>
      <c r="H1434" t="s">
        <v>4284</v>
      </c>
      <c r="I1434" t="s">
        <v>43</v>
      </c>
      <c r="J1434">
        <v>2</v>
      </c>
      <c r="K1434" t="s">
        <v>44</v>
      </c>
      <c r="L1434" t="s">
        <v>45</v>
      </c>
      <c r="M1434" t="s">
        <v>46</v>
      </c>
      <c r="N1434" s="7">
        <v>1</v>
      </c>
      <c r="O1434" s="8">
        <v>45636.401226851849</v>
      </c>
      <c r="P1434" s="9">
        <v>45637</v>
      </c>
      <c r="Q1434" t="s">
        <v>74</v>
      </c>
      <c r="R1434" t="s">
        <v>48</v>
      </c>
      <c r="S1434" t="s">
        <v>49</v>
      </c>
      <c r="T1434" t="s">
        <v>117</v>
      </c>
      <c r="U1434" t="s">
        <v>4285</v>
      </c>
      <c r="V1434">
        <v>40200</v>
      </c>
      <c r="W1434" t="s">
        <v>48</v>
      </c>
      <c r="X1434" t="s">
        <v>921</v>
      </c>
      <c r="Y1434" t="s">
        <v>54</v>
      </c>
      <c r="Z1434" s="12">
        <f>IF(N1434&lt;=1,9,9+0.8*ROUNDUP(N1434-1,0))</f>
        <v>9</v>
      </c>
      <c r="AA1434" s="11">
        <v>-2</v>
      </c>
      <c r="AB1434" s="11">
        <v>0</v>
      </c>
      <c r="AC1434" s="11">
        <v>0</v>
      </c>
      <c r="AD1434" s="11">
        <v>0</v>
      </c>
      <c r="AE1434" s="11">
        <v>0</v>
      </c>
      <c r="AF1434" s="11">
        <f t="shared" si="66"/>
        <v>0.42</v>
      </c>
      <c r="AG1434" s="11">
        <f t="shared" si="67"/>
        <v>7.42</v>
      </c>
      <c r="AH1434" s="11">
        <v>0</v>
      </c>
      <c r="AI1434" s="11">
        <f t="shared" si="68"/>
        <v>7.42</v>
      </c>
      <c r="AJ1434" t="s">
        <v>62</v>
      </c>
    </row>
    <row r="1435" spans="1:36" ht="15" customHeight="1" x14ac:dyDescent="0.35">
      <c r="A1435">
        <v>10428918</v>
      </c>
      <c r="B1435" t="s">
        <v>36</v>
      </c>
      <c r="C1435" t="s">
        <v>37</v>
      </c>
      <c r="D1435" s="6" t="s">
        <v>38</v>
      </c>
      <c r="E1435" t="s">
        <v>4286</v>
      </c>
      <c r="F1435" t="s">
        <v>40</v>
      </c>
      <c r="G1435" t="s">
        <v>41</v>
      </c>
      <c r="H1435" t="s">
        <v>4287</v>
      </c>
      <c r="I1435" t="s">
        <v>43</v>
      </c>
      <c r="J1435">
        <v>2</v>
      </c>
      <c r="K1435" t="s">
        <v>44</v>
      </c>
      <c r="L1435" t="s">
        <v>45</v>
      </c>
      <c r="M1435" t="s">
        <v>46</v>
      </c>
      <c r="N1435" s="7">
        <v>2</v>
      </c>
      <c r="O1435" s="8">
        <v>45634.795405092591</v>
      </c>
      <c r="P1435" s="9">
        <v>45637</v>
      </c>
      <c r="Q1435" t="s">
        <v>74</v>
      </c>
      <c r="R1435" t="s">
        <v>48</v>
      </c>
      <c r="S1435" t="s">
        <v>49</v>
      </c>
      <c r="T1435" t="s">
        <v>117</v>
      </c>
      <c r="U1435" t="s">
        <v>4288</v>
      </c>
      <c r="V1435">
        <v>40300</v>
      </c>
      <c r="W1435" t="s">
        <v>48</v>
      </c>
      <c r="X1435" t="s">
        <v>53</v>
      </c>
      <c r="Y1435" t="s">
        <v>54</v>
      </c>
      <c r="Z1435" s="12">
        <f>IF(N1435&lt;=1,9,9+0.8*ROUNDUP(N1435-1,0))</f>
        <v>9.8000000000000007</v>
      </c>
      <c r="AA1435" s="11">
        <v>-2</v>
      </c>
      <c r="AB1435" s="11">
        <v>0</v>
      </c>
      <c r="AC1435" s="11">
        <v>0</v>
      </c>
      <c r="AD1435" s="11">
        <v>0</v>
      </c>
      <c r="AE1435" s="11">
        <v>0</v>
      </c>
      <c r="AF1435" s="11">
        <f t="shared" si="66"/>
        <v>0.46800000000000003</v>
      </c>
      <c r="AG1435" s="11">
        <f t="shared" si="67"/>
        <v>8.2680000000000007</v>
      </c>
      <c r="AH1435" s="11">
        <v>0</v>
      </c>
      <c r="AI1435" s="11">
        <f t="shared" si="68"/>
        <v>8.2680000000000007</v>
      </c>
      <c r="AJ1435" t="s">
        <v>62</v>
      </c>
    </row>
    <row r="1436" spans="1:36" ht="15" customHeight="1" x14ac:dyDescent="0.35">
      <c r="A1436">
        <v>10428918</v>
      </c>
      <c r="B1436" t="s">
        <v>36</v>
      </c>
      <c r="C1436" t="s">
        <v>37</v>
      </c>
      <c r="D1436" s="6" t="s">
        <v>38</v>
      </c>
      <c r="E1436" t="s">
        <v>4289</v>
      </c>
      <c r="F1436" t="s">
        <v>40</v>
      </c>
      <c r="G1436" t="s">
        <v>41</v>
      </c>
      <c r="H1436" t="s">
        <v>570</v>
      </c>
      <c r="I1436" t="s">
        <v>43</v>
      </c>
      <c r="J1436">
        <v>2</v>
      </c>
      <c r="K1436" t="s">
        <v>44</v>
      </c>
      <c r="L1436" t="s">
        <v>45</v>
      </c>
      <c r="M1436" t="s">
        <v>46</v>
      </c>
      <c r="N1436" s="7">
        <v>5</v>
      </c>
      <c r="O1436" s="8">
        <v>45635.744803240741</v>
      </c>
      <c r="P1436" s="9">
        <v>45637</v>
      </c>
      <c r="Q1436" t="s">
        <v>74</v>
      </c>
      <c r="R1436" t="s">
        <v>48</v>
      </c>
      <c r="S1436" t="s">
        <v>49</v>
      </c>
      <c r="T1436" t="s">
        <v>117</v>
      </c>
      <c r="U1436" t="s">
        <v>571</v>
      </c>
      <c r="V1436">
        <v>40000</v>
      </c>
      <c r="W1436" t="s">
        <v>48</v>
      </c>
      <c r="X1436" t="s">
        <v>473</v>
      </c>
      <c r="Y1436" t="s">
        <v>54</v>
      </c>
      <c r="Z1436" s="12">
        <f>IF(N1436&lt;=1,9,9+0.8*ROUNDUP(N1436-1,0))</f>
        <v>12.2</v>
      </c>
      <c r="AA1436" s="11">
        <v>-2</v>
      </c>
      <c r="AB1436" s="11">
        <v>0</v>
      </c>
      <c r="AC1436" s="11">
        <v>0</v>
      </c>
      <c r="AD1436" s="11">
        <v>0</v>
      </c>
      <c r="AE1436" s="11">
        <v>0</v>
      </c>
      <c r="AF1436" s="11">
        <f t="shared" si="66"/>
        <v>0.61199999999999999</v>
      </c>
      <c r="AG1436" s="11">
        <f t="shared" si="67"/>
        <v>10.811999999999999</v>
      </c>
      <c r="AH1436" s="11">
        <v>0</v>
      </c>
      <c r="AI1436" s="11">
        <f t="shared" si="68"/>
        <v>10.811999999999999</v>
      </c>
      <c r="AJ1436" t="s">
        <v>62</v>
      </c>
    </row>
    <row r="1437" spans="1:36" ht="15" customHeight="1" x14ac:dyDescent="0.35">
      <c r="A1437">
        <v>10428918</v>
      </c>
      <c r="B1437" t="s">
        <v>36</v>
      </c>
      <c r="C1437" t="s">
        <v>37</v>
      </c>
      <c r="D1437" s="6" t="s">
        <v>38</v>
      </c>
      <c r="E1437" t="s">
        <v>4290</v>
      </c>
      <c r="F1437" t="s">
        <v>40</v>
      </c>
      <c r="G1437" t="s">
        <v>41</v>
      </c>
      <c r="H1437" t="s">
        <v>570</v>
      </c>
      <c r="I1437" t="s">
        <v>43</v>
      </c>
      <c r="J1437">
        <v>2</v>
      </c>
      <c r="K1437" t="s">
        <v>44</v>
      </c>
      <c r="L1437" t="s">
        <v>45</v>
      </c>
      <c r="M1437" t="s">
        <v>46</v>
      </c>
      <c r="N1437" s="7">
        <v>6</v>
      </c>
      <c r="O1437" s="8">
        <v>45635.705648148149</v>
      </c>
      <c r="P1437" s="9">
        <v>45637</v>
      </c>
      <c r="Q1437" t="s">
        <v>74</v>
      </c>
      <c r="R1437" t="s">
        <v>48</v>
      </c>
      <c r="S1437" t="s">
        <v>49</v>
      </c>
      <c r="T1437" t="s">
        <v>117</v>
      </c>
      <c r="U1437" t="s">
        <v>571</v>
      </c>
      <c r="V1437">
        <v>40000</v>
      </c>
      <c r="W1437" t="s">
        <v>48</v>
      </c>
      <c r="X1437" t="s">
        <v>473</v>
      </c>
      <c r="Y1437" t="s">
        <v>54</v>
      </c>
      <c r="Z1437" s="12">
        <f>IF(N1437&lt;=1,9,9+0.8*ROUNDUP(N1437-1,0))</f>
        <v>13</v>
      </c>
      <c r="AA1437" s="11">
        <v>-2</v>
      </c>
      <c r="AB1437" s="11">
        <v>0</v>
      </c>
      <c r="AC1437" s="11">
        <v>0</v>
      </c>
      <c r="AD1437" s="11">
        <v>0</v>
      </c>
      <c r="AE1437" s="11">
        <v>0</v>
      </c>
      <c r="AF1437" s="11">
        <f t="shared" si="66"/>
        <v>0.65999999999999992</v>
      </c>
      <c r="AG1437" s="11">
        <f t="shared" si="67"/>
        <v>11.66</v>
      </c>
      <c r="AH1437" s="11">
        <v>0</v>
      </c>
      <c r="AI1437" s="11">
        <f t="shared" si="68"/>
        <v>11.66</v>
      </c>
      <c r="AJ1437" t="s">
        <v>62</v>
      </c>
    </row>
    <row r="1438" spans="1:36" ht="15" customHeight="1" x14ac:dyDescent="0.35">
      <c r="A1438">
        <v>10428918</v>
      </c>
      <c r="B1438" t="s">
        <v>36</v>
      </c>
      <c r="C1438" t="s">
        <v>37</v>
      </c>
      <c r="D1438" s="6" t="s">
        <v>38</v>
      </c>
      <c r="E1438" t="s">
        <v>4291</v>
      </c>
      <c r="F1438" t="s">
        <v>40</v>
      </c>
      <c r="G1438" t="s">
        <v>41</v>
      </c>
      <c r="H1438" t="s">
        <v>4292</v>
      </c>
      <c r="I1438" t="s">
        <v>43</v>
      </c>
      <c r="J1438">
        <v>2</v>
      </c>
      <c r="K1438" t="s">
        <v>44</v>
      </c>
      <c r="L1438" t="s">
        <v>45</v>
      </c>
      <c r="M1438" t="s">
        <v>46</v>
      </c>
      <c r="N1438" s="7">
        <v>1</v>
      </c>
      <c r="O1438" s="8">
        <v>45636.547766203701</v>
      </c>
      <c r="P1438" s="9">
        <v>45637</v>
      </c>
      <c r="Q1438" t="s">
        <v>74</v>
      </c>
      <c r="R1438" t="s">
        <v>48</v>
      </c>
      <c r="S1438" t="s">
        <v>49</v>
      </c>
      <c r="T1438" t="s">
        <v>117</v>
      </c>
      <c r="U1438" t="s">
        <v>4293</v>
      </c>
      <c r="V1438">
        <v>43200</v>
      </c>
      <c r="W1438" t="s">
        <v>48</v>
      </c>
      <c r="X1438" t="s">
        <v>357</v>
      </c>
      <c r="Y1438" t="s">
        <v>54</v>
      </c>
      <c r="Z1438" s="12">
        <f>IF(N1438&lt;=1,9,9+0.8*ROUNDUP(N1438-1,0))</f>
        <v>9</v>
      </c>
      <c r="AA1438" s="11">
        <v>-2</v>
      </c>
      <c r="AB1438" s="11">
        <v>0</v>
      </c>
      <c r="AC1438" s="11">
        <v>0</v>
      </c>
      <c r="AD1438" s="11">
        <v>0</v>
      </c>
      <c r="AE1438" s="11">
        <v>0</v>
      </c>
      <c r="AF1438" s="11">
        <f t="shared" si="66"/>
        <v>0.42</v>
      </c>
      <c r="AG1438" s="11">
        <f t="shared" si="67"/>
        <v>7.42</v>
      </c>
      <c r="AH1438" s="11">
        <v>0</v>
      </c>
      <c r="AI1438" s="11">
        <f t="shared" si="68"/>
        <v>7.42</v>
      </c>
      <c r="AJ1438" t="s">
        <v>62</v>
      </c>
    </row>
    <row r="1439" spans="1:36" ht="15" customHeight="1" x14ac:dyDescent="0.35">
      <c r="A1439">
        <v>10428918</v>
      </c>
      <c r="B1439" t="s">
        <v>36</v>
      </c>
      <c r="C1439" t="s">
        <v>37</v>
      </c>
      <c r="D1439" s="6" t="s">
        <v>38</v>
      </c>
      <c r="E1439" t="s">
        <v>4294</v>
      </c>
      <c r="F1439" t="s">
        <v>40</v>
      </c>
      <c r="G1439" t="s">
        <v>41</v>
      </c>
      <c r="H1439" t="s">
        <v>4295</v>
      </c>
      <c r="I1439" t="s">
        <v>43</v>
      </c>
      <c r="J1439">
        <v>2</v>
      </c>
      <c r="K1439" t="s">
        <v>44</v>
      </c>
      <c r="L1439" t="s">
        <v>45</v>
      </c>
      <c r="M1439" t="s">
        <v>46</v>
      </c>
      <c r="N1439" s="7">
        <v>1</v>
      </c>
      <c r="O1439" s="8">
        <v>45635.801886574074</v>
      </c>
      <c r="P1439" s="9">
        <v>45637</v>
      </c>
      <c r="Q1439" t="s">
        <v>74</v>
      </c>
      <c r="R1439" t="s">
        <v>48</v>
      </c>
      <c r="S1439" t="s">
        <v>49</v>
      </c>
      <c r="T1439" t="s">
        <v>59</v>
      </c>
      <c r="U1439" t="s">
        <v>4296</v>
      </c>
      <c r="V1439">
        <v>17510</v>
      </c>
      <c r="W1439" t="s">
        <v>48</v>
      </c>
      <c r="X1439" t="s">
        <v>61</v>
      </c>
      <c r="Y1439" t="s">
        <v>54</v>
      </c>
      <c r="Z1439" s="12">
        <f>IF(N1439&lt;=1,9,9+0.8*ROUNDUP(N1439-1,0))</f>
        <v>9</v>
      </c>
      <c r="AA1439" s="11">
        <v>-2</v>
      </c>
      <c r="AB1439" s="11">
        <v>0</v>
      </c>
      <c r="AC1439" s="11">
        <v>0</v>
      </c>
      <c r="AD1439" s="11">
        <v>0</v>
      </c>
      <c r="AE1439" s="11">
        <v>0</v>
      </c>
      <c r="AF1439" s="11">
        <f t="shared" si="66"/>
        <v>0.42</v>
      </c>
      <c r="AG1439" s="11">
        <f t="shared" si="67"/>
        <v>7.42</v>
      </c>
      <c r="AH1439" s="11">
        <v>0</v>
      </c>
      <c r="AI1439" s="11">
        <f t="shared" si="68"/>
        <v>7.42</v>
      </c>
      <c r="AJ1439" t="s">
        <v>62</v>
      </c>
    </row>
    <row r="1440" spans="1:36" ht="15" customHeight="1" x14ac:dyDescent="0.35">
      <c r="A1440">
        <v>10428918</v>
      </c>
      <c r="B1440" t="s">
        <v>36</v>
      </c>
      <c r="C1440" t="s">
        <v>37</v>
      </c>
      <c r="D1440" s="6" t="s">
        <v>38</v>
      </c>
      <c r="E1440" t="s">
        <v>4297</v>
      </c>
      <c r="F1440" t="s">
        <v>40</v>
      </c>
      <c r="G1440" t="s">
        <v>41</v>
      </c>
      <c r="H1440" t="s">
        <v>4298</v>
      </c>
      <c r="I1440" t="s">
        <v>43</v>
      </c>
      <c r="J1440">
        <v>2</v>
      </c>
      <c r="K1440" t="s">
        <v>44</v>
      </c>
      <c r="L1440" t="s">
        <v>45</v>
      </c>
      <c r="M1440" t="s">
        <v>46</v>
      </c>
      <c r="N1440" s="7">
        <v>2</v>
      </c>
      <c r="O1440" s="8">
        <v>45635.410694444443</v>
      </c>
      <c r="P1440" s="9">
        <v>45637</v>
      </c>
      <c r="Q1440" t="s">
        <v>74</v>
      </c>
      <c r="R1440" t="s">
        <v>48</v>
      </c>
      <c r="S1440" t="s">
        <v>49</v>
      </c>
      <c r="T1440" t="s">
        <v>101</v>
      </c>
      <c r="U1440" t="s">
        <v>4299</v>
      </c>
      <c r="V1440">
        <v>32600</v>
      </c>
      <c r="W1440" t="s">
        <v>48</v>
      </c>
      <c r="X1440" t="s">
        <v>754</v>
      </c>
      <c r="Y1440" t="s">
        <v>54</v>
      </c>
      <c r="Z1440" s="12">
        <f>IF(N1440&lt;=1,9,9+0.8*ROUNDUP(N1440-1,0))</f>
        <v>9.8000000000000007</v>
      </c>
      <c r="AA1440" s="11">
        <v>-2</v>
      </c>
      <c r="AB1440" s="11">
        <v>0</v>
      </c>
      <c r="AC1440" s="11">
        <v>0</v>
      </c>
      <c r="AD1440" s="11">
        <v>0</v>
      </c>
      <c r="AE1440" s="11">
        <v>0</v>
      </c>
      <c r="AF1440" s="11">
        <f t="shared" si="66"/>
        <v>0.46800000000000003</v>
      </c>
      <c r="AG1440" s="11">
        <f t="shared" si="67"/>
        <v>8.2680000000000007</v>
      </c>
      <c r="AH1440" s="11">
        <v>0</v>
      </c>
      <c r="AI1440" s="11">
        <f t="shared" si="68"/>
        <v>8.2680000000000007</v>
      </c>
      <c r="AJ1440" t="s">
        <v>62</v>
      </c>
    </row>
    <row r="1441" spans="1:36" ht="15" customHeight="1" x14ac:dyDescent="0.35">
      <c r="A1441">
        <v>10428918</v>
      </c>
      <c r="B1441" t="s">
        <v>36</v>
      </c>
      <c r="C1441" t="s">
        <v>37</v>
      </c>
      <c r="D1441" s="6" t="s">
        <v>38</v>
      </c>
      <c r="E1441" t="s">
        <v>4300</v>
      </c>
      <c r="F1441" t="s">
        <v>40</v>
      </c>
      <c r="G1441" t="s">
        <v>41</v>
      </c>
      <c r="H1441" t="s">
        <v>4301</v>
      </c>
      <c r="I1441" t="s">
        <v>43</v>
      </c>
      <c r="J1441">
        <v>2</v>
      </c>
      <c r="K1441" t="s">
        <v>44</v>
      </c>
      <c r="L1441" t="s">
        <v>45</v>
      </c>
      <c r="M1441" t="s">
        <v>46</v>
      </c>
      <c r="N1441" s="7">
        <v>1</v>
      </c>
      <c r="O1441" s="8">
        <v>45635.801886574074</v>
      </c>
      <c r="P1441" s="9">
        <v>45637</v>
      </c>
      <c r="Q1441" t="s">
        <v>74</v>
      </c>
      <c r="R1441" t="s">
        <v>48</v>
      </c>
      <c r="S1441" t="s">
        <v>49</v>
      </c>
      <c r="T1441" t="s">
        <v>90</v>
      </c>
      <c r="U1441" t="s">
        <v>4302</v>
      </c>
      <c r="V1441">
        <v>22000</v>
      </c>
      <c r="W1441" t="s">
        <v>48</v>
      </c>
      <c r="X1441" t="s">
        <v>61</v>
      </c>
      <c r="Y1441" t="s">
        <v>54</v>
      </c>
      <c r="Z1441" s="12">
        <f>IF(N1441&lt;=1,9,9+0.8*ROUNDUP(N1441-1,0))</f>
        <v>9</v>
      </c>
      <c r="AA1441" s="11">
        <v>-2</v>
      </c>
      <c r="AB1441" s="11">
        <v>0</v>
      </c>
      <c r="AC1441" s="11">
        <v>0</v>
      </c>
      <c r="AD1441" s="11">
        <v>0</v>
      </c>
      <c r="AE1441" s="11">
        <v>0</v>
      </c>
      <c r="AF1441" s="11">
        <f t="shared" si="66"/>
        <v>0.42</v>
      </c>
      <c r="AG1441" s="11">
        <f t="shared" si="67"/>
        <v>7.42</v>
      </c>
      <c r="AH1441" s="11">
        <v>0</v>
      </c>
      <c r="AI1441" s="11">
        <f t="shared" si="68"/>
        <v>7.42</v>
      </c>
      <c r="AJ1441" t="s">
        <v>62</v>
      </c>
    </row>
    <row r="1442" spans="1:36" ht="15" customHeight="1" x14ac:dyDescent="0.35">
      <c r="A1442">
        <v>10428918</v>
      </c>
      <c r="B1442" t="s">
        <v>36</v>
      </c>
      <c r="C1442" t="s">
        <v>37</v>
      </c>
      <c r="D1442" s="6" t="s">
        <v>38</v>
      </c>
      <c r="E1442" t="s">
        <v>4303</v>
      </c>
      <c r="F1442" t="s">
        <v>40</v>
      </c>
      <c r="G1442" t="s">
        <v>41</v>
      </c>
      <c r="H1442" t="s">
        <v>4304</v>
      </c>
      <c r="I1442" t="s">
        <v>43</v>
      </c>
      <c r="J1442">
        <v>2</v>
      </c>
      <c r="K1442" t="s">
        <v>44</v>
      </c>
      <c r="L1442" t="s">
        <v>45</v>
      </c>
      <c r="M1442" t="s">
        <v>46</v>
      </c>
      <c r="N1442" s="7">
        <v>1</v>
      </c>
      <c r="O1442" s="8">
        <v>45636.410381944443</v>
      </c>
      <c r="P1442" s="9">
        <v>45637</v>
      </c>
      <c r="Q1442" t="s">
        <v>74</v>
      </c>
      <c r="R1442" t="s">
        <v>48</v>
      </c>
      <c r="S1442" t="s">
        <v>49</v>
      </c>
      <c r="T1442" t="s">
        <v>117</v>
      </c>
      <c r="U1442" t="s">
        <v>4305</v>
      </c>
      <c r="V1442">
        <v>40150</v>
      </c>
      <c r="W1442" t="s">
        <v>48</v>
      </c>
      <c r="X1442" t="s">
        <v>429</v>
      </c>
      <c r="Y1442" t="s">
        <v>54</v>
      </c>
      <c r="Z1442" s="12">
        <f>IF(N1442&lt;=1,9,9+0.8*ROUNDUP(N1442-1,0))</f>
        <v>9</v>
      </c>
      <c r="AA1442" s="11">
        <v>-2</v>
      </c>
      <c r="AB1442" s="11">
        <v>0</v>
      </c>
      <c r="AC1442" s="11">
        <v>0</v>
      </c>
      <c r="AD1442" s="11">
        <v>0</v>
      </c>
      <c r="AE1442" s="11">
        <v>0</v>
      </c>
      <c r="AF1442" s="11">
        <f t="shared" si="66"/>
        <v>0.42</v>
      </c>
      <c r="AG1442" s="11">
        <f t="shared" si="67"/>
        <v>7.42</v>
      </c>
      <c r="AH1442" s="11">
        <v>0</v>
      </c>
      <c r="AI1442" s="11">
        <f t="shared" si="68"/>
        <v>7.42</v>
      </c>
      <c r="AJ1442" t="s">
        <v>62</v>
      </c>
    </row>
    <row r="1443" spans="1:36" ht="15" customHeight="1" x14ac:dyDescent="0.35">
      <c r="A1443">
        <v>10428918</v>
      </c>
      <c r="B1443" t="s">
        <v>36</v>
      </c>
      <c r="C1443" t="s">
        <v>37</v>
      </c>
      <c r="D1443" s="6" t="s">
        <v>38</v>
      </c>
      <c r="E1443" t="s">
        <v>4306</v>
      </c>
      <c r="F1443" t="s">
        <v>40</v>
      </c>
      <c r="G1443" t="s">
        <v>41</v>
      </c>
      <c r="H1443" t="s">
        <v>4307</v>
      </c>
      <c r="I1443" t="s">
        <v>43</v>
      </c>
      <c r="J1443">
        <v>2</v>
      </c>
      <c r="K1443" t="s">
        <v>44</v>
      </c>
      <c r="L1443" t="s">
        <v>45</v>
      </c>
      <c r="M1443" t="s">
        <v>46</v>
      </c>
      <c r="N1443" s="7">
        <v>1</v>
      </c>
      <c r="O1443" s="8">
        <v>45635.801886574074</v>
      </c>
      <c r="P1443" s="9">
        <v>45637</v>
      </c>
      <c r="Q1443" t="s">
        <v>74</v>
      </c>
      <c r="R1443" t="s">
        <v>48</v>
      </c>
      <c r="S1443" t="s">
        <v>49</v>
      </c>
      <c r="T1443" t="s">
        <v>59</v>
      </c>
      <c r="U1443" t="s">
        <v>4308</v>
      </c>
      <c r="V1443">
        <v>16210</v>
      </c>
      <c r="W1443" t="s">
        <v>48</v>
      </c>
      <c r="X1443" t="s">
        <v>61</v>
      </c>
      <c r="Y1443" t="s">
        <v>54</v>
      </c>
      <c r="Z1443" s="12">
        <f>IF(N1443&lt;=1,9,9+0.8*ROUNDUP(N1443-1,0))</f>
        <v>9</v>
      </c>
      <c r="AA1443" s="11">
        <v>-2</v>
      </c>
      <c r="AB1443" s="11">
        <v>0</v>
      </c>
      <c r="AC1443" s="11">
        <v>0</v>
      </c>
      <c r="AD1443" s="11">
        <v>0</v>
      </c>
      <c r="AE1443" s="11">
        <v>0</v>
      </c>
      <c r="AF1443" s="11">
        <f t="shared" si="66"/>
        <v>0.42</v>
      </c>
      <c r="AG1443" s="11">
        <f t="shared" si="67"/>
        <v>7.42</v>
      </c>
      <c r="AH1443" s="11">
        <v>0</v>
      </c>
      <c r="AI1443" s="11">
        <f t="shared" si="68"/>
        <v>7.42</v>
      </c>
      <c r="AJ1443" t="s">
        <v>62</v>
      </c>
    </row>
    <row r="1444" spans="1:36" ht="15" customHeight="1" x14ac:dyDescent="0.35">
      <c r="A1444">
        <v>10428918</v>
      </c>
      <c r="B1444" t="s">
        <v>36</v>
      </c>
      <c r="C1444" t="s">
        <v>37</v>
      </c>
      <c r="D1444" s="6" t="s">
        <v>38</v>
      </c>
      <c r="E1444" t="s">
        <v>4309</v>
      </c>
      <c r="F1444" t="s">
        <v>40</v>
      </c>
      <c r="G1444" t="s">
        <v>41</v>
      </c>
      <c r="H1444" t="s">
        <v>463</v>
      </c>
      <c r="I1444" t="s">
        <v>43</v>
      </c>
      <c r="J1444">
        <v>2</v>
      </c>
      <c r="K1444" t="s">
        <v>44</v>
      </c>
      <c r="L1444" t="s">
        <v>45</v>
      </c>
      <c r="M1444" t="s">
        <v>46</v>
      </c>
      <c r="N1444" s="7">
        <v>2</v>
      </c>
      <c r="O1444" s="8">
        <v>45635.658113425925</v>
      </c>
      <c r="P1444" s="9">
        <v>45637</v>
      </c>
      <c r="Q1444" t="s">
        <v>74</v>
      </c>
      <c r="R1444" t="s">
        <v>48</v>
      </c>
      <c r="S1444" t="s">
        <v>49</v>
      </c>
      <c r="T1444" t="s">
        <v>101</v>
      </c>
      <c r="U1444" t="s">
        <v>464</v>
      </c>
      <c r="V1444">
        <v>33300</v>
      </c>
      <c r="W1444" t="s">
        <v>48</v>
      </c>
      <c r="X1444" t="s">
        <v>465</v>
      </c>
      <c r="Y1444" t="s">
        <v>54</v>
      </c>
      <c r="Z1444" s="12">
        <f>IF(N1444&lt;=1,9,9+0.8*ROUNDUP(N1444-1,0))</f>
        <v>9.8000000000000007</v>
      </c>
      <c r="AA1444" s="11">
        <v>-2</v>
      </c>
      <c r="AB1444" s="11">
        <v>0</v>
      </c>
      <c r="AC1444" s="11">
        <v>0</v>
      </c>
      <c r="AD1444" s="11">
        <v>0</v>
      </c>
      <c r="AE1444" s="11">
        <v>0</v>
      </c>
      <c r="AF1444" s="11">
        <f t="shared" si="66"/>
        <v>0.46800000000000003</v>
      </c>
      <c r="AG1444" s="11">
        <f t="shared" si="67"/>
        <v>8.2680000000000007</v>
      </c>
      <c r="AH1444" s="11">
        <v>0</v>
      </c>
      <c r="AI1444" s="11">
        <f t="shared" si="68"/>
        <v>8.2680000000000007</v>
      </c>
      <c r="AJ1444" t="s">
        <v>62</v>
      </c>
    </row>
    <row r="1445" spans="1:36" ht="15" customHeight="1" x14ac:dyDescent="0.35">
      <c r="A1445">
        <v>10428918</v>
      </c>
      <c r="B1445" t="s">
        <v>36</v>
      </c>
      <c r="C1445" t="s">
        <v>37</v>
      </c>
      <c r="D1445" s="6" t="s">
        <v>38</v>
      </c>
      <c r="E1445" t="s">
        <v>4310</v>
      </c>
      <c r="F1445" t="s">
        <v>40</v>
      </c>
      <c r="G1445" t="s">
        <v>41</v>
      </c>
      <c r="H1445" t="s">
        <v>4311</v>
      </c>
      <c r="I1445" t="s">
        <v>43</v>
      </c>
      <c r="J1445">
        <v>2</v>
      </c>
      <c r="K1445" t="s">
        <v>44</v>
      </c>
      <c r="L1445" t="s">
        <v>45</v>
      </c>
      <c r="M1445" t="s">
        <v>46</v>
      </c>
      <c r="N1445" s="7">
        <v>1</v>
      </c>
      <c r="O1445" s="8">
        <v>45636.401226851849</v>
      </c>
      <c r="P1445" s="9">
        <v>45637</v>
      </c>
      <c r="Q1445" t="s">
        <v>74</v>
      </c>
      <c r="R1445" t="s">
        <v>48</v>
      </c>
      <c r="S1445" t="s">
        <v>49</v>
      </c>
      <c r="T1445" t="s">
        <v>85</v>
      </c>
      <c r="U1445" t="s">
        <v>4312</v>
      </c>
      <c r="V1445">
        <v>71900</v>
      </c>
      <c r="W1445" t="s">
        <v>48</v>
      </c>
      <c r="X1445" t="s">
        <v>503</v>
      </c>
      <c r="Y1445" t="s">
        <v>54</v>
      </c>
      <c r="Z1445" s="12">
        <f>IF(N1445&lt;=1,9,9+0.8*ROUNDUP(N1445-1,0))</f>
        <v>9</v>
      </c>
      <c r="AA1445" s="11">
        <v>-2</v>
      </c>
      <c r="AB1445" s="11">
        <v>0</v>
      </c>
      <c r="AC1445" s="11">
        <v>0</v>
      </c>
      <c r="AD1445" s="11">
        <v>0</v>
      </c>
      <c r="AE1445" s="11">
        <v>0</v>
      </c>
      <c r="AF1445" s="11">
        <f t="shared" si="66"/>
        <v>0.42</v>
      </c>
      <c r="AG1445" s="11">
        <f t="shared" si="67"/>
        <v>7.42</v>
      </c>
      <c r="AH1445" s="11">
        <v>0</v>
      </c>
      <c r="AI1445" s="11">
        <f t="shared" si="68"/>
        <v>7.42</v>
      </c>
      <c r="AJ1445" t="s">
        <v>62</v>
      </c>
    </row>
    <row r="1446" spans="1:36" ht="15" customHeight="1" x14ac:dyDescent="0.35">
      <c r="A1446">
        <v>10428918</v>
      </c>
      <c r="B1446" t="s">
        <v>36</v>
      </c>
      <c r="C1446" t="s">
        <v>37</v>
      </c>
      <c r="D1446" s="6" t="s">
        <v>38</v>
      </c>
      <c r="E1446" t="s">
        <v>4313</v>
      </c>
      <c r="F1446" t="s">
        <v>40</v>
      </c>
      <c r="G1446" t="s">
        <v>41</v>
      </c>
      <c r="H1446" t="s">
        <v>4314</v>
      </c>
      <c r="I1446" t="s">
        <v>43</v>
      </c>
      <c r="J1446">
        <v>2</v>
      </c>
      <c r="K1446" t="s">
        <v>44</v>
      </c>
      <c r="L1446" t="s">
        <v>45</v>
      </c>
      <c r="M1446" t="s">
        <v>46</v>
      </c>
      <c r="N1446" s="7">
        <v>1</v>
      </c>
      <c r="O1446" s="8">
        <v>45635.410694444443</v>
      </c>
      <c r="P1446" s="9">
        <v>45637</v>
      </c>
      <c r="Q1446" t="s">
        <v>74</v>
      </c>
      <c r="R1446" t="s">
        <v>48</v>
      </c>
      <c r="S1446" t="s">
        <v>49</v>
      </c>
      <c r="T1446" t="s">
        <v>69</v>
      </c>
      <c r="U1446" t="s">
        <v>4315</v>
      </c>
      <c r="V1446">
        <v>81400</v>
      </c>
      <c r="W1446" t="s">
        <v>48</v>
      </c>
      <c r="X1446" t="s">
        <v>1040</v>
      </c>
      <c r="Y1446" t="s">
        <v>54</v>
      </c>
      <c r="Z1446" s="12">
        <f>IF(N1446&lt;=1,9,9+0.8*ROUNDUP(N1446-1,0))</f>
        <v>9</v>
      </c>
      <c r="AA1446" s="11">
        <v>-2</v>
      </c>
      <c r="AB1446" s="11">
        <v>0</v>
      </c>
      <c r="AC1446" s="11">
        <v>0</v>
      </c>
      <c r="AD1446" s="11">
        <v>0</v>
      </c>
      <c r="AE1446" s="11">
        <v>0</v>
      </c>
      <c r="AF1446" s="11">
        <f t="shared" si="66"/>
        <v>0.42</v>
      </c>
      <c r="AG1446" s="11">
        <f t="shared" si="67"/>
        <v>7.42</v>
      </c>
      <c r="AH1446" s="11">
        <v>0</v>
      </c>
      <c r="AI1446" s="11">
        <f t="shared" si="68"/>
        <v>7.42</v>
      </c>
      <c r="AJ1446" t="s">
        <v>62</v>
      </c>
    </row>
    <row r="1447" spans="1:36" ht="15" customHeight="1" x14ac:dyDescent="0.35">
      <c r="A1447">
        <v>10428918</v>
      </c>
      <c r="B1447" t="s">
        <v>36</v>
      </c>
      <c r="C1447" t="s">
        <v>37</v>
      </c>
      <c r="D1447" s="6" t="s">
        <v>38</v>
      </c>
      <c r="E1447" t="s">
        <v>4316</v>
      </c>
      <c r="F1447" t="s">
        <v>40</v>
      </c>
      <c r="G1447" t="s">
        <v>41</v>
      </c>
      <c r="H1447" t="s">
        <v>4317</v>
      </c>
      <c r="I1447" t="s">
        <v>43</v>
      </c>
      <c r="J1447">
        <v>2</v>
      </c>
      <c r="K1447" t="s">
        <v>44</v>
      </c>
      <c r="L1447" t="s">
        <v>45</v>
      </c>
      <c r="M1447" t="s">
        <v>46</v>
      </c>
      <c r="N1447" s="7">
        <v>1</v>
      </c>
      <c r="O1447" s="8">
        <v>45631.800324074073</v>
      </c>
      <c r="P1447" s="9">
        <v>45637</v>
      </c>
      <c r="Q1447" t="s">
        <v>74</v>
      </c>
      <c r="R1447" t="s">
        <v>48</v>
      </c>
      <c r="S1447" t="s">
        <v>49</v>
      </c>
      <c r="T1447" t="s">
        <v>80</v>
      </c>
      <c r="U1447" t="s">
        <v>4318</v>
      </c>
      <c r="V1447">
        <v>8000</v>
      </c>
      <c r="W1447" t="s">
        <v>48</v>
      </c>
      <c r="X1447" t="s">
        <v>145</v>
      </c>
      <c r="Y1447" t="s">
        <v>54</v>
      </c>
      <c r="Z1447" s="12">
        <f>IF(N1447&lt;=1,9,9+0.8*ROUNDUP(N1447-1,0))</f>
        <v>9</v>
      </c>
      <c r="AA1447" s="11">
        <v>-2</v>
      </c>
      <c r="AB1447" s="11">
        <v>0</v>
      </c>
      <c r="AC1447" s="11">
        <v>0</v>
      </c>
      <c r="AD1447" s="11">
        <v>0</v>
      </c>
      <c r="AE1447" s="11">
        <v>0</v>
      </c>
      <c r="AF1447" s="11">
        <f t="shared" si="66"/>
        <v>0.42</v>
      </c>
      <c r="AG1447" s="11">
        <f t="shared" si="67"/>
        <v>7.42</v>
      </c>
      <c r="AH1447" s="11">
        <v>0</v>
      </c>
      <c r="AI1447" s="11">
        <f t="shared" si="68"/>
        <v>7.42</v>
      </c>
      <c r="AJ1447" t="s">
        <v>62</v>
      </c>
    </row>
    <row r="1448" spans="1:36" ht="15" customHeight="1" x14ac:dyDescent="0.35">
      <c r="A1448">
        <v>10428918</v>
      </c>
      <c r="B1448" t="s">
        <v>36</v>
      </c>
      <c r="C1448" t="s">
        <v>37</v>
      </c>
      <c r="D1448" s="6" t="s">
        <v>38</v>
      </c>
      <c r="E1448" t="s">
        <v>4319</v>
      </c>
      <c r="F1448" t="s">
        <v>40</v>
      </c>
      <c r="G1448" t="s">
        <v>41</v>
      </c>
      <c r="H1448" t="s">
        <v>4320</v>
      </c>
      <c r="I1448" t="s">
        <v>43</v>
      </c>
      <c r="J1448">
        <v>2</v>
      </c>
      <c r="K1448" t="s">
        <v>44</v>
      </c>
      <c r="L1448" t="s">
        <v>45</v>
      </c>
      <c r="M1448" t="s">
        <v>46</v>
      </c>
      <c r="N1448" s="7">
        <v>5</v>
      </c>
      <c r="O1448" s="8">
        <v>45636.418819444443</v>
      </c>
      <c r="P1448" s="9">
        <v>45637</v>
      </c>
      <c r="Q1448" t="s">
        <v>74</v>
      </c>
      <c r="R1448" t="s">
        <v>48</v>
      </c>
      <c r="S1448" t="s">
        <v>49</v>
      </c>
      <c r="T1448" t="s">
        <v>75</v>
      </c>
      <c r="U1448" t="s">
        <v>4321</v>
      </c>
      <c r="V1448">
        <v>27070</v>
      </c>
      <c r="W1448" t="s">
        <v>48</v>
      </c>
      <c r="X1448" t="s">
        <v>3712</v>
      </c>
      <c r="Y1448" t="s">
        <v>54</v>
      </c>
      <c r="Z1448" s="12">
        <f>IF(N1448&lt;=1,9,9+0.8*ROUNDUP(N1448-1,0))</f>
        <v>12.2</v>
      </c>
      <c r="AA1448" s="11">
        <v>-2</v>
      </c>
      <c r="AB1448" s="11">
        <v>0</v>
      </c>
      <c r="AC1448" s="11">
        <v>0</v>
      </c>
      <c r="AD1448" s="11">
        <v>0</v>
      </c>
      <c r="AE1448" s="11">
        <v>0</v>
      </c>
      <c r="AF1448" s="11">
        <f t="shared" si="66"/>
        <v>0.61199999999999999</v>
      </c>
      <c r="AG1448" s="11">
        <f t="shared" si="67"/>
        <v>10.811999999999999</v>
      </c>
      <c r="AH1448" s="11">
        <v>0</v>
      </c>
      <c r="AI1448" s="11">
        <f t="shared" si="68"/>
        <v>10.811999999999999</v>
      </c>
      <c r="AJ1448" t="s">
        <v>62</v>
      </c>
    </row>
    <row r="1449" spans="1:36" ht="15" customHeight="1" x14ac:dyDescent="0.35">
      <c r="A1449">
        <v>10428918</v>
      </c>
      <c r="B1449" t="s">
        <v>36</v>
      </c>
      <c r="C1449" t="s">
        <v>37</v>
      </c>
      <c r="D1449" s="6" t="s">
        <v>38</v>
      </c>
      <c r="E1449" t="s">
        <v>4322</v>
      </c>
      <c r="F1449" t="s">
        <v>40</v>
      </c>
      <c r="G1449" t="s">
        <v>41</v>
      </c>
      <c r="H1449" t="s">
        <v>4323</v>
      </c>
      <c r="I1449" t="s">
        <v>43</v>
      </c>
      <c r="J1449">
        <v>2</v>
      </c>
      <c r="K1449" t="s">
        <v>44</v>
      </c>
      <c r="L1449" t="s">
        <v>45</v>
      </c>
      <c r="M1449" t="s">
        <v>46</v>
      </c>
      <c r="N1449" s="7">
        <v>3</v>
      </c>
      <c r="O1449" s="8">
        <v>45635.658101851855</v>
      </c>
      <c r="P1449" s="9">
        <v>45637</v>
      </c>
      <c r="Q1449" t="s">
        <v>74</v>
      </c>
      <c r="R1449" t="s">
        <v>48</v>
      </c>
      <c r="S1449" t="s">
        <v>49</v>
      </c>
      <c r="T1449" t="s">
        <v>101</v>
      </c>
      <c r="U1449" t="s">
        <v>4324</v>
      </c>
      <c r="V1449">
        <v>36000</v>
      </c>
      <c r="W1449" t="s">
        <v>48</v>
      </c>
      <c r="X1449" t="s">
        <v>53</v>
      </c>
      <c r="Y1449" t="s">
        <v>54</v>
      </c>
      <c r="Z1449" s="12">
        <f>IF(N1449&lt;=1,9,9+0.8*ROUNDUP(N1449-1,0))</f>
        <v>10.6</v>
      </c>
      <c r="AA1449" s="11">
        <v>-2</v>
      </c>
      <c r="AB1449" s="11">
        <v>0</v>
      </c>
      <c r="AC1449" s="11">
        <v>0</v>
      </c>
      <c r="AD1449" s="11">
        <v>0</v>
      </c>
      <c r="AE1449" s="11">
        <v>0</v>
      </c>
      <c r="AF1449" s="11">
        <f t="shared" si="66"/>
        <v>0.51600000000000001</v>
      </c>
      <c r="AG1449" s="11">
        <f t="shared" si="67"/>
        <v>9.1159999999999997</v>
      </c>
      <c r="AH1449" s="11">
        <v>0</v>
      </c>
      <c r="AI1449" s="11">
        <f t="shared" si="68"/>
        <v>9.1159999999999997</v>
      </c>
      <c r="AJ1449" t="s">
        <v>62</v>
      </c>
    </row>
    <row r="1450" spans="1:36" ht="15" customHeight="1" x14ac:dyDescent="0.35">
      <c r="A1450">
        <v>10428918</v>
      </c>
      <c r="B1450" t="s">
        <v>36</v>
      </c>
      <c r="C1450" t="s">
        <v>37</v>
      </c>
      <c r="D1450" s="6" t="s">
        <v>38</v>
      </c>
      <c r="E1450" t="s">
        <v>4325</v>
      </c>
      <c r="F1450" t="s">
        <v>40</v>
      </c>
      <c r="G1450" t="s">
        <v>41</v>
      </c>
      <c r="H1450" t="s">
        <v>514</v>
      </c>
      <c r="I1450" t="s">
        <v>43</v>
      </c>
      <c r="J1450">
        <v>2</v>
      </c>
      <c r="K1450" t="s">
        <v>44</v>
      </c>
      <c r="L1450" t="s">
        <v>45</v>
      </c>
      <c r="M1450" t="s">
        <v>46</v>
      </c>
      <c r="N1450" s="7">
        <v>1</v>
      </c>
      <c r="O1450" s="8">
        <v>45635.658113425925</v>
      </c>
      <c r="P1450" s="9">
        <v>45637</v>
      </c>
      <c r="Q1450" t="s">
        <v>74</v>
      </c>
      <c r="R1450" t="s">
        <v>48</v>
      </c>
      <c r="S1450" t="s">
        <v>49</v>
      </c>
      <c r="T1450" t="s">
        <v>69</v>
      </c>
      <c r="U1450" t="s">
        <v>4326</v>
      </c>
      <c r="V1450">
        <v>81900</v>
      </c>
      <c r="W1450" t="s">
        <v>48</v>
      </c>
      <c r="X1450" t="s">
        <v>122</v>
      </c>
      <c r="Y1450" t="s">
        <v>54</v>
      </c>
      <c r="Z1450" s="12">
        <f>IF(N1450&lt;=1,9,9+0.8*ROUNDUP(N1450-1,0))</f>
        <v>9</v>
      </c>
      <c r="AA1450" s="11">
        <v>-2</v>
      </c>
      <c r="AB1450" s="11">
        <v>0</v>
      </c>
      <c r="AC1450" s="11">
        <v>0</v>
      </c>
      <c r="AD1450" s="11">
        <v>0</v>
      </c>
      <c r="AE1450" s="11">
        <v>0</v>
      </c>
      <c r="AF1450" s="11">
        <f t="shared" si="66"/>
        <v>0.42</v>
      </c>
      <c r="AG1450" s="11">
        <f t="shared" si="67"/>
        <v>7.42</v>
      </c>
      <c r="AH1450" s="11">
        <v>0</v>
      </c>
      <c r="AI1450" s="11">
        <f t="shared" si="68"/>
        <v>7.42</v>
      </c>
      <c r="AJ1450" t="s">
        <v>62</v>
      </c>
    </row>
    <row r="1451" spans="1:36" ht="15" customHeight="1" x14ac:dyDescent="0.35">
      <c r="A1451">
        <v>10428918</v>
      </c>
      <c r="B1451" t="s">
        <v>36</v>
      </c>
      <c r="C1451" t="s">
        <v>37</v>
      </c>
      <c r="D1451" s="6" t="s">
        <v>38</v>
      </c>
      <c r="E1451" t="s">
        <v>4327</v>
      </c>
      <c r="F1451" t="s">
        <v>40</v>
      </c>
      <c r="G1451" t="s">
        <v>41</v>
      </c>
      <c r="H1451" t="s">
        <v>4328</v>
      </c>
      <c r="I1451" t="s">
        <v>43</v>
      </c>
      <c r="J1451">
        <v>2</v>
      </c>
      <c r="K1451" t="s">
        <v>44</v>
      </c>
      <c r="L1451" t="s">
        <v>45</v>
      </c>
      <c r="M1451" t="s">
        <v>46</v>
      </c>
      <c r="N1451" s="7">
        <v>1</v>
      </c>
      <c r="O1451" s="8">
        <v>45634.78597222222</v>
      </c>
      <c r="P1451" s="9">
        <v>45637</v>
      </c>
      <c r="Q1451" t="s">
        <v>74</v>
      </c>
      <c r="R1451" t="s">
        <v>48</v>
      </c>
      <c r="S1451" t="s">
        <v>49</v>
      </c>
      <c r="T1451" t="s">
        <v>69</v>
      </c>
      <c r="U1451" t="s">
        <v>4329</v>
      </c>
      <c r="V1451">
        <v>86000</v>
      </c>
      <c r="W1451" t="s">
        <v>48</v>
      </c>
      <c r="X1451" t="s">
        <v>613</v>
      </c>
      <c r="Y1451" t="s">
        <v>54</v>
      </c>
      <c r="Z1451" s="12">
        <f>IF(N1451&lt;=1,9,9+0.8*ROUNDUP(N1451-1,0))</f>
        <v>9</v>
      </c>
      <c r="AA1451" s="11">
        <v>-2</v>
      </c>
      <c r="AB1451" s="11">
        <v>0</v>
      </c>
      <c r="AC1451" s="11">
        <v>0</v>
      </c>
      <c r="AD1451" s="11">
        <v>0</v>
      </c>
      <c r="AE1451" s="11">
        <v>0</v>
      </c>
      <c r="AF1451" s="11">
        <f t="shared" si="66"/>
        <v>0.42</v>
      </c>
      <c r="AG1451" s="11">
        <f t="shared" si="67"/>
        <v>7.42</v>
      </c>
      <c r="AH1451" s="11">
        <v>0</v>
      </c>
      <c r="AI1451" s="11">
        <f t="shared" si="68"/>
        <v>7.42</v>
      </c>
      <c r="AJ1451" t="s">
        <v>62</v>
      </c>
    </row>
    <row r="1452" spans="1:36" ht="15" customHeight="1" x14ac:dyDescent="0.35">
      <c r="A1452">
        <v>10428918</v>
      </c>
      <c r="B1452" t="s">
        <v>36</v>
      </c>
      <c r="C1452" t="s">
        <v>37</v>
      </c>
      <c r="D1452" s="6" t="s">
        <v>38</v>
      </c>
      <c r="E1452" t="s">
        <v>4330</v>
      </c>
      <c r="F1452" t="s">
        <v>40</v>
      </c>
      <c r="G1452" t="s">
        <v>41</v>
      </c>
      <c r="H1452" t="s">
        <v>4331</v>
      </c>
      <c r="I1452" t="s">
        <v>43</v>
      </c>
      <c r="J1452">
        <v>2</v>
      </c>
      <c r="K1452" t="s">
        <v>44</v>
      </c>
      <c r="L1452" t="s">
        <v>45</v>
      </c>
      <c r="M1452" t="s">
        <v>46</v>
      </c>
      <c r="N1452" s="7">
        <v>1</v>
      </c>
      <c r="O1452" s="8">
        <v>45634.785960648151</v>
      </c>
      <c r="P1452" s="9">
        <v>45637</v>
      </c>
      <c r="Q1452" t="s">
        <v>74</v>
      </c>
      <c r="R1452" t="s">
        <v>48</v>
      </c>
      <c r="S1452" t="s">
        <v>49</v>
      </c>
      <c r="T1452" t="s">
        <v>80</v>
      </c>
      <c r="U1452" t="s">
        <v>4332</v>
      </c>
      <c r="V1452">
        <v>8000</v>
      </c>
      <c r="W1452" t="s">
        <v>48</v>
      </c>
      <c r="X1452" t="s">
        <v>141</v>
      </c>
      <c r="Y1452" t="s">
        <v>54</v>
      </c>
      <c r="Z1452" s="12">
        <f>IF(N1452&lt;=1,9,9+0.8*ROUNDUP(N1452-1,0))</f>
        <v>9</v>
      </c>
      <c r="AA1452" s="11">
        <v>-2</v>
      </c>
      <c r="AB1452" s="11">
        <v>0</v>
      </c>
      <c r="AC1452" s="11">
        <v>0</v>
      </c>
      <c r="AD1452" s="11">
        <v>0</v>
      </c>
      <c r="AE1452" s="11">
        <v>0</v>
      </c>
      <c r="AF1452" s="11">
        <f t="shared" si="66"/>
        <v>0.42</v>
      </c>
      <c r="AG1452" s="11">
        <f t="shared" si="67"/>
        <v>7.42</v>
      </c>
      <c r="AH1452" s="11">
        <v>0</v>
      </c>
      <c r="AI1452" s="11">
        <f t="shared" si="68"/>
        <v>7.42</v>
      </c>
      <c r="AJ1452" t="s">
        <v>62</v>
      </c>
    </row>
    <row r="1453" spans="1:36" ht="15" customHeight="1" x14ac:dyDescent="0.35">
      <c r="A1453">
        <v>10428918</v>
      </c>
      <c r="B1453" t="s">
        <v>36</v>
      </c>
      <c r="C1453" t="s">
        <v>37</v>
      </c>
      <c r="D1453" s="6" t="s">
        <v>38</v>
      </c>
      <c r="E1453" t="s">
        <v>4333</v>
      </c>
      <c r="F1453" t="s">
        <v>40</v>
      </c>
      <c r="G1453" t="s">
        <v>41</v>
      </c>
      <c r="H1453" t="s">
        <v>4334</v>
      </c>
      <c r="I1453" t="s">
        <v>43</v>
      </c>
      <c r="J1453">
        <v>2</v>
      </c>
      <c r="K1453" t="s">
        <v>44</v>
      </c>
      <c r="L1453" t="s">
        <v>45</v>
      </c>
      <c r="M1453" t="s">
        <v>46</v>
      </c>
      <c r="N1453" s="7">
        <v>1</v>
      </c>
      <c r="O1453" s="8">
        <v>45634.785960648151</v>
      </c>
      <c r="P1453" s="9">
        <v>45637</v>
      </c>
      <c r="Q1453" t="s">
        <v>74</v>
      </c>
      <c r="R1453" t="s">
        <v>48</v>
      </c>
      <c r="S1453" t="s">
        <v>49</v>
      </c>
      <c r="T1453" t="s">
        <v>117</v>
      </c>
      <c r="U1453" t="s">
        <v>4335</v>
      </c>
      <c r="V1453">
        <v>48200</v>
      </c>
      <c r="W1453" t="s">
        <v>48</v>
      </c>
      <c r="X1453" t="s">
        <v>254</v>
      </c>
      <c r="Y1453" t="s">
        <v>54</v>
      </c>
      <c r="Z1453" s="12">
        <f>IF(N1453&lt;=1,9,9+0.8*ROUNDUP(N1453-1,0))</f>
        <v>9</v>
      </c>
      <c r="AA1453" s="11">
        <v>-2</v>
      </c>
      <c r="AB1453" s="11">
        <v>0</v>
      </c>
      <c r="AC1453" s="11">
        <v>0</v>
      </c>
      <c r="AD1453" s="11">
        <v>0</v>
      </c>
      <c r="AE1453" s="11">
        <v>0</v>
      </c>
      <c r="AF1453" s="11">
        <f t="shared" si="66"/>
        <v>0.42</v>
      </c>
      <c r="AG1453" s="11">
        <f t="shared" si="67"/>
        <v>7.42</v>
      </c>
      <c r="AH1453" s="11">
        <v>0</v>
      </c>
      <c r="AI1453" s="11">
        <f t="shared" si="68"/>
        <v>7.42</v>
      </c>
      <c r="AJ1453" t="s">
        <v>62</v>
      </c>
    </row>
    <row r="1454" spans="1:36" ht="15" customHeight="1" x14ac:dyDescent="0.35">
      <c r="A1454">
        <v>10428918</v>
      </c>
      <c r="B1454" t="s">
        <v>36</v>
      </c>
      <c r="C1454" t="s">
        <v>37</v>
      </c>
      <c r="D1454" s="6" t="s">
        <v>38</v>
      </c>
      <c r="E1454" t="s">
        <v>4336</v>
      </c>
      <c r="F1454" t="s">
        <v>40</v>
      </c>
      <c r="G1454" t="s">
        <v>41</v>
      </c>
      <c r="H1454" t="s">
        <v>4337</v>
      </c>
      <c r="I1454" t="s">
        <v>43</v>
      </c>
      <c r="J1454">
        <v>2</v>
      </c>
      <c r="K1454" t="s">
        <v>44</v>
      </c>
      <c r="L1454" t="s">
        <v>45</v>
      </c>
      <c r="M1454" t="s">
        <v>46</v>
      </c>
      <c r="N1454" s="7">
        <v>1</v>
      </c>
      <c r="O1454" s="8">
        <v>45635.602326388886</v>
      </c>
      <c r="P1454" s="9">
        <v>45637</v>
      </c>
      <c r="Q1454" t="s">
        <v>74</v>
      </c>
      <c r="R1454" t="s">
        <v>48</v>
      </c>
      <c r="S1454" t="s">
        <v>49</v>
      </c>
      <c r="T1454" t="s">
        <v>69</v>
      </c>
      <c r="U1454" t="s">
        <v>4338</v>
      </c>
      <c r="V1454">
        <v>81900</v>
      </c>
      <c r="W1454" t="s">
        <v>48</v>
      </c>
      <c r="X1454" t="s">
        <v>1310</v>
      </c>
      <c r="Y1454" t="s">
        <v>54</v>
      </c>
      <c r="Z1454" s="12">
        <f>IF(N1454&lt;=1,9,9+0.8*ROUNDUP(N1454-1,0))</f>
        <v>9</v>
      </c>
      <c r="AA1454" s="11">
        <v>-2</v>
      </c>
      <c r="AB1454" s="11">
        <v>0</v>
      </c>
      <c r="AC1454" s="11">
        <v>0</v>
      </c>
      <c r="AD1454" s="11">
        <v>0</v>
      </c>
      <c r="AE1454" s="11">
        <v>0</v>
      </c>
      <c r="AF1454" s="11">
        <f t="shared" si="66"/>
        <v>0.42</v>
      </c>
      <c r="AG1454" s="11">
        <f t="shared" si="67"/>
        <v>7.42</v>
      </c>
      <c r="AH1454" s="11">
        <v>0</v>
      </c>
      <c r="AI1454" s="11">
        <f t="shared" si="68"/>
        <v>7.42</v>
      </c>
      <c r="AJ1454" t="s">
        <v>62</v>
      </c>
    </row>
    <row r="1455" spans="1:36" ht="15" customHeight="1" x14ac:dyDescent="0.35">
      <c r="A1455">
        <v>10428918</v>
      </c>
      <c r="B1455" t="s">
        <v>36</v>
      </c>
      <c r="C1455" t="s">
        <v>37</v>
      </c>
      <c r="D1455" s="6" t="s">
        <v>38</v>
      </c>
      <c r="E1455" t="s">
        <v>4339</v>
      </c>
      <c r="F1455" t="s">
        <v>40</v>
      </c>
      <c r="G1455" t="s">
        <v>41</v>
      </c>
      <c r="H1455" t="s">
        <v>4340</v>
      </c>
      <c r="I1455" t="s">
        <v>43</v>
      </c>
      <c r="J1455">
        <v>2</v>
      </c>
      <c r="K1455" t="s">
        <v>44</v>
      </c>
      <c r="L1455" t="s">
        <v>45</v>
      </c>
      <c r="M1455" t="s">
        <v>46</v>
      </c>
      <c r="N1455" s="7">
        <v>1</v>
      </c>
      <c r="O1455" s="8">
        <v>45636.584930555553</v>
      </c>
      <c r="P1455" s="9">
        <v>45637</v>
      </c>
      <c r="Q1455" t="s">
        <v>74</v>
      </c>
      <c r="R1455" t="s">
        <v>48</v>
      </c>
      <c r="S1455" t="s">
        <v>49</v>
      </c>
      <c r="T1455" t="s">
        <v>559</v>
      </c>
      <c r="U1455" t="s">
        <v>4341</v>
      </c>
      <c r="V1455">
        <v>62592</v>
      </c>
      <c r="W1455" t="s">
        <v>48</v>
      </c>
      <c r="X1455" t="s">
        <v>53</v>
      </c>
      <c r="Y1455" t="s">
        <v>54</v>
      </c>
      <c r="Z1455" s="12">
        <f>IF(N1455&lt;=1,9,9+0.8*ROUNDUP(N1455-1,0))</f>
        <v>9</v>
      </c>
      <c r="AA1455" s="11">
        <v>-2</v>
      </c>
      <c r="AB1455" s="11">
        <v>0</v>
      </c>
      <c r="AC1455" s="11">
        <v>0</v>
      </c>
      <c r="AD1455" s="11">
        <v>0</v>
      </c>
      <c r="AE1455" s="11">
        <v>0</v>
      </c>
      <c r="AF1455" s="11">
        <f t="shared" si="66"/>
        <v>0.42</v>
      </c>
      <c r="AG1455" s="11">
        <f t="shared" si="67"/>
        <v>7.42</v>
      </c>
      <c r="AH1455" s="11">
        <v>0</v>
      </c>
      <c r="AI1455" s="11">
        <f t="shared" si="68"/>
        <v>7.42</v>
      </c>
      <c r="AJ1455" t="s">
        <v>62</v>
      </c>
    </row>
    <row r="1456" spans="1:36" ht="15" customHeight="1" x14ac:dyDescent="0.35">
      <c r="A1456">
        <v>10428918</v>
      </c>
      <c r="B1456" t="s">
        <v>36</v>
      </c>
      <c r="C1456" t="s">
        <v>37</v>
      </c>
      <c r="D1456" s="6" t="s">
        <v>38</v>
      </c>
      <c r="E1456" t="s">
        <v>4342</v>
      </c>
      <c r="F1456" t="s">
        <v>40</v>
      </c>
      <c r="G1456" t="s">
        <v>41</v>
      </c>
      <c r="H1456" t="s">
        <v>4343</v>
      </c>
      <c r="I1456" t="s">
        <v>43</v>
      </c>
      <c r="J1456">
        <v>2</v>
      </c>
      <c r="K1456" t="s">
        <v>44</v>
      </c>
      <c r="L1456" t="s">
        <v>45</v>
      </c>
      <c r="M1456" t="s">
        <v>46</v>
      </c>
      <c r="N1456" s="7">
        <v>1</v>
      </c>
      <c r="O1456" s="8">
        <v>45634.740983796299</v>
      </c>
      <c r="P1456" s="9">
        <v>45637</v>
      </c>
      <c r="Q1456" t="s">
        <v>74</v>
      </c>
      <c r="R1456" t="s">
        <v>48</v>
      </c>
      <c r="S1456" t="s">
        <v>49</v>
      </c>
      <c r="T1456" t="s">
        <v>278</v>
      </c>
      <c r="U1456" t="s">
        <v>4344</v>
      </c>
      <c r="V1456">
        <v>93050</v>
      </c>
      <c r="W1456" t="s">
        <v>52</v>
      </c>
      <c r="X1456" t="s">
        <v>53</v>
      </c>
      <c r="Y1456" t="s">
        <v>54</v>
      </c>
      <c r="Z1456" s="10">
        <f>IF(N1456&lt;=1,13,IF(N1456&lt;=2,23,IF(N1456&lt;=3,35,IF(N1456&lt;=4,43,IF(N1456&lt;=5,53,IF(N1456&lt;=6,63,IF(N1456&lt;=7,71,IF(N1456&lt;=8,79,IF(N1456&lt;=9,87,IF(N1456&lt;=10,95,IF(N1456&lt;=11,105,IF(N1456&lt;=12,114,IF(N1456&lt;=13,119,IF(N1456&lt;=14,127,IF(N1456&lt;=15,135,IF(N1456&lt;=16,143,IF(N1456&lt;=17,153,IF(N1456&lt;=18,163,IF(N1456&lt;=19,171,IF(N1456&lt;=20,185,IF(N1456&lt;=21,193,IF(N1456&lt;=22,201,IF(N1456&lt;=23,210,IF(N1456&lt;=24,220,IF(N1456&lt;=25,230,IF(N1456&lt;=26,240,IF(N1456&lt;=27,250,IF(N1456&lt;=28,260,IF(N1456&lt;=29,270,IF(N1456&lt;=30,280,280+10*ROUNDUP(N1456-30,0)))))))))))))))))))))))))))))))</f>
        <v>13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f t="shared" si="66"/>
        <v>0.78</v>
      </c>
      <c r="AG1456" s="11">
        <f t="shared" si="67"/>
        <v>13.78</v>
      </c>
      <c r="AH1456" s="11">
        <v>0</v>
      </c>
      <c r="AI1456" s="11">
        <f t="shared" si="68"/>
        <v>13.78</v>
      </c>
      <c r="AJ1456" t="s">
        <v>55</v>
      </c>
    </row>
    <row r="1457" spans="1:36" ht="15" customHeight="1" x14ac:dyDescent="0.35">
      <c r="A1457">
        <v>10428918</v>
      </c>
      <c r="B1457" t="s">
        <v>36</v>
      </c>
      <c r="C1457" t="s">
        <v>37</v>
      </c>
      <c r="D1457" s="6" t="s">
        <v>38</v>
      </c>
      <c r="E1457" t="s">
        <v>4345</v>
      </c>
      <c r="F1457" t="s">
        <v>40</v>
      </c>
      <c r="G1457" t="s">
        <v>41</v>
      </c>
      <c r="H1457" t="s">
        <v>4346</v>
      </c>
      <c r="I1457" t="s">
        <v>43</v>
      </c>
      <c r="J1457">
        <v>2</v>
      </c>
      <c r="K1457" t="s">
        <v>44</v>
      </c>
      <c r="L1457" t="s">
        <v>45</v>
      </c>
      <c r="M1457" t="s">
        <v>46</v>
      </c>
      <c r="N1457" s="7">
        <v>1</v>
      </c>
      <c r="O1457" s="8">
        <v>45634.775405092594</v>
      </c>
      <c r="P1457" s="9">
        <v>45637</v>
      </c>
      <c r="Q1457" t="s">
        <v>74</v>
      </c>
      <c r="R1457" t="s">
        <v>48</v>
      </c>
      <c r="S1457" t="s">
        <v>49</v>
      </c>
      <c r="T1457" t="s">
        <v>80</v>
      </c>
      <c r="U1457" t="s">
        <v>4347</v>
      </c>
      <c r="V1457">
        <v>9600</v>
      </c>
      <c r="W1457" t="s">
        <v>48</v>
      </c>
      <c r="X1457" t="s">
        <v>690</v>
      </c>
      <c r="Y1457" t="s">
        <v>54</v>
      </c>
      <c r="Z1457" s="12">
        <f>IF(N1457&lt;=1,9,9+0.8*ROUNDUP(N1457-1,0))</f>
        <v>9</v>
      </c>
      <c r="AA1457" s="11">
        <v>-2</v>
      </c>
      <c r="AB1457" s="11">
        <v>0</v>
      </c>
      <c r="AC1457" s="11">
        <v>0</v>
      </c>
      <c r="AD1457" s="11">
        <v>0</v>
      </c>
      <c r="AE1457" s="11">
        <v>0</v>
      </c>
      <c r="AF1457" s="11">
        <f t="shared" si="66"/>
        <v>0.42</v>
      </c>
      <c r="AG1457" s="11">
        <f t="shared" si="67"/>
        <v>7.42</v>
      </c>
      <c r="AH1457" s="11">
        <v>0</v>
      </c>
      <c r="AI1457" s="11">
        <f t="shared" si="68"/>
        <v>7.42</v>
      </c>
      <c r="AJ1457" t="s">
        <v>62</v>
      </c>
    </row>
    <row r="1458" spans="1:36" ht="15" customHeight="1" x14ac:dyDescent="0.35">
      <c r="A1458">
        <v>10428918</v>
      </c>
      <c r="B1458" t="s">
        <v>36</v>
      </c>
      <c r="C1458" t="s">
        <v>37</v>
      </c>
      <c r="D1458" s="6" t="s">
        <v>38</v>
      </c>
      <c r="E1458" t="s">
        <v>4348</v>
      </c>
      <c r="F1458" t="s">
        <v>40</v>
      </c>
      <c r="G1458" t="s">
        <v>41</v>
      </c>
      <c r="H1458" t="s">
        <v>4349</v>
      </c>
      <c r="I1458" t="s">
        <v>43</v>
      </c>
      <c r="J1458">
        <v>2</v>
      </c>
      <c r="K1458" t="s">
        <v>44</v>
      </c>
      <c r="L1458" t="s">
        <v>45</v>
      </c>
      <c r="M1458" t="s">
        <v>46</v>
      </c>
      <c r="N1458" s="7">
        <v>1</v>
      </c>
      <c r="O1458" s="8">
        <v>45636.401226851849</v>
      </c>
      <c r="P1458" s="9">
        <v>45637</v>
      </c>
      <c r="Q1458" t="s">
        <v>74</v>
      </c>
      <c r="R1458" t="s">
        <v>48</v>
      </c>
      <c r="S1458" t="s">
        <v>49</v>
      </c>
      <c r="T1458" t="s">
        <v>170</v>
      </c>
      <c r="U1458" t="s">
        <v>4350</v>
      </c>
      <c r="V1458">
        <v>51000</v>
      </c>
      <c r="W1458" t="s">
        <v>48</v>
      </c>
      <c r="X1458" t="s">
        <v>1794</v>
      </c>
      <c r="Y1458" t="s">
        <v>54</v>
      </c>
      <c r="Z1458" s="12">
        <f>IF(N1458&lt;=1,9,9+0.8*ROUNDUP(N1458-1,0))</f>
        <v>9</v>
      </c>
      <c r="AA1458" s="11">
        <v>-2</v>
      </c>
      <c r="AB1458" s="11">
        <v>0</v>
      </c>
      <c r="AC1458" s="11">
        <v>0</v>
      </c>
      <c r="AD1458" s="11">
        <v>0</v>
      </c>
      <c r="AE1458" s="11">
        <v>0</v>
      </c>
      <c r="AF1458" s="11">
        <f t="shared" si="66"/>
        <v>0.42</v>
      </c>
      <c r="AG1458" s="11">
        <f t="shared" si="67"/>
        <v>7.42</v>
      </c>
      <c r="AH1458" s="11">
        <v>0</v>
      </c>
      <c r="AI1458" s="11">
        <f t="shared" si="68"/>
        <v>7.42</v>
      </c>
      <c r="AJ1458" t="s">
        <v>62</v>
      </c>
    </row>
    <row r="1459" spans="1:36" ht="15" customHeight="1" x14ac:dyDescent="0.35">
      <c r="A1459">
        <v>10428918</v>
      </c>
      <c r="B1459" t="s">
        <v>36</v>
      </c>
      <c r="C1459" t="s">
        <v>37</v>
      </c>
      <c r="D1459" s="6" t="s">
        <v>38</v>
      </c>
      <c r="E1459" t="s">
        <v>4351</v>
      </c>
      <c r="F1459" t="s">
        <v>40</v>
      </c>
      <c r="G1459" t="s">
        <v>41</v>
      </c>
      <c r="H1459" t="s">
        <v>4352</v>
      </c>
      <c r="I1459" t="s">
        <v>43</v>
      </c>
      <c r="J1459">
        <v>2</v>
      </c>
      <c r="K1459" t="s">
        <v>44</v>
      </c>
      <c r="L1459" t="s">
        <v>45</v>
      </c>
      <c r="M1459" t="s">
        <v>46</v>
      </c>
      <c r="N1459" s="7">
        <v>6</v>
      </c>
      <c r="O1459" s="8">
        <v>45636.441863425927</v>
      </c>
      <c r="P1459" s="9">
        <v>45637</v>
      </c>
      <c r="Q1459" t="s">
        <v>74</v>
      </c>
      <c r="R1459" t="s">
        <v>48</v>
      </c>
      <c r="S1459" t="s">
        <v>49</v>
      </c>
      <c r="T1459" t="s">
        <v>75</v>
      </c>
      <c r="U1459" t="s">
        <v>4353</v>
      </c>
      <c r="V1459">
        <v>25150</v>
      </c>
      <c r="W1459" t="s">
        <v>48</v>
      </c>
      <c r="X1459" t="s">
        <v>316</v>
      </c>
      <c r="Y1459" t="s">
        <v>54</v>
      </c>
      <c r="Z1459" s="12">
        <f>IF(N1459&lt;=1,9,9+0.8*ROUNDUP(N1459-1,0))</f>
        <v>13</v>
      </c>
      <c r="AA1459" s="11">
        <v>-2</v>
      </c>
      <c r="AB1459" s="11">
        <v>0</v>
      </c>
      <c r="AC1459" s="11">
        <v>0</v>
      </c>
      <c r="AD1459" s="11">
        <v>0</v>
      </c>
      <c r="AE1459" s="11">
        <v>0</v>
      </c>
      <c r="AF1459" s="11">
        <f t="shared" si="66"/>
        <v>0.65999999999999992</v>
      </c>
      <c r="AG1459" s="11">
        <f t="shared" si="67"/>
        <v>11.66</v>
      </c>
      <c r="AH1459" s="11">
        <v>0</v>
      </c>
      <c r="AI1459" s="11">
        <f t="shared" si="68"/>
        <v>11.66</v>
      </c>
      <c r="AJ1459" t="s">
        <v>62</v>
      </c>
    </row>
    <row r="1460" spans="1:36" ht="15" customHeight="1" x14ac:dyDescent="0.35">
      <c r="A1460">
        <v>10428918</v>
      </c>
      <c r="B1460" t="s">
        <v>36</v>
      </c>
      <c r="C1460" t="s">
        <v>37</v>
      </c>
      <c r="D1460" s="6" t="s">
        <v>38</v>
      </c>
      <c r="E1460" t="s">
        <v>4354</v>
      </c>
      <c r="F1460" t="s">
        <v>40</v>
      </c>
      <c r="G1460" t="s">
        <v>41</v>
      </c>
      <c r="H1460" t="s">
        <v>4355</v>
      </c>
      <c r="I1460" t="s">
        <v>43</v>
      </c>
      <c r="J1460">
        <v>2</v>
      </c>
      <c r="K1460" t="s">
        <v>44</v>
      </c>
      <c r="L1460" t="s">
        <v>45</v>
      </c>
      <c r="M1460" t="s">
        <v>46</v>
      </c>
      <c r="N1460" s="7">
        <v>1</v>
      </c>
      <c r="O1460" s="8">
        <v>45635.619745370372</v>
      </c>
      <c r="P1460" s="9">
        <v>45637</v>
      </c>
      <c r="Q1460" t="s">
        <v>74</v>
      </c>
      <c r="R1460" t="s">
        <v>48</v>
      </c>
      <c r="S1460" t="s">
        <v>49</v>
      </c>
      <c r="T1460" t="s">
        <v>170</v>
      </c>
      <c r="U1460" t="s">
        <v>1133</v>
      </c>
      <c r="V1460">
        <v>50050</v>
      </c>
      <c r="W1460" t="s">
        <v>48</v>
      </c>
      <c r="X1460" t="s">
        <v>53</v>
      </c>
      <c r="Y1460" t="s">
        <v>54</v>
      </c>
      <c r="Z1460" s="12">
        <f>IF(N1460&lt;=1,9,9+0.8*ROUNDUP(N1460-1,0))</f>
        <v>9</v>
      </c>
      <c r="AA1460" s="11">
        <v>-2</v>
      </c>
      <c r="AB1460" s="11">
        <v>0</v>
      </c>
      <c r="AC1460" s="11">
        <v>0</v>
      </c>
      <c r="AD1460" s="11">
        <v>0</v>
      </c>
      <c r="AE1460" s="11">
        <v>0</v>
      </c>
      <c r="AF1460" s="11">
        <f t="shared" si="66"/>
        <v>0.42</v>
      </c>
      <c r="AG1460" s="11">
        <f t="shared" si="67"/>
        <v>7.42</v>
      </c>
      <c r="AH1460" s="11">
        <v>0</v>
      </c>
      <c r="AI1460" s="11">
        <f t="shared" si="68"/>
        <v>7.42</v>
      </c>
      <c r="AJ1460" t="s">
        <v>62</v>
      </c>
    </row>
    <row r="1461" spans="1:36" ht="15" customHeight="1" x14ac:dyDescent="0.35">
      <c r="A1461">
        <v>10428918</v>
      </c>
      <c r="B1461" t="s">
        <v>36</v>
      </c>
      <c r="C1461" t="s">
        <v>37</v>
      </c>
      <c r="D1461" s="6" t="s">
        <v>38</v>
      </c>
      <c r="E1461" t="s">
        <v>4356</v>
      </c>
      <c r="F1461" t="s">
        <v>40</v>
      </c>
      <c r="G1461" t="s">
        <v>41</v>
      </c>
      <c r="H1461" t="s">
        <v>4357</v>
      </c>
      <c r="I1461" t="s">
        <v>43</v>
      </c>
      <c r="J1461">
        <v>2</v>
      </c>
      <c r="K1461" t="s">
        <v>44</v>
      </c>
      <c r="L1461" t="s">
        <v>45</v>
      </c>
      <c r="M1461" t="s">
        <v>46</v>
      </c>
      <c r="N1461" s="7">
        <v>1</v>
      </c>
      <c r="O1461" s="8">
        <v>45636.479502314818</v>
      </c>
      <c r="P1461" s="9">
        <v>45637</v>
      </c>
      <c r="Q1461" t="s">
        <v>74</v>
      </c>
      <c r="R1461" t="s">
        <v>48</v>
      </c>
      <c r="S1461" t="s">
        <v>49</v>
      </c>
      <c r="T1461" t="s">
        <v>117</v>
      </c>
      <c r="U1461" t="s">
        <v>4358</v>
      </c>
      <c r="V1461">
        <v>68000</v>
      </c>
      <c r="W1461" t="s">
        <v>48</v>
      </c>
      <c r="X1461" t="s">
        <v>53</v>
      </c>
      <c r="Y1461" t="s">
        <v>54</v>
      </c>
      <c r="Z1461" s="12">
        <f>IF(N1461&lt;=1,9,9+0.8*ROUNDUP(N1461-1,0))</f>
        <v>9</v>
      </c>
      <c r="AA1461" s="11">
        <v>-2</v>
      </c>
      <c r="AB1461" s="11">
        <v>0</v>
      </c>
      <c r="AC1461" s="11">
        <v>0</v>
      </c>
      <c r="AD1461" s="11">
        <v>0</v>
      </c>
      <c r="AE1461" s="11">
        <v>0</v>
      </c>
      <c r="AF1461" s="11">
        <f t="shared" si="66"/>
        <v>0.42</v>
      </c>
      <c r="AG1461" s="11">
        <f t="shared" si="67"/>
        <v>7.42</v>
      </c>
      <c r="AH1461" s="11">
        <v>0</v>
      </c>
      <c r="AI1461" s="11">
        <f t="shared" si="68"/>
        <v>7.42</v>
      </c>
      <c r="AJ1461" t="s">
        <v>62</v>
      </c>
    </row>
    <row r="1462" spans="1:36" ht="15" customHeight="1" x14ac:dyDescent="0.35">
      <c r="A1462">
        <v>10428918</v>
      </c>
      <c r="B1462" t="s">
        <v>36</v>
      </c>
      <c r="C1462" t="s">
        <v>37</v>
      </c>
      <c r="D1462" s="6" t="s">
        <v>38</v>
      </c>
      <c r="E1462" t="s">
        <v>4359</v>
      </c>
      <c r="F1462" t="s">
        <v>40</v>
      </c>
      <c r="G1462" t="s">
        <v>41</v>
      </c>
      <c r="H1462" t="s">
        <v>4360</v>
      </c>
      <c r="I1462" t="s">
        <v>43</v>
      </c>
      <c r="J1462">
        <v>2</v>
      </c>
      <c r="K1462" t="s">
        <v>44</v>
      </c>
      <c r="L1462" t="s">
        <v>45</v>
      </c>
      <c r="M1462" t="s">
        <v>46</v>
      </c>
      <c r="N1462" s="7">
        <v>1</v>
      </c>
      <c r="O1462" s="8">
        <v>45635.703460648147</v>
      </c>
      <c r="P1462" s="9">
        <v>45637</v>
      </c>
      <c r="Q1462" t="s">
        <v>74</v>
      </c>
      <c r="R1462" t="s">
        <v>48</v>
      </c>
      <c r="S1462" t="s">
        <v>49</v>
      </c>
      <c r="T1462" t="s">
        <v>117</v>
      </c>
      <c r="U1462" t="s">
        <v>4361</v>
      </c>
      <c r="V1462">
        <v>43300</v>
      </c>
      <c r="W1462" t="s">
        <v>48</v>
      </c>
      <c r="X1462" t="s">
        <v>53</v>
      </c>
      <c r="Y1462" t="s">
        <v>54</v>
      </c>
      <c r="Z1462" s="12">
        <f>IF(N1462&lt;=1,9,9+0.8*ROUNDUP(N1462-1,0))</f>
        <v>9</v>
      </c>
      <c r="AA1462" s="11">
        <v>-2</v>
      </c>
      <c r="AB1462" s="11">
        <v>0</v>
      </c>
      <c r="AC1462" s="11">
        <v>0</v>
      </c>
      <c r="AD1462" s="11">
        <v>0</v>
      </c>
      <c r="AE1462" s="11">
        <v>0</v>
      </c>
      <c r="AF1462" s="11">
        <f t="shared" si="66"/>
        <v>0.42</v>
      </c>
      <c r="AG1462" s="11">
        <f t="shared" si="67"/>
        <v>7.42</v>
      </c>
      <c r="AH1462" s="11">
        <v>0</v>
      </c>
      <c r="AI1462" s="11">
        <f t="shared" si="68"/>
        <v>7.42</v>
      </c>
      <c r="AJ1462" t="s">
        <v>62</v>
      </c>
    </row>
    <row r="1463" spans="1:36" ht="15" customHeight="1" x14ac:dyDescent="0.35">
      <c r="A1463">
        <v>10428918</v>
      </c>
      <c r="B1463" t="s">
        <v>36</v>
      </c>
      <c r="C1463" t="s">
        <v>37</v>
      </c>
      <c r="D1463" s="6" t="s">
        <v>38</v>
      </c>
      <c r="E1463" t="s">
        <v>4362</v>
      </c>
      <c r="F1463" t="s">
        <v>40</v>
      </c>
      <c r="G1463" t="s">
        <v>41</v>
      </c>
      <c r="H1463" t="s">
        <v>4363</v>
      </c>
      <c r="I1463" t="s">
        <v>43</v>
      </c>
      <c r="J1463">
        <v>2</v>
      </c>
      <c r="K1463" t="s">
        <v>44</v>
      </c>
      <c r="L1463" t="s">
        <v>45</v>
      </c>
      <c r="M1463" t="s">
        <v>46</v>
      </c>
      <c r="N1463" s="7">
        <v>2</v>
      </c>
      <c r="O1463" s="8">
        <v>45635.41070601852</v>
      </c>
      <c r="P1463" s="9">
        <v>45637</v>
      </c>
      <c r="Q1463" t="s">
        <v>74</v>
      </c>
      <c r="R1463" t="s">
        <v>48</v>
      </c>
      <c r="S1463" t="s">
        <v>49</v>
      </c>
      <c r="T1463" t="s">
        <v>117</v>
      </c>
      <c r="U1463" t="s">
        <v>4364</v>
      </c>
      <c r="V1463">
        <v>42800</v>
      </c>
      <c r="W1463" t="s">
        <v>48</v>
      </c>
      <c r="X1463" t="s">
        <v>901</v>
      </c>
      <c r="Y1463" t="s">
        <v>54</v>
      </c>
      <c r="Z1463" s="12">
        <f>IF(N1463&lt;=1,9,9+0.8*ROUNDUP(N1463-1,0))</f>
        <v>9.8000000000000007</v>
      </c>
      <c r="AA1463" s="11">
        <v>-2</v>
      </c>
      <c r="AB1463" s="11">
        <v>0</v>
      </c>
      <c r="AC1463" s="11">
        <v>0</v>
      </c>
      <c r="AD1463" s="11">
        <v>0</v>
      </c>
      <c r="AE1463" s="11">
        <v>0</v>
      </c>
      <c r="AF1463" s="11">
        <f t="shared" si="66"/>
        <v>0.46800000000000003</v>
      </c>
      <c r="AG1463" s="11">
        <f t="shared" si="67"/>
        <v>8.2680000000000007</v>
      </c>
      <c r="AH1463" s="11">
        <v>0</v>
      </c>
      <c r="AI1463" s="11">
        <f t="shared" si="68"/>
        <v>8.2680000000000007</v>
      </c>
      <c r="AJ1463" t="s">
        <v>62</v>
      </c>
    </row>
    <row r="1464" spans="1:36" ht="15" customHeight="1" x14ac:dyDescent="0.35">
      <c r="A1464">
        <v>10428918</v>
      </c>
      <c r="B1464" t="s">
        <v>36</v>
      </c>
      <c r="C1464" t="s">
        <v>37</v>
      </c>
      <c r="D1464" s="6" t="s">
        <v>38</v>
      </c>
      <c r="E1464" t="s">
        <v>4365</v>
      </c>
      <c r="F1464" t="s">
        <v>40</v>
      </c>
      <c r="G1464" t="s">
        <v>41</v>
      </c>
      <c r="H1464" t="s">
        <v>4366</v>
      </c>
      <c r="I1464" t="s">
        <v>43</v>
      </c>
      <c r="J1464">
        <v>2</v>
      </c>
      <c r="K1464" t="s">
        <v>44</v>
      </c>
      <c r="L1464" t="s">
        <v>45</v>
      </c>
      <c r="M1464" t="s">
        <v>46</v>
      </c>
      <c r="N1464" s="7">
        <v>1</v>
      </c>
      <c r="O1464" s="8">
        <v>45636.410381944443</v>
      </c>
      <c r="P1464" s="9">
        <v>45637</v>
      </c>
      <c r="Q1464" t="s">
        <v>74</v>
      </c>
      <c r="R1464" t="s">
        <v>48</v>
      </c>
      <c r="S1464" t="s">
        <v>49</v>
      </c>
      <c r="T1464" t="s">
        <v>117</v>
      </c>
      <c r="U1464" t="s">
        <v>4367</v>
      </c>
      <c r="V1464">
        <v>68000</v>
      </c>
      <c r="W1464" t="s">
        <v>48</v>
      </c>
      <c r="X1464" t="s">
        <v>584</v>
      </c>
      <c r="Y1464" t="s">
        <v>54</v>
      </c>
      <c r="Z1464" s="12">
        <f>IF(N1464&lt;=1,9,9+0.8*ROUNDUP(N1464-1,0))</f>
        <v>9</v>
      </c>
      <c r="AA1464" s="11">
        <v>-2</v>
      </c>
      <c r="AB1464" s="11">
        <v>0</v>
      </c>
      <c r="AC1464" s="11">
        <v>0</v>
      </c>
      <c r="AD1464" s="11">
        <v>0</v>
      </c>
      <c r="AE1464" s="11">
        <v>0</v>
      </c>
      <c r="AF1464" s="11">
        <f t="shared" si="66"/>
        <v>0.42</v>
      </c>
      <c r="AG1464" s="11">
        <f t="shared" si="67"/>
        <v>7.42</v>
      </c>
      <c r="AH1464" s="11">
        <v>0</v>
      </c>
      <c r="AI1464" s="11">
        <f t="shared" si="68"/>
        <v>7.42</v>
      </c>
      <c r="AJ1464" t="s">
        <v>62</v>
      </c>
    </row>
    <row r="1465" spans="1:36" ht="15" customHeight="1" x14ac:dyDescent="0.35">
      <c r="A1465">
        <v>10428918</v>
      </c>
      <c r="B1465" t="s">
        <v>36</v>
      </c>
      <c r="C1465" t="s">
        <v>37</v>
      </c>
      <c r="D1465" s="6" t="s">
        <v>38</v>
      </c>
      <c r="E1465" t="s">
        <v>4368</v>
      </c>
      <c r="F1465" t="s">
        <v>40</v>
      </c>
      <c r="G1465" t="s">
        <v>41</v>
      </c>
      <c r="H1465" t="s">
        <v>4369</v>
      </c>
      <c r="I1465" t="s">
        <v>43</v>
      </c>
      <c r="J1465">
        <v>2</v>
      </c>
      <c r="K1465" t="s">
        <v>44</v>
      </c>
      <c r="L1465" t="s">
        <v>45</v>
      </c>
      <c r="M1465" t="s">
        <v>46</v>
      </c>
      <c r="N1465" s="7">
        <v>1</v>
      </c>
      <c r="O1465" s="8">
        <v>45635.656168981484</v>
      </c>
      <c r="P1465" s="9">
        <v>45637</v>
      </c>
      <c r="Q1465" t="s">
        <v>74</v>
      </c>
      <c r="R1465" t="s">
        <v>48</v>
      </c>
      <c r="S1465" t="s">
        <v>49</v>
      </c>
      <c r="T1465" t="s">
        <v>101</v>
      </c>
      <c r="U1465" t="s">
        <v>4370</v>
      </c>
      <c r="V1465">
        <v>31400</v>
      </c>
      <c r="W1465" t="s">
        <v>48</v>
      </c>
      <c r="X1465" t="s">
        <v>1401</v>
      </c>
      <c r="Y1465" t="s">
        <v>54</v>
      </c>
      <c r="Z1465" s="12">
        <f>IF(N1465&lt;=1,9,9+0.8*ROUNDUP(N1465-1,0))</f>
        <v>9</v>
      </c>
      <c r="AA1465" s="11">
        <v>-2</v>
      </c>
      <c r="AB1465" s="11">
        <v>0</v>
      </c>
      <c r="AC1465" s="11">
        <v>0</v>
      </c>
      <c r="AD1465" s="11">
        <v>0</v>
      </c>
      <c r="AE1465" s="11">
        <v>0</v>
      </c>
      <c r="AF1465" s="11">
        <f t="shared" si="66"/>
        <v>0.42</v>
      </c>
      <c r="AG1465" s="11">
        <f t="shared" si="67"/>
        <v>7.42</v>
      </c>
      <c r="AH1465" s="11">
        <v>0</v>
      </c>
      <c r="AI1465" s="11">
        <f t="shared" si="68"/>
        <v>7.42</v>
      </c>
      <c r="AJ1465" t="s">
        <v>62</v>
      </c>
    </row>
    <row r="1466" spans="1:36" ht="15" customHeight="1" x14ac:dyDescent="0.35">
      <c r="A1466">
        <v>10428918</v>
      </c>
      <c r="B1466" t="s">
        <v>36</v>
      </c>
      <c r="C1466" t="s">
        <v>37</v>
      </c>
      <c r="D1466" s="6" t="s">
        <v>38</v>
      </c>
      <c r="E1466" t="s">
        <v>4371</v>
      </c>
      <c r="F1466" t="s">
        <v>40</v>
      </c>
      <c r="G1466" t="s">
        <v>41</v>
      </c>
      <c r="H1466" t="s">
        <v>4372</v>
      </c>
      <c r="I1466" t="s">
        <v>43</v>
      </c>
      <c r="J1466">
        <v>2</v>
      </c>
      <c r="K1466" t="s">
        <v>44</v>
      </c>
      <c r="L1466" t="s">
        <v>45</v>
      </c>
      <c r="M1466" t="s">
        <v>46</v>
      </c>
      <c r="N1466" s="7">
        <v>1</v>
      </c>
      <c r="O1466" s="8">
        <v>45635.746712962966</v>
      </c>
      <c r="P1466" s="9">
        <v>45637</v>
      </c>
      <c r="Q1466" t="s">
        <v>74</v>
      </c>
      <c r="R1466" t="s">
        <v>48</v>
      </c>
      <c r="S1466" t="s">
        <v>49</v>
      </c>
      <c r="T1466" t="s">
        <v>65</v>
      </c>
      <c r="U1466" t="s">
        <v>4373</v>
      </c>
      <c r="V1466">
        <v>75300</v>
      </c>
      <c r="W1466" t="s">
        <v>48</v>
      </c>
      <c r="X1466" t="s">
        <v>167</v>
      </c>
      <c r="Y1466" t="s">
        <v>54</v>
      </c>
      <c r="Z1466" s="12">
        <f>IF(N1466&lt;=1,9,9+0.8*ROUNDUP(N1466-1,0))</f>
        <v>9</v>
      </c>
      <c r="AA1466" s="11">
        <v>-2</v>
      </c>
      <c r="AB1466" s="11">
        <v>0</v>
      </c>
      <c r="AC1466" s="11">
        <v>0</v>
      </c>
      <c r="AD1466" s="11">
        <v>0</v>
      </c>
      <c r="AE1466" s="11">
        <v>0</v>
      </c>
      <c r="AF1466" s="11">
        <f t="shared" si="66"/>
        <v>0.42</v>
      </c>
      <c r="AG1466" s="11">
        <f t="shared" si="67"/>
        <v>7.42</v>
      </c>
      <c r="AH1466" s="11">
        <v>0</v>
      </c>
      <c r="AI1466" s="11">
        <f t="shared" si="68"/>
        <v>7.42</v>
      </c>
      <c r="AJ1466" t="s">
        <v>62</v>
      </c>
    </row>
    <row r="1467" spans="1:36" ht="15" customHeight="1" x14ac:dyDescent="0.35">
      <c r="A1467">
        <v>10428918</v>
      </c>
      <c r="B1467" t="s">
        <v>36</v>
      </c>
      <c r="C1467" t="s">
        <v>37</v>
      </c>
      <c r="D1467" s="6" t="s">
        <v>38</v>
      </c>
      <c r="E1467" t="s">
        <v>4374</v>
      </c>
      <c r="F1467" t="s">
        <v>40</v>
      </c>
      <c r="G1467" t="s">
        <v>41</v>
      </c>
      <c r="H1467" t="s">
        <v>3662</v>
      </c>
      <c r="I1467" t="s">
        <v>43</v>
      </c>
      <c r="J1467">
        <v>2</v>
      </c>
      <c r="K1467" t="s">
        <v>44</v>
      </c>
      <c r="L1467" t="s">
        <v>45</v>
      </c>
      <c r="M1467" t="s">
        <v>46</v>
      </c>
      <c r="N1467" s="7">
        <v>5</v>
      </c>
      <c r="O1467" s="8">
        <v>45635.803043981483</v>
      </c>
      <c r="P1467" s="9">
        <v>45637</v>
      </c>
      <c r="Q1467" t="s">
        <v>74</v>
      </c>
      <c r="R1467" t="s">
        <v>48</v>
      </c>
      <c r="S1467" t="s">
        <v>49</v>
      </c>
      <c r="T1467" t="s">
        <v>170</v>
      </c>
      <c r="U1467" t="s">
        <v>3663</v>
      </c>
      <c r="V1467">
        <v>54000</v>
      </c>
      <c r="W1467" t="s">
        <v>48</v>
      </c>
      <c r="X1467" t="s">
        <v>564</v>
      </c>
      <c r="Y1467" t="s">
        <v>54</v>
      </c>
      <c r="Z1467" s="12">
        <f>IF(N1467&lt;=1,9,9+0.8*ROUNDUP(N1467-1,0))</f>
        <v>12.2</v>
      </c>
      <c r="AA1467" s="11">
        <v>-2</v>
      </c>
      <c r="AB1467" s="11">
        <v>0</v>
      </c>
      <c r="AC1467" s="11">
        <v>0</v>
      </c>
      <c r="AD1467" s="11">
        <v>0</v>
      </c>
      <c r="AE1467" s="11">
        <v>0</v>
      </c>
      <c r="AF1467" s="11">
        <f t="shared" si="66"/>
        <v>0.61199999999999999</v>
      </c>
      <c r="AG1467" s="11">
        <f t="shared" si="67"/>
        <v>10.811999999999999</v>
      </c>
      <c r="AH1467" s="11">
        <v>0</v>
      </c>
      <c r="AI1467" s="11">
        <f t="shared" si="68"/>
        <v>10.811999999999999</v>
      </c>
      <c r="AJ1467" t="s">
        <v>62</v>
      </c>
    </row>
    <row r="1468" spans="1:36" ht="15" customHeight="1" x14ac:dyDescent="0.35">
      <c r="A1468">
        <v>10428918</v>
      </c>
      <c r="B1468" t="s">
        <v>36</v>
      </c>
      <c r="C1468" t="s">
        <v>37</v>
      </c>
      <c r="D1468" s="6" t="s">
        <v>38</v>
      </c>
      <c r="E1468" t="s">
        <v>4375</v>
      </c>
      <c r="F1468" t="s">
        <v>40</v>
      </c>
      <c r="G1468" t="s">
        <v>41</v>
      </c>
      <c r="H1468" t="s">
        <v>4376</v>
      </c>
      <c r="I1468" t="s">
        <v>43</v>
      </c>
      <c r="J1468">
        <v>2</v>
      </c>
      <c r="K1468" t="s">
        <v>44</v>
      </c>
      <c r="L1468" t="s">
        <v>45</v>
      </c>
      <c r="M1468" t="s">
        <v>46</v>
      </c>
      <c r="N1468" s="7">
        <v>5</v>
      </c>
      <c r="O1468" s="8">
        <v>45635.730787037035</v>
      </c>
      <c r="P1468" s="9">
        <v>45637</v>
      </c>
      <c r="Q1468" t="s">
        <v>74</v>
      </c>
      <c r="R1468" t="s">
        <v>48</v>
      </c>
      <c r="S1468" t="s">
        <v>49</v>
      </c>
      <c r="T1468" t="s">
        <v>101</v>
      </c>
      <c r="U1468" t="s">
        <v>4377</v>
      </c>
      <c r="V1468">
        <v>36800</v>
      </c>
      <c r="W1468" t="s">
        <v>48</v>
      </c>
      <c r="X1468" t="s">
        <v>674</v>
      </c>
      <c r="Y1468" t="s">
        <v>54</v>
      </c>
      <c r="Z1468" s="12">
        <f>IF(N1468&lt;=1,9,9+0.8*ROUNDUP(N1468-1,0))</f>
        <v>12.2</v>
      </c>
      <c r="AA1468" s="11">
        <v>-2</v>
      </c>
      <c r="AB1468" s="11">
        <v>0</v>
      </c>
      <c r="AC1468" s="11">
        <v>0</v>
      </c>
      <c r="AD1468" s="11">
        <v>0</v>
      </c>
      <c r="AE1468" s="11">
        <v>0</v>
      </c>
      <c r="AF1468" s="11">
        <f t="shared" si="66"/>
        <v>0.61199999999999999</v>
      </c>
      <c r="AG1468" s="11">
        <f t="shared" si="67"/>
        <v>10.811999999999999</v>
      </c>
      <c r="AH1468" s="11">
        <v>0</v>
      </c>
      <c r="AI1468" s="11">
        <f t="shared" si="68"/>
        <v>10.811999999999999</v>
      </c>
      <c r="AJ1468" t="s">
        <v>62</v>
      </c>
    </row>
    <row r="1469" spans="1:36" ht="15" customHeight="1" x14ac:dyDescent="0.35">
      <c r="A1469">
        <v>10428918</v>
      </c>
      <c r="B1469" t="s">
        <v>36</v>
      </c>
      <c r="C1469" t="s">
        <v>37</v>
      </c>
      <c r="D1469" s="6" t="s">
        <v>38</v>
      </c>
      <c r="E1469" t="s">
        <v>4378</v>
      </c>
      <c r="F1469" t="s">
        <v>40</v>
      </c>
      <c r="G1469" t="s">
        <v>41</v>
      </c>
      <c r="H1469" t="s">
        <v>4379</v>
      </c>
      <c r="I1469" t="s">
        <v>43</v>
      </c>
      <c r="J1469">
        <v>2</v>
      </c>
      <c r="K1469" t="s">
        <v>44</v>
      </c>
      <c r="L1469" t="s">
        <v>45</v>
      </c>
      <c r="M1469" t="s">
        <v>46</v>
      </c>
      <c r="N1469" s="7">
        <v>1</v>
      </c>
      <c r="O1469" s="8">
        <v>45636.410370370373</v>
      </c>
      <c r="P1469" s="9">
        <v>45637</v>
      </c>
      <c r="Q1469" t="s">
        <v>74</v>
      </c>
      <c r="R1469" t="s">
        <v>48</v>
      </c>
      <c r="S1469" t="s">
        <v>49</v>
      </c>
      <c r="T1469" t="s">
        <v>75</v>
      </c>
      <c r="U1469" t="s">
        <v>4380</v>
      </c>
      <c r="V1469">
        <v>28400</v>
      </c>
      <c r="W1469" t="s">
        <v>48</v>
      </c>
      <c r="X1469" t="s">
        <v>77</v>
      </c>
      <c r="Y1469" t="s">
        <v>54</v>
      </c>
      <c r="Z1469" s="12">
        <f>IF(N1469&lt;=1,9,9+0.8*ROUNDUP(N1469-1,0))</f>
        <v>9</v>
      </c>
      <c r="AA1469" s="11">
        <v>-2</v>
      </c>
      <c r="AB1469" s="11">
        <v>0</v>
      </c>
      <c r="AC1469" s="11">
        <v>0</v>
      </c>
      <c r="AD1469" s="11">
        <v>0</v>
      </c>
      <c r="AE1469" s="11">
        <v>0</v>
      </c>
      <c r="AF1469" s="11">
        <f t="shared" si="66"/>
        <v>0.42</v>
      </c>
      <c r="AG1469" s="11">
        <f t="shared" si="67"/>
        <v>7.42</v>
      </c>
      <c r="AH1469" s="11">
        <v>0</v>
      </c>
      <c r="AI1469" s="11">
        <f t="shared" si="68"/>
        <v>7.42</v>
      </c>
      <c r="AJ1469" t="s">
        <v>62</v>
      </c>
    </row>
    <row r="1470" spans="1:36" ht="15" customHeight="1" x14ac:dyDescent="0.35">
      <c r="A1470">
        <v>10428918</v>
      </c>
      <c r="B1470" t="s">
        <v>36</v>
      </c>
      <c r="C1470" t="s">
        <v>37</v>
      </c>
      <c r="D1470" s="6" t="s">
        <v>38</v>
      </c>
      <c r="E1470" t="s">
        <v>4381</v>
      </c>
      <c r="F1470" t="s">
        <v>40</v>
      </c>
      <c r="G1470" t="s">
        <v>41</v>
      </c>
      <c r="H1470" t="s">
        <v>4382</v>
      </c>
      <c r="I1470" t="s">
        <v>43</v>
      </c>
      <c r="J1470">
        <v>2</v>
      </c>
      <c r="K1470" t="s">
        <v>44</v>
      </c>
      <c r="L1470" t="s">
        <v>45</v>
      </c>
      <c r="M1470" t="s">
        <v>46</v>
      </c>
      <c r="N1470" s="7">
        <v>1</v>
      </c>
      <c r="O1470" s="8">
        <v>45635.801886574074</v>
      </c>
      <c r="P1470" s="9">
        <v>45637</v>
      </c>
      <c r="Q1470" t="s">
        <v>74</v>
      </c>
      <c r="R1470" t="s">
        <v>48</v>
      </c>
      <c r="S1470" t="s">
        <v>49</v>
      </c>
      <c r="T1470" t="s">
        <v>85</v>
      </c>
      <c r="U1470" t="s">
        <v>4383</v>
      </c>
      <c r="V1470">
        <v>71650</v>
      </c>
      <c r="W1470" t="s">
        <v>48</v>
      </c>
      <c r="X1470" t="s">
        <v>243</v>
      </c>
      <c r="Y1470" t="s">
        <v>54</v>
      </c>
      <c r="Z1470" s="12">
        <f>IF(N1470&lt;=1,9,9+0.8*ROUNDUP(N1470-1,0))</f>
        <v>9</v>
      </c>
      <c r="AA1470" s="11">
        <v>-2</v>
      </c>
      <c r="AB1470" s="11">
        <v>0</v>
      </c>
      <c r="AC1470" s="11">
        <v>0</v>
      </c>
      <c r="AD1470" s="11">
        <v>0</v>
      </c>
      <c r="AE1470" s="11">
        <v>0</v>
      </c>
      <c r="AF1470" s="11">
        <f t="shared" si="66"/>
        <v>0.42</v>
      </c>
      <c r="AG1470" s="11">
        <f t="shared" si="67"/>
        <v>7.42</v>
      </c>
      <c r="AH1470" s="11">
        <v>0</v>
      </c>
      <c r="AI1470" s="11">
        <f t="shared" si="68"/>
        <v>7.42</v>
      </c>
      <c r="AJ1470" t="s">
        <v>62</v>
      </c>
    </row>
    <row r="1471" spans="1:36" ht="15" customHeight="1" x14ac:dyDescent="0.35">
      <c r="A1471">
        <v>10428918</v>
      </c>
      <c r="B1471" t="s">
        <v>36</v>
      </c>
      <c r="C1471" t="s">
        <v>37</v>
      </c>
      <c r="D1471" s="6" t="s">
        <v>38</v>
      </c>
      <c r="E1471" t="s">
        <v>4384</v>
      </c>
      <c r="F1471" t="s">
        <v>40</v>
      </c>
      <c r="G1471" t="s">
        <v>41</v>
      </c>
      <c r="H1471" t="s">
        <v>4385</v>
      </c>
      <c r="I1471" t="s">
        <v>43</v>
      </c>
      <c r="J1471">
        <v>2</v>
      </c>
      <c r="K1471" t="s">
        <v>44</v>
      </c>
      <c r="L1471" t="s">
        <v>45</v>
      </c>
      <c r="M1471" t="s">
        <v>46</v>
      </c>
      <c r="N1471" s="7">
        <v>2</v>
      </c>
      <c r="O1471" s="8">
        <v>45635.71947916667</v>
      </c>
      <c r="P1471" s="9">
        <v>45637</v>
      </c>
      <c r="Q1471" t="s">
        <v>74</v>
      </c>
      <c r="R1471" t="s">
        <v>48</v>
      </c>
      <c r="S1471" t="s">
        <v>49</v>
      </c>
      <c r="T1471" t="s">
        <v>170</v>
      </c>
      <c r="U1471" t="s">
        <v>4386</v>
      </c>
      <c r="V1471">
        <v>50100</v>
      </c>
      <c r="W1471" t="s">
        <v>48</v>
      </c>
      <c r="X1471" t="s">
        <v>53</v>
      </c>
      <c r="Y1471" t="s">
        <v>54</v>
      </c>
      <c r="Z1471" s="12">
        <f>IF(N1471&lt;=1,9,9+0.8*ROUNDUP(N1471-1,0))</f>
        <v>9.8000000000000007</v>
      </c>
      <c r="AA1471" s="11">
        <v>-2</v>
      </c>
      <c r="AB1471" s="11">
        <v>0</v>
      </c>
      <c r="AC1471" s="11">
        <v>0</v>
      </c>
      <c r="AD1471" s="11">
        <v>0</v>
      </c>
      <c r="AE1471" s="11">
        <v>0</v>
      </c>
      <c r="AF1471" s="11">
        <f t="shared" si="66"/>
        <v>0.46800000000000003</v>
      </c>
      <c r="AG1471" s="11">
        <f t="shared" si="67"/>
        <v>8.2680000000000007</v>
      </c>
      <c r="AH1471" s="11">
        <v>0</v>
      </c>
      <c r="AI1471" s="11">
        <f t="shared" si="68"/>
        <v>8.2680000000000007</v>
      </c>
      <c r="AJ1471" t="s">
        <v>62</v>
      </c>
    </row>
    <row r="1472" spans="1:36" ht="15" customHeight="1" x14ac:dyDescent="0.35">
      <c r="A1472">
        <v>10428918</v>
      </c>
      <c r="B1472" t="s">
        <v>36</v>
      </c>
      <c r="C1472" t="s">
        <v>37</v>
      </c>
      <c r="D1472" s="6" t="s">
        <v>38</v>
      </c>
      <c r="E1472" t="s">
        <v>4387</v>
      </c>
      <c r="F1472" t="s">
        <v>40</v>
      </c>
      <c r="G1472" t="s">
        <v>41</v>
      </c>
      <c r="H1472" t="s">
        <v>4388</v>
      </c>
      <c r="I1472" t="s">
        <v>43</v>
      </c>
      <c r="J1472">
        <v>2</v>
      </c>
      <c r="K1472" t="s">
        <v>44</v>
      </c>
      <c r="L1472" t="s">
        <v>45</v>
      </c>
      <c r="M1472" t="s">
        <v>46</v>
      </c>
      <c r="N1472" s="7">
        <v>2</v>
      </c>
      <c r="O1472" s="8">
        <v>45635.801886574074</v>
      </c>
      <c r="P1472" s="9">
        <v>45637</v>
      </c>
      <c r="Q1472" t="s">
        <v>74</v>
      </c>
      <c r="R1472" t="s">
        <v>48</v>
      </c>
      <c r="S1472" t="s">
        <v>49</v>
      </c>
      <c r="T1472" t="s">
        <v>117</v>
      </c>
      <c r="U1472" t="s">
        <v>4389</v>
      </c>
      <c r="V1472">
        <v>62150</v>
      </c>
      <c r="W1472" t="s">
        <v>48</v>
      </c>
      <c r="X1472" t="s">
        <v>224</v>
      </c>
      <c r="Y1472" t="s">
        <v>54</v>
      </c>
      <c r="Z1472" s="12">
        <f>IF(N1472&lt;=1,9,9+0.8*ROUNDUP(N1472-1,0))</f>
        <v>9.8000000000000007</v>
      </c>
      <c r="AA1472" s="11">
        <v>-2</v>
      </c>
      <c r="AB1472" s="11">
        <v>0</v>
      </c>
      <c r="AC1472" s="11">
        <v>0</v>
      </c>
      <c r="AD1472" s="11">
        <v>0</v>
      </c>
      <c r="AE1472" s="11">
        <v>0</v>
      </c>
      <c r="AF1472" s="11">
        <f t="shared" si="66"/>
        <v>0.46800000000000003</v>
      </c>
      <c r="AG1472" s="11">
        <f t="shared" si="67"/>
        <v>8.2680000000000007</v>
      </c>
      <c r="AH1472" s="11">
        <v>0</v>
      </c>
      <c r="AI1472" s="11">
        <f t="shared" si="68"/>
        <v>8.2680000000000007</v>
      </c>
      <c r="AJ1472" t="s">
        <v>62</v>
      </c>
    </row>
    <row r="1473" spans="1:36" ht="15" customHeight="1" x14ac:dyDescent="0.35">
      <c r="A1473">
        <v>10428918</v>
      </c>
      <c r="B1473" t="s">
        <v>36</v>
      </c>
      <c r="C1473" t="s">
        <v>37</v>
      </c>
      <c r="D1473" s="6" t="s">
        <v>38</v>
      </c>
      <c r="E1473" t="s">
        <v>4390</v>
      </c>
      <c r="F1473" t="s">
        <v>40</v>
      </c>
      <c r="G1473" t="s">
        <v>41</v>
      </c>
      <c r="H1473" t="s">
        <v>4391</v>
      </c>
      <c r="I1473" t="s">
        <v>43</v>
      </c>
      <c r="J1473">
        <v>2</v>
      </c>
      <c r="K1473" t="s">
        <v>44</v>
      </c>
      <c r="L1473" t="s">
        <v>45</v>
      </c>
      <c r="M1473" t="s">
        <v>46</v>
      </c>
      <c r="N1473" s="7">
        <v>1</v>
      </c>
      <c r="O1473" s="8">
        <v>45635.643611111111</v>
      </c>
      <c r="P1473" s="9">
        <v>45637</v>
      </c>
      <c r="Q1473" t="s">
        <v>74</v>
      </c>
      <c r="R1473" t="s">
        <v>48</v>
      </c>
      <c r="S1473" t="s">
        <v>49</v>
      </c>
      <c r="T1473" t="s">
        <v>101</v>
      </c>
      <c r="U1473" t="s">
        <v>4392</v>
      </c>
      <c r="V1473">
        <v>31350</v>
      </c>
      <c r="W1473" t="s">
        <v>48</v>
      </c>
      <c r="X1473" t="s">
        <v>2545</v>
      </c>
      <c r="Y1473" t="s">
        <v>54</v>
      </c>
      <c r="Z1473" s="12">
        <f>IF(N1473&lt;=1,9,9+0.8*ROUNDUP(N1473-1,0))</f>
        <v>9</v>
      </c>
      <c r="AA1473" s="11">
        <v>-2</v>
      </c>
      <c r="AB1473" s="11">
        <v>0</v>
      </c>
      <c r="AC1473" s="11">
        <v>0</v>
      </c>
      <c r="AD1473" s="11">
        <v>0</v>
      </c>
      <c r="AE1473" s="11">
        <v>0</v>
      </c>
      <c r="AF1473" s="11">
        <f t="shared" si="66"/>
        <v>0.42</v>
      </c>
      <c r="AG1473" s="11">
        <f t="shared" si="67"/>
        <v>7.42</v>
      </c>
      <c r="AH1473" s="11">
        <v>0</v>
      </c>
      <c r="AI1473" s="11">
        <f t="shared" si="68"/>
        <v>7.42</v>
      </c>
      <c r="AJ1473" t="s">
        <v>62</v>
      </c>
    </row>
    <row r="1474" spans="1:36" ht="15" customHeight="1" x14ac:dyDescent="0.35">
      <c r="A1474">
        <v>10428918</v>
      </c>
      <c r="B1474" t="s">
        <v>36</v>
      </c>
      <c r="C1474" t="s">
        <v>37</v>
      </c>
      <c r="D1474" s="6" t="s">
        <v>38</v>
      </c>
      <c r="E1474" t="s">
        <v>4393</v>
      </c>
      <c r="F1474" t="s">
        <v>40</v>
      </c>
      <c r="G1474" t="s">
        <v>41</v>
      </c>
      <c r="H1474" t="s">
        <v>4394</v>
      </c>
      <c r="I1474" t="s">
        <v>43</v>
      </c>
      <c r="J1474">
        <v>2</v>
      </c>
      <c r="K1474" t="s">
        <v>44</v>
      </c>
      <c r="L1474" t="s">
        <v>45</v>
      </c>
      <c r="M1474" t="s">
        <v>46</v>
      </c>
      <c r="N1474" s="7">
        <v>2</v>
      </c>
      <c r="O1474" s="8">
        <v>45630.684386574074</v>
      </c>
      <c r="P1474" s="9">
        <v>45637</v>
      </c>
      <c r="Q1474" t="s">
        <v>74</v>
      </c>
      <c r="R1474" t="s">
        <v>48</v>
      </c>
      <c r="S1474" t="s">
        <v>49</v>
      </c>
      <c r="T1474" t="s">
        <v>50</v>
      </c>
      <c r="U1474" t="s">
        <v>4395</v>
      </c>
      <c r="V1474">
        <v>90200</v>
      </c>
      <c r="W1474" t="s">
        <v>52</v>
      </c>
      <c r="X1474" t="s">
        <v>53</v>
      </c>
      <c r="Y1474" t="s">
        <v>54</v>
      </c>
      <c r="Z1474" s="10">
        <f>IF(N1474&lt;=1,13,IF(N1474&lt;=2,23,IF(N1474&lt;=3,35,IF(N1474&lt;=4,43,IF(N1474&lt;=5,53,IF(N1474&lt;=6,63,IF(N1474&lt;=7,71,IF(N1474&lt;=8,79,IF(N1474&lt;=9,87,IF(N1474&lt;=10,95,IF(N1474&lt;=11,105,IF(N1474&lt;=12,114,IF(N1474&lt;=13,119,IF(N1474&lt;=14,127,IF(N1474&lt;=15,135,IF(N1474&lt;=16,143,IF(N1474&lt;=17,153,IF(N1474&lt;=18,163,IF(N1474&lt;=19,171,IF(N1474&lt;=20,185,IF(N1474&lt;=21,193,IF(N1474&lt;=22,201,IF(N1474&lt;=23,210,IF(N1474&lt;=24,220,IF(N1474&lt;=25,230,IF(N1474&lt;=26,240,IF(N1474&lt;=27,250,IF(N1474&lt;=28,260,IF(N1474&lt;=29,270,IF(N1474&lt;=30,280,280+10*ROUNDUP(N1474-30,0)))))))))))))))))))))))))))))))</f>
        <v>23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f t="shared" ref="AF1474:AF1537" si="69">(Z1474+AA1474+AC1474+AE1474)*6%</f>
        <v>1.38</v>
      </c>
      <c r="AG1474" s="11">
        <f t="shared" ref="AG1474:AG1537" si="70">Z1474+AA1474+AC1474+AE1474+AF1474</f>
        <v>24.38</v>
      </c>
      <c r="AH1474" s="11">
        <v>0</v>
      </c>
      <c r="AI1474" s="11">
        <f t="shared" ref="AI1474:AI1537" si="71">AG1474+AH1474</f>
        <v>24.38</v>
      </c>
      <c r="AJ1474" t="s">
        <v>55</v>
      </c>
    </row>
    <row r="1475" spans="1:36" ht="15" customHeight="1" x14ac:dyDescent="0.35">
      <c r="A1475">
        <v>10428918</v>
      </c>
      <c r="B1475" t="s">
        <v>36</v>
      </c>
      <c r="C1475" t="s">
        <v>37</v>
      </c>
      <c r="D1475" s="6" t="s">
        <v>38</v>
      </c>
      <c r="E1475" t="s">
        <v>4396</v>
      </c>
      <c r="F1475" t="s">
        <v>40</v>
      </c>
      <c r="G1475" t="s">
        <v>41</v>
      </c>
      <c r="H1475" t="s">
        <v>4397</v>
      </c>
      <c r="I1475" t="s">
        <v>43</v>
      </c>
      <c r="J1475">
        <v>2</v>
      </c>
      <c r="K1475" t="s">
        <v>44</v>
      </c>
      <c r="L1475" t="s">
        <v>45</v>
      </c>
      <c r="M1475" t="s">
        <v>46</v>
      </c>
      <c r="N1475" s="7">
        <v>6</v>
      </c>
      <c r="O1475" s="8">
        <v>45635.591863425929</v>
      </c>
      <c r="P1475" s="9">
        <v>45637</v>
      </c>
      <c r="Q1475" t="s">
        <v>74</v>
      </c>
      <c r="R1475" t="s">
        <v>48</v>
      </c>
      <c r="S1475" t="s">
        <v>49</v>
      </c>
      <c r="T1475" t="s">
        <v>101</v>
      </c>
      <c r="U1475" t="s">
        <v>4398</v>
      </c>
      <c r="V1475">
        <v>34600</v>
      </c>
      <c r="W1475" t="s">
        <v>48</v>
      </c>
      <c r="X1475" t="s">
        <v>827</v>
      </c>
      <c r="Y1475" t="s">
        <v>54</v>
      </c>
      <c r="Z1475" s="12">
        <f>IF(N1475&lt;=1,9,9+0.8*ROUNDUP(N1475-1,0))</f>
        <v>13</v>
      </c>
      <c r="AA1475" s="11">
        <v>-2</v>
      </c>
      <c r="AB1475" s="11">
        <v>0</v>
      </c>
      <c r="AC1475" s="11">
        <v>0</v>
      </c>
      <c r="AD1475" s="11">
        <v>0</v>
      </c>
      <c r="AE1475" s="11">
        <v>0</v>
      </c>
      <c r="AF1475" s="11">
        <f t="shared" si="69"/>
        <v>0.65999999999999992</v>
      </c>
      <c r="AG1475" s="11">
        <f t="shared" si="70"/>
        <v>11.66</v>
      </c>
      <c r="AH1475" s="11">
        <v>0</v>
      </c>
      <c r="AI1475" s="11">
        <f t="shared" si="71"/>
        <v>11.66</v>
      </c>
      <c r="AJ1475" t="s">
        <v>62</v>
      </c>
    </row>
    <row r="1476" spans="1:36" ht="15" customHeight="1" x14ac:dyDescent="0.35">
      <c r="A1476">
        <v>10428918</v>
      </c>
      <c r="B1476" t="s">
        <v>36</v>
      </c>
      <c r="C1476" t="s">
        <v>37</v>
      </c>
      <c r="D1476" s="6" t="s">
        <v>38</v>
      </c>
      <c r="E1476" t="s">
        <v>4399</v>
      </c>
      <c r="F1476" t="s">
        <v>40</v>
      </c>
      <c r="G1476" t="s">
        <v>41</v>
      </c>
      <c r="H1476" t="s">
        <v>4400</v>
      </c>
      <c r="I1476" t="s">
        <v>43</v>
      </c>
      <c r="J1476">
        <v>2</v>
      </c>
      <c r="K1476" t="s">
        <v>44</v>
      </c>
      <c r="L1476" t="s">
        <v>45</v>
      </c>
      <c r="M1476" t="s">
        <v>46</v>
      </c>
      <c r="N1476" s="7">
        <v>1</v>
      </c>
      <c r="O1476" s="8">
        <v>45635.410694444443</v>
      </c>
      <c r="P1476" s="9">
        <v>45637</v>
      </c>
      <c r="Q1476" t="s">
        <v>74</v>
      </c>
      <c r="R1476" t="s">
        <v>48</v>
      </c>
      <c r="S1476" t="s">
        <v>49</v>
      </c>
      <c r="T1476" t="s">
        <v>80</v>
      </c>
      <c r="U1476" t="s">
        <v>4401</v>
      </c>
      <c r="V1476">
        <v>8100</v>
      </c>
      <c r="W1476" t="s">
        <v>48</v>
      </c>
      <c r="X1476" t="s">
        <v>141</v>
      </c>
      <c r="Y1476" t="s">
        <v>54</v>
      </c>
      <c r="Z1476" s="12">
        <f>IF(N1476&lt;=1,9,9+0.8*ROUNDUP(N1476-1,0))</f>
        <v>9</v>
      </c>
      <c r="AA1476" s="11">
        <v>-2</v>
      </c>
      <c r="AB1476" s="11">
        <v>0</v>
      </c>
      <c r="AC1476" s="11">
        <v>0</v>
      </c>
      <c r="AD1476" s="11">
        <v>0</v>
      </c>
      <c r="AE1476" s="11">
        <v>0</v>
      </c>
      <c r="AF1476" s="11">
        <f t="shared" si="69"/>
        <v>0.42</v>
      </c>
      <c r="AG1476" s="11">
        <f t="shared" si="70"/>
        <v>7.42</v>
      </c>
      <c r="AH1476" s="11">
        <v>0</v>
      </c>
      <c r="AI1476" s="11">
        <f t="shared" si="71"/>
        <v>7.42</v>
      </c>
      <c r="AJ1476" t="s">
        <v>62</v>
      </c>
    </row>
    <row r="1477" spans="1:36" ht="15" customHeight="1" x14ac:dyDescent="0.35">
      <c r="A1477">
        <v>10428918</v>
      </c>
      <c r="B1477" t="s">
        <v>36</v>
      </c>
      <c r="C1477" t="s">
        <v>37</v>
      </c>
      <c r="D1477" s="6" t="s">
        <v>38</v>
      </c>
      <c r="E1477" t="s">
        <v>4402</v>
      </c>
      <c r="F1477" t="s">
        <v>40</v>
      </c>
      <c r="G1477" t="s">
        <v>41</v>
      </c>
      <c r="H1477" t="s">
        <v>4403</v>
      </c>
      <c r="I1477" t="s">
        <v>43</v>
      </c>
      <c r="J1477">
        <v>2</v>
      </c>
      <c r="K1477" t="s">
        <v>44</v>
      </c>
      <c r="L1477" t="s">
        <v>45</v>
      </c>
      <c r="M1477" t="s">
        <v>46</v>
      </c>
      <c r="N1477" s="7">
        <v>2</v>
      </c>
      <c r="O1477" s="8">
        <v>45635.41070601852</v>
      </c>
      <c r="P1477" s="9">
        <v>45637</v>
      </c>
      <c r="Q1477" t="s">
        <v>74</v>
      </c>
      <c r="R1477" t="s">
        <v>48</v>
      </c>
      <c r="S1477" t="s">
        <v>49</v>
      </c>
      <c r="T1477" t="s">
        <v>117</v>
      </c>
      <c r="U1477" t="s">
        <v>4404</v>
      </c>
      <c r="V1477">
        <v>47000</v>
      </c>
      <c r="W1477" t="s">
        <v>48</v>
      </c>
      <c r="X1477" t="s">
        <v>556</v>
      </c>
      <c r="Y1477" t="s">
        <v>54</v>
      </c>
      <c r="Z1477" s="12">
        <f>IF(N1477&lt;=1,9,9+0.8*ROUNDUP(N1477-1,0))</f>
        <v>9.8000000000000007</v>
      </c>
      <c r="AA1477" s="11">
        <v>-2</v>
      </c>
      <c r="AB1477" s="11">
        <v>0</v>
      </c>
      <c r="AC1477" s="11">
        <v>0</v>
      </c>
      <c r="AD1477" s="11">
        <v>0</v>
      </c>
      <c r="AE1477" s="11">
        <v>0</v>
      </c>
      <c r="AF1477" s="11">
        <f t="shared" si="69"/>
        <v>0.46800000000000003</v>
      </c>
      <c r="AG1477" s="11">
        <f t="shared" si="70"/>
        <v>8.2680000000000007</v>
      </c>
      <c r="AH1477" s="11">
        <v>0</v>
      </c>
      <c r="AI1477" s="11">
        <f t="shared" si="71"/>
        <v>8.2680000000000007</v>
      </c>
      <c r="AJ1477" t="s">
        <v>62</v>
      </c>
    </row>
    <row r="1478" spans="1:36" ht="15" customHeight="1" x14ac:dyDescent="0.35">
      <c r="A1478">
        <v>10428918</v>
      </c>
      <c r="B1478" t="s">
        <v>36</v>
      </c>
      <c r="C1478" t="s">
        <v>37</v>
      </c>
      <c r="D1478" s="6" t="s">
        <v>38</v>
      </c>
      <c r="E1478" t="s">
        <v>4405</v>
      </c>
      <c r="F1478" t="s">
        <v>40</v>
      </c>
      <c r="G1478" t="s">
        <v>41</v>
      </c>
      <c r="H1478" t="s">
        <v>4406</v>
      </c>
      <c r="I1478" t="s">
        <v>43</v>
      </c>
      <c r="J1478">
        <v>2</v>
      </c>
      <c r="K1478" t="s">
        <v>44</v>
      </c>
      <c r="L1478" t="s">
        <v>45</v>
      </c>
      <c r="M1478" t="s">
        <v>46</v>
      </c>
      <c r="N1478" s="7">
        <v>3</v>
      </c>
      <c r="O1478" s="8">
        <v>45635.758622685185</v>
      </c>
      <c r="P1478" s="9">
        <v>45637</v>
      </c>
      <c r="Q1478" t="s">
        <v>74</v>
      </c>
      <c r="R1478" t="s">
        <v>48</v>
      </c>
      <c r="S1478" t="s">
        <v>49</v>
      </c>
      <c r="T1478" t="s">
        <v>161</v>
      </c>
      <c r="U1478" t="s">
        <v>4407</v>
      </c>
      <c r="V1478">
        <v>14000</v>
      </c>
      <c r="W1478" t="s">
        <v>48</v>
      </c>
      <c r="X1478" t="s">
        <v>53</v>
      </c>
      <c r="Y1478" t="s">
        <v>54</v>
      </c>
      <c r="Z1478" s="12">
        <f>IF(N1478&lt;=1,9,9+0.8*ROUNDUP(N1478-1,0))</f>
        <v>10.6</v>
      </c>
      <c r="AA1478" s="11">
        <v>-2</v>
      </c>
      <c r="AB1478" s="11">
        <v>0</v>
      </c>
      <c r="AC1478" s="11">
        <v>0</v>
      </c>
      <c r="AD1478" s="11">
        <v>0</v>
      </c>
      <c r="AE1478" s="11">
        <v>0</v>
      </c>
      <c r="AF1478" s="11">
        <f t="shared" si="69"/>
        <v>0.51600000000000001</v>
      </c>
      <c r="AG1478" s="11">
        <f t="shared" si="70"/>
        <v>9.1159999999999997</v>
      </c>
      <c r="AH1478" s="11">
        <v>0</v>
      </c>
      <c r="AI1478" s="11">
        <f t="shared" si="71"/>
        <v>9.1159999999999997</v>
      </c>
      <c r="AJ1478" t="s">
        <v>62</v>
      </c>
    </row>
    <row r="1479" spans="1:36" ht="15" customHeight="1" x14ac:dyDescent="0.35">
      <c r="A1479">
        <v>10428918</v>
      </c>
      <c r="B1479" t="s">
        <v>36</v>
      </c>
      <c r="C1479" t="s">
        <v>37</v>
      </c>
      <c r="D1479" s="6" t="s">
        <v>38</v>
      </c>
      <c r="E1479" t="s">
        <v>4408</v>
      </c>
      <c r="F1479" t="s">
        <v>40</v>
      </c>
      <c r="G1479" t="s">
        <v>41</v>
      </c>
      <c r="H1479" t="s">
        <v>4409</v>
      </c>
      <c r="I1479" t="s">
        <v>43</v>
      </c>
      <c r="J1479">
        <v>2</v>
      </c>
      <c r="K1479" t="s">
        <v>44</v>
      </c>
      <c r="L1479" t="s">
        <v>45</v>
      </c>
      <c r="M1479" t="s">
        <v>46</v>
      </c>
      <c r="N1479" s="7">
        <v>2</v>
      </c>
      <c r="O1479" s="8">
        <v>45635.801886574074</v>
      </c>
      <c r="P1479" s="9">
        <v>45637</v>
      </c>
      <c r="Q1479" t="s">
        <v>74</v>
      </c>
      <c r="R1479" t="s">
        <v>48</v>
      </c>
      <c r="S1479" t="s">
        <v>49</v>
      </c>
      <c r="T1479" t="s">
        <v>117</v>
      </c>
      <c r="U1479" t="s">
        <v>4410</v>
      </c>
      <c r="V1479">
        <v>42800</v>
      </c>
      <c r="W1479" t="s">
        <v>48</v>
      </c>
      <c r="X1479" t="s">
        <v>53</v>
      </c>
      <c r="Y1479" t="s">
        <v>54</v>
      </c>
      <c r="Z1479" s="12">
        <f>IF(N1479&lt;=1,9,9+0.8*ROUNDUP(N1479-1,0))</f>
        <v>9.8000000000000007</v>
      </c>
      <c r="AA1479" s="11">
        <v>-2</v>
      </c>
      <c r="AB1479" s="11">
        <v>0</v>
      </c>
      <c r="AC1479" s="11">
        <v>0</v>
      </c>
      <c r="AD1479" s="11">
        <v>0</v>
      </c>
      <c r="AE1479" s="11">
        <v>0</v>
      </c>
      <c r="AF1479" s="11">
        <f t="shared" si="69"/>
        <v>0.46800000000000003</v>
      </c>
      <c r="AG1479" s="11">
        <f t="shared" si="70"/>
        <v>8.2680000000000007</v>
      </c>
      <c r="AH1479" s="11">
        <v>0</v>
      </c>
      <c r="AI1479" s="11">
        <f t="shared" si="71"/>
        <v>8.2680000000000007</v>
      </c>
      <c r="AJ1479" t="s">
        <v>62</v>
      </c>
    </row>
    <row r="1480" spans="1:36" ht="15" customHeight="1" x14ac:dyDescent="0.35">
      <c r="A1480">
        <v>10428918</v>
      </c>
      <c r="B1480" t="s">
        <v>36</v>
      </c>
      <c r="C1480" t="s">
        <v>37</v>
      </c>
      <c r="D1480" s="6" t="s">
        <v>38</v>
      </c>
      <c r="E1480" t="s">
        <v>4411</v>
      </c>
      <c r="F1480" t="s">
        <v>40</v>
      </c>
      <c r="G1480" t="s">
        <v>41</v>
      </c>
      <c r="H1480" t="s">
        <v>4412</v>
      </c>
      <c r="I1480" t="s">
        <v>43</v>
      </c>
      <c r="J1480">
        <v>2</v>
      </c>
      <c r="K1480" t="s">
        <v>44</v>
      </c>
      <c r="L1480" t="s">
        <v>45</v>
      </c>
      <c r="M1480" t="s">
        <v>46</v>
      </c>
      <c r="N1480" s="7">
        <v>1</v>
      </c>
      <c r="O1480" s="8">
        <v>45635.621921296297</v>
      </c>
      <c r="P1480" s="9">
        <v>45638</v>
      </c>
      <c r="Q1480" t="s">
        <v>74</v>
      </c>
      <c r="R1480" t="s">
        <v>48</v>
      </c>
      <c r="S1480" t="s">
        <v>49</v>
      </c>
      <c r="T1480" t="s">
        <v>65</v>
      </c>
      <c r="U1480" t="s">
        <v>4413</v>
      </c>
      <c r="V1480">
        <v>75200</v>
      </c>
      <c r="W1480" t="s">
        <v>48</v>
      </c>
      <c r="X1480" t="s">
        <v>53</v>
      </c>
      <c r="Y1480" t="s">
        <v>54</v>
      </c>
      <c r="Z1480" s="12">
        <f>IF(N1480&lt;=1,9,9+0.8*ROUNDUP(N1480-1,0))</f>
        <v>9</v>
      </c>
      <c r="AA1480" s="11">
        <v>-2</v>
      </c>
      <c r="AB1480" s="11">
        <v>0</v>
      </c>
      <c r="AC1480" s="11">
        <v>0</v>
      </c>
      <c r="AD1480" s="11">
        <v>0</v>
      </c>
      <c r="AE1480" s="11">
        <v>0</v>
      </c>
      <c r="AF1480" s="11">
        <f t="shared" si="69"/>
        <v>0.42</v>
      </c>
      <c r="AG1480" s="11">
        <f t="shared" si="70"/>
        <v>7.42</v>
      </c>
      <c r="AH1480" s="11">
        <v>0</v>
      </c>
      <c r="AI1480" s="11">
        <f t="shared" si="71"/>
        <v>7.42</v>
      </c>
      <c r="AJ1480" t="s">
        <v>62</v>
      </c>
    </row>
    <row r="1481" spans="1:36" ht="15" customHeight="1" x14ac:dyDescent="0.35">
      <c r="A1481">
        <v>10428918</v>
      </c>
      <c r="B1481" t="s">
        <v>36</v>
      </c>
      <c r="C1481" t="s">
        <v>37</v>
      </c>
      <c r="D1481" s="6" t="s">
        <v>38</v>
      </c>
      <c r="E1481" t="s">
        <v>4414</v>
      </c>
      <c r="F1481" t="s">
        <v>40</v>
      </c>
      <c r="G1481" t="s">
        <v>41</v>
      </c>
      <c r="H1481" t="s">
        <v>4415</v>
      </c>
      <c r="I1481" t="s">
        <v>43</v>
      </c>
      <c r="J1481">
        <v>2</v>
      </c>
      <c r="K1481" t="s">
        <v>44</v>
      </c>
      <c r="L1481" t="s">
        <v>45</v>
      </c>
      <c r="M1481" t="s">
        <v>46</v>
      </c>
      <c r="N1481" s="7">
        <v>1</v>
      </c>
      <c r="O1481" s="8">
        <v>45636.868287037039</v>
      </c>
      <c r="P1481" s="9">
        <v>45638</v>
      </c>
      <c r="Q1481" t="s">
        <v>74</v>
      </c>
      <c r="R1481" t="s">
        <v>48</v>
      </c>
      <c r="S1481" t="s">
        <v>49</v>
      </c>
      <c r="T1481" t="s">
        <v>90</v>
      </c>
      <c r="U1481" t="s">
        <v>4416</v>
      </c>
      <c r="V1481">
        <v>24000</v>
      </c>
      <c r="W1481" t="s">
        <v>48</v>
      </c>
      <c r="X1481" t="s">
        <v>77</v>
      </c>
      <c r="Y1481" t="s">
        <v>54</v>
      </c>
      <c r="Z1481" s="12">
        <f>IF(N1481&lt;=1,9,9+0.8*ROUNDUP(N1481-1,0))</f>
        <v>9</v>
      </c>
      <c r="AA1481" s="11">
        <v>-2</v>
      </c>
      <c r="AB1481" s="11">
        <v>0</v>
      </c>
      <c r="AC1481" s="11">
        <v>0</v>
      </c>
      <c r="AD1481" s="11">
        <v>0</v>
      </c>
      <c r="AE1481" s="11">
        <v>0</v>
      </c>
      <c r="AF1481" s="11">
        <f t="shared" si="69"/>
        <v>0.42</v>
      </c>
      <c r="AG1481" s="11">
        <f t="shared" si="70"/>
        <v>7.42</v>
      </c>
      <c r="AH1481" s="11">
        <v>0</v>
      </c>
      <c r="AI1481" s="11">
        <f t="shared" si="71"/>
        <v>7.42</v>
      </c>
      <c r="AJ1481" t="s">
        <v>62</v>
      </c>
    </row>
    <row r="1482" spans="1:36" ht="15" customHeight="1" x14ac:dyDescent="0.35">
      <c r="A1482">
        <v>10428918</v>
      </c>
      <c r="B1482" t="s">
        <v>36</v>
      </c>
      <c r="C1482" t="s">
        <v>37</v>
      </c>
      <c r="D1482" s="6" t="s">
        <v>38</v>
      </c>
      <c r="E1482" t="s">
        <v>4417</v>
      </c>
      <c r="F1482" t="s">
        <v>40</v>
      </c>
      <c r="G1482" t="s">
        <v>41</v>
      </c>
      <c r="H1482" t="s">
        <v>4418</v>
      </c>
      <c r="I1482" t="s">
        <v>43</v>
      </c>
      <c r="J1482">
        <v>2</v>
      </c>
      <c r="K1482" t="s">
        <v>44</v>
      </c>
      <c r="L1482" t="s">
        <v>45</v>
      </c>
      <c r="M1482" t="s">
        <v>46</v>
      </c>
      <c r="N1482" s="7">
        <v>2</v>
      </c>
      <c r="O1482" s="8">
        <v>45637.40556712963</v>
      </c>
      <c r="P1482" s="9">
        <v>45638</v>
      </c>
      <c r="Q1482" t="s">
        <v>74</v>
      </c>
      <c r="R1482" t="s">
        <v>48</v>
      </c>
      <c r="S1482" t="s">
        <v>49</v>
      </c>
      <c r="T1482" t="s">
        <v>65</v>
      </c>
      <c r="U1482" t="s">
        <v>4419</v>
      </c>
      <c r="V1482">
        <v>75000</v>
      </c>
      <c r="W1482" t="s">
        <v>48</v>
      </c>
      <c r="X1482" t="s">
        <v>167</v>
      </c>
      <c r="Y1482" t="s">
        <v>54</v>
      </c>
      <c r="Z1482" s="12">
        <f>IF(N1482&lt;=1,9,9+0.8*ROUNDUP(N1482-1,0))</f>
        <v>9.8000000000000007</v>
      </c>
      <c r="AA1482" s="11">
        <v>-2</v>
      </c>
      <c r="AB1482" s="11">
        <v>0</v>
      </c>
      <c r="AC1482" s="11">
        <v>0</v>
      </c>
      <c r="AD1482" s="11">
        <v>0</v>
      </c>
      <c r="AE1482" s="11">
        <v>0</v>
      </c>
      <c r="AF1482" s="11">
        <f t="shared" si="69"/>
        <v>0.46800000000000003</v>
      </c>
      <c r="AG1482" s="11">
        <f t="shared" si="70"/>
        <v>8.2680000000000007</v>
      </c>
      <c r="AH1482" s="11">
        <v>0</v>
      </c>
      <c r="AI1482" s="11">
        <f t="shared" si="71"/>
        <v>8.2680000000000007</v>
      </c>
      <c r="AJ1482" t="s">
        <v>62</v>
      </c>
    </row>
    <row r="1483" spans="1:36" ht="15" customHeight="1" x14ac:dyDescent="0.35">
      <c r="A1483">
        <v>10428918</v>
      </c>
      <c r="B1483" t="s">
        <v>36</v>
      </c>
      <c r="C1483" t="s">
        <v>37</v>
      </c>
      <c r="D1483" s="6" t="s">
        <v>38</v>
      </c>
      <c r="E1483" t="s">
        <v>4420</v>
      </c>
      <c r="F1483" t="s">
        <v>40</v>
      </c>
      <c r="G1483" t="s">
        <v>41</v>
      </c>
      <c r="H1483" t="s">
        <v>4421</v>
      </c>
      <c r="I1483" t="s">
        <v>43</v>
      </c>
      <c r="J1483">
        <v>2</v>
      </c>
      <c r="K1483" t="s">
        <v>44</v>
      </c>
      <c r="L1483" t="s">
        <v>45</v>
      </c>
      <c r="M1483" t="s">
        <v>46</v>
      </c>
      <c r="N1483" s="7">
        <v>2</v>
      </c>
      <c r="O1483" s="8">
        <v>45637.405555555553</v>
      </c>
      <c r="P1483" s="9">
        <v>45638</v>
      </c>
      <c r="Q1483" t="s">
        <v>74</v>
      </c>
      <c r="R1483" t="s">
        <v>48</v>
      </c>
      <c r="S1483" t="s">
        <v>49</v>
      </c>
      <c r="T1483" t="s">
        <v>75</v>
      </c>
      <c r="U1483" t="s">
        <v>4422</v>
      </c>
      <c r="V1483">
        <v>25200</v>
      </c>
      <c r="W1483" t="s">
        <v>48</v>
      </c>
      <c r="X1483" t="s">
        <v>77</v>
      </c>
      <c r="Y1483" t="s">
        <v>54</v>
      </c>
      <c r="Z1483" s="12">
        <f>IF(N1483&lt;=1,9,9+0.8*ROUNDUP(N1483-1,0))</f>
        <v>9.8000000000000007</v>
      </c>
      <c r="AA1483" s="11">
        <v>-2</v>
      </c>
      <c r="AB1483" s="11">
        <v>0</v>
      </c>
      <c r="AC1483" s="11">
        <v>0</v>
      </c>
      <c r="AD1483" s="11">
        <v>0</v>
      </c>
      <c r="AE1483" s="11">
        <v>0</v>
      </c>
      <c r="AF1483" s="11">
        <f t="shared" si="69"/>
        <v>0.46800000000000003</v>
      </c>
      <c r="AG1483" s="11">
        <f t="shared" si="70"/>
        <v>8.2680000000000007</v>
      </c>
      <c r="AH1483" s="11">
        <v>0</v>
      </c>
      <c r="AI1483" s="11">
        <f t="shared" si="71"/>
        <v>8.2680000000000007</v>
      </c>
      <c r="AJ1483" t="s">
        <v>62</v>
      </c>
    </row>
    <row r="1484" spans="1:36" ht="15" customHeight="1" x14ac:dyDescent="0.35">
      <c r="A1484">
        <v>10428918</v>
      </c>
      <c r="B1484" t="s">
        <v>36</v>
      </c>
      <c r="C1484" t="s">
        <v>37</v>
      </c>
      <c r="D1484" s="6" t="s">
        <v>38</v>
      </c>
      <c r="E1484" t="s">
        <v>4423</v>
      </c>
      <c r="F1484" t="s">
        <v>40</v>
      </c>
      <c r="G1484" t="s">
        <v>41</v>
      </c>
      <c r="H1484" t="s">
        <v>4424</v>
      </c>
      <c r="I1484" t="s">
        <v>43</v>
      </c>
      <c r="J1484">
        <v>2</v>
      </c>
      <c r="K1484" t="s">
        <v>44</v>
      </c>
      <c r="L1484" t="s">
        <v>45</v>
      </c>
      <c r="M1484" t="s">
        <v>46</v>
      </c>
      <c r="N1484" s="7">
        <v>2</v>
      </c>
      <c r="O1484" s="8">
        <v>45637.747627314813</v>
      </c>
      <c r="P1484" s="9">
        <v>45638</v>
      </c>
      <c r="Q1484" t="s">
        <v>74</v>
      </c>
      <c r="R1484" t="s">
        <v>48</v>
      </c>
      <c r="S1484" t="s">
        <v>49</v>
      </c>
      <c r="T1484" t="s">
        <v>59</v>
      </c>
      <c r="U1484" t="s">
        <v>4425</v>
      </c>
      <c r="V1484">
        <v>16250</v>
      </c>
      <c r="W1484" t="s">
        <v>48</v>
      </c>
      <c r="X1484" t="s">
        <v>61</v>
      </c>
      <c r="Y1484" t="s">
        <v>54</v>
      </c>
      <c r="Z1484" s="12">
        <f>IF(N1484&lt;=1,9,9+0.8*ROUNDUP(N1484-1,0))</f>
        <v>9.8000000000000007</v>
      </c>
      <c r="AA1484" s="11">
        <v>-2</v>
      </c>
      <c r="AB1484" s="11">
        <v>0</v>
      </c>
      <c r="AC1484" s="11">
        <v>0</v>
      </c>
      <c r="AD1484" s="11">
        <v>0</v>
      </c>
      <c r="AE1484" s="11">
        <v>0</v>
      </c>
      <c r="AF1484" s="11">
        <f t="shared" si="69"/>
        <v>0.46800000000000003</v>
      </c>
      <c r="AG1484" s="11">
        <f t="shared" si="70"/>
        <v>8.2680000000000007</v>
      </c>
      <c r="AH1484" s="11">
        <v>0</v>
      </c>
      <c r="AI1484" s="11">
        <f t="shared" si="71"/>
        <v>8.2680000000000007</v>
      </c>
      <c r="AJ1484" t="s">
        <v>62</v>
      </c>
    </row>
    <row r="1485" spans="1:36" ht="15" customHeight="1" x14ac:dyDescent="0.35">
      <c r="A1485">
        <v>10428918</v>
      </c>
      <c r="B1485" t="s">
        <v>36</v>
      </c>
      <c r="C1485" t="s">
        <v>37</v>
      </c>
      <c r="D1485" s="6" t="s">
        <v>38</v>
      </c>
      <c r="E1485" t="s">
        <v>4426</v>
      </c>
      <c r="F1485" t="s">
        <v>40</v>
      </c>
      <c r="G1485" t="s">
        <v>41</v>
      </c>
      <c r="H1485" t="s">
        <v>4427</v>
      </c>
      <c r="I1485" t="s">
        <v>43</v>
      </c>
      <c r="J1485">
        <v>2</v>
      </c>
      <c r="K1485" t="s">
        <v>44</v>
      </c>
      <c r="L1485" t="s">
        <v>45</v>
      </c>
      <c r="M1485" t="s">
        <v>46</v>
      </c>
      <c r="N1485" s="7">
        <v>1</v>
      </c>
      <c r="O1485" s="8">
        <v>45637.419305555559</v>
      </c>
      <c r="P1485" s="9">
        <v>45638</v>
      </c>
      <c r="Q1485" t="s">
        <v>74</v>
      </c>
      <c r="R1485" t="s">
        <v>48</v>
      </c>
      <c r="S1485" t="s">
        <v>49</v>
      </c>
      <c r="T1485" t="s">
        <v>90</v>
      </c>
      <c r="U1485" t="s">
        <v>4428</v>
      </c>
      <c r="V1485">
        <v>24000</v>
      </c>
      <c r="W1485" t="s">
        <v>48</v>
      </c>
      <c r="X1485" t="s">
        <v>77</v>
      </c>
      <c r="Y1485" t="s">
        <v>54</v>
      </c>
      <c r="Z1485" s="12">
        <f>IF(N1485&lt;=1,9,9+0.8*ROUNDUP(N1485-1,0))</f>
        <v>9</v>
      </c>
      <c r="AA1485" s="11">
        <v>-2</v>
      </c>
      <c r="AB1485" s="11">
        <v>0</v>
      </c>
      <c r="AC1485" s="11">
        <v>0</v>
      </c>
      <c r="AD1485" s="11">
        <v>0</v>
      </c>
      <c r="AE1485" s="11">
        <v>0</v>
      </c>
      <c r="AF1485" s="11">
        <f t="shared" si="69"/>
        <v>0.42</v>
      </c>
      <c r="AG1485" s="11">
        <f t="shared" si="70"/>
        <v>7.42</v>
      </c>
      <c r="AH1485" s="11">
        <v>0</v>
      </c>
      <c r="AI1485" s="11">
        <f t="shared" si="71"/>
        <v>7.42</v>
      </c>
      <c r="AJ1485" t="s">
        <v>62</v>
      </c>
    </row>
    <row r="1486" spans="1:36" ht="15" customHeight="1" x14ac:dyDescent="0.35">
      <c r="A1486">
        <v>10428918</v>
      </c>
      <c r="B1486" t="s">
        <v>36</v>
      </c>
      <c r="C1486" t="s">
        <v>37</v>
      </c>
      <c r="D1486" s="6" t="s">
        <v>38</v>
      </c>
      <c r="E1486" t="s">
        <v>4429</v>
      </c>
      <c r="F1486" t="s">
        <v>40</v>
      </c>
      <c r="G1486" t="s">
        <v>41</v>
      </c>
      <c r="H1486" t="s">
        <v>4430</v>
      </c>
      <c r="I1486" t="s">
        <v>43</v>
      </c>
      <c r="J1486">
        <v>2</v>
      </c>
      <c r="K1486" t="s">
        <v>44</v>
      </c>
      <c r="L1486" t="s">
        <v>45</v>
      </c>
      <c r="M1486" t="s">
        <v>46</v>
      </c>
      <c r="N1486" s="7">
        <v>1</v>
      </c>
      <c r="O1486" s="8">
        <v>45636.401226851849</v>
      </c>
      <c r="P1486" s="9">
        <v>45638</v>
      </c>
      <c r="Q1486" t="s">
        <v>74</v>
      </c>
      <c r="R1486" t="s">
        <v>48</v>
      </c>
      <c r="S1486" t="s">
        <v>49</v>
      </c>
      <c r="T1486" t="s">
        <v>69</v>
      </c>
      <c r="U1486" t="s">
        <v>4431</v>
      </c>
      <c r="V1486">
        <v>86100</v>
      </c>
      <c r="W1486" t="s">
        <v>48</v>
      </c>
      <c r="X1486" t="s">
        <v>410</v>
      </c>
      <c r="Y1486" t="s">
        <v>54</v>
      </c>
      <c r="Z1486" s="12">
        <f>IF(N1486&lt;=1,9,9+0.8*ROUNDUP(N1486-1,0))</f>
        <v>9</v>
      </c>
      <c r="AA1486" s="11">
        <v>-2</v>
      </c>
      <c r="AB1486" s="11">
        <v>0</v>
      </c>
      <c r="AC1486" s="11">
        <v>0</v>
      </c>
      <c r="AD1486" s="11">
        <v>0</v>
      </c>
      <c r="AE1486" s="11">
        <v>0</v>
      </c>
      <c r="AF1486" s="11">
        <f t="shared" si="69"/>
        <v>0.42</v>
      </c>
      <c r="AG1486" s="11">
        <f t="shared" si="70"/>
        <v>7.42</v>
      </c>
      <c r="AH1486" s="11">
        <v>0</v>
      </c>
      <c r="AI1486" s="11">
        <f t="shared" si="71"/>
        <v>7.42</v>
      </c>
      <c r="AJ1486" t="s">
        <v>62</v>
      </c>
    </row>
    <row r="1487" spans="1:36" ht="15" customHeight="1" x14ac:dyDescent="0.35">
      <c r="A1487">
        <v>10428918</v>
      </c>
      <c r="B1487" t="s">
        <v>36</v>
      </c>
      <c r="C1487" t="s">
        <v>37</v>
      </c>
      <c r="D1487" s="6" t="s">
        <v>38</v>
      </c>
      <c r="E1487" t="s">
        <v>4432</v>
      </c>
      <c r="F1487" t="s">
        <v>40</v>
      </c>
      <c r="G1487" t="s">
        <v>41</v>
      </c>
      <c r="H1487" t="s">
        <v>4433</v>
      </c>
      <c r="I1487" t="s">
        <v>43</v>
      </c>
      <c r="J1487">
        <v>2</v>
      </c>
      <c r="K1487" t="s">
        <v>44</v>
      </c>
      <c r="L1487" t="s">
        <v>45</v>
      </c>
      <c r="M1487" t="s">
        <v>46</v>
      </c>
      <c r="N1487" s="7">
        <v>1</v>
      </c>
      <c r="O1487" s="8">
        <v>45635.77306712963</v>
      </c>
      <c r="P1487" s="9">
        <v>45638</v>
      </c>
      <c r="Q1487" t="s">
        <v>74</v>
      </c>
      <c r="R1487" t="s">
        <v>48</v>
      </c>
      <c r="S1487" t="s">
        <v>49</v>
      </c>
      <c r="T1487" t="s">
        <v>101</v>
      </c>
      <c r="U1487" t="s">
        <v>4434</v>
      </c>
      <c r="V1487">
        <v>35400</v>
      </c>
      <c r="W1487" t="s">
        <v>48</v>
      </c>
      <c r="X1487" t="s">
        <v>110</v>
      </c>
      <c r="Y1487" t="s">
        <v>54</v>
      </c>
      <c r="Z1487" s="12">
        <f>IF(N1487&lt;=1,9,9+0.8*ROUNDUP(N1487-1,0))</f>
        <v>9</v>
      </c>
      <c r="AA1487" s="11">
        <v>-2</v>
      </c>
      <c r="AB1487" s="11">
        <v>0</v>
      </c>
      <c r="AC1487" s="11">
        <v>0</v>
      </c>
      <c r="AD1487" s="11">
        <v>0</v>
      </c>
      <c r="AE1487" s="11">
        <v>0</v>
      </c>
      <c r="AF1487" s="11">
        <f t="shared" si="69"/>
        <v>0.42</v>
      </c>
      <c r="AG1487" s="11">
        <f t="shared" si="70"/>
        <v>7.42</v>
      </c>
      <c r="AH1487" s="11">
        <v>0</v>
      </c>
      <c r="AI1487" s="11">
        <f t="shared" si="71"/>
        <v>7.42</v>
      </c>
      <c r="AJ1487" t="s">
        <v>62</v>
      </c>
    </row>
    <row r="1488" spans="1:36" ht="15" customHeight="1" x14ac:dyDescent="0.35">
      <c r="A1488">
        <v>10428918</v>
      </c>
      <c r="B1488" t="s">
        <v>36</v>
      </c>
      <c r="C1488" t="s">
        <v>37</v>
      </c>
      <c r="D1488" s="6" t="s">
        <v>38</v>
      </c>
      <c r="E1488" t="s">
        <v>4435</v>
      </c>
      <c r="F1488" t="s">
        <v>40</v>
      </c>
      <c r="G1488" t="s">
        <v>41</v>
      </c>
      <c r="H1488" t="s">
        <v>4436</v>
      </c>
      <c r="I1488" t="s">
        <v>43</v>
      </c>
      <c r="J1488">
        <v>2</v>
      </c>
      <c r="K1488" t="s">
        <v>44</v>
      </c>
      <c r="L1488" t="s">
        <v>45</v>
      </c>
      <c r="M1488" t="s">
        <v>46</v>
      </c>
      <c r="N1488" s="7">
        <v>1</v>
      </c>
      <c r="O1488" s="8">
        <v>45636.434398148151</v>
      </c>
      <c r="P1488" s="9">
        <v>45638</v>
      </c>
      <c r="Q1488" t="s">
        <v>74</v>
      </c>
      <c r="R1488" t="s">
        <v>48</v>
      </c>
      <c r="S1488" t="s">
        <v>49</v>
      </c>
      <c r="T1488" t="s">
        <v>80</v>
      </c>
      <c r="U1488" t="s">
        <v>4437</v>
      </c>
      <c r="V1488">
        <v>9700</v>
      </c>
      <c r="W1488" t="s">
        <v>48</v>
      </c>
      <c r="X1488" t="s">
        <v>690</v>
      </c>
      <c r="Y1488" t="s">
        <v>54</v>
      </c>
      <c r="Z1488" s="12">
        <f>IF(N1488&lt;=1,9,9+0.8*ROUNDUP(N1488-1,0))</f>
        <v>9</v>
      </c>
      <c r="AA1488" s="11">
        <v>-2</v>
      </c>
      <c r="AB1488" s="11">
        <v>0</v>
      </c>
      <c r="AC1488" s="11">
        <v>0</v>
      </c>
      <c r="AD1488" s="11">
        <v>0</v>
      </c>
      <c r="AE1488" s="11">
        <v>0</v>
      </c>
      <c r="AF1488" s="11">
        <f t="shared" si="69"/>
        <v>0.42</v>
      </c>
      <c r="AG1488" s="11">
        <f t="shared" si="70"/>
        <v>7.42</v>
      </c>
      <c r="AH1488" s="11">
        <v>0</v>
      </c>
      <c r="AI1488" s="11">
        <f t="shared" si="71"/>
        <v>7.42</v>
      </c>
      <c r="AJ1488" t="s">
        <v>62</v>
      </c>
    </row>
    <row r="1489" spans="1:36" ht="15" customHeight="1" x14ac:dyDescent="0.35">
      <c r="A1489">
        <v>10428918</v>
      </c>
      <c r="B1489" t="s">
        <v>36</v>
      </c>
      <c r="C1489" t="s">
        <v>37</v>
      </c>
      <c r="D1489" s="6" t="s">
        <v>38</v>
      </c>
      <c r="E1489" t="s">
        <v>4438</v>
      </c>
      <c r="F1489" t="s">
        <v>40</v>
      </c>
      <c r="G1489" t="s">
        <v>41</v>
      </c>
      <c r="H1489" t="s">
        <v>4439</v>
      </c>
      <c r="I1489" t="s">
        <v>43</v>
      </c>
      <c r="J1489">
        <v>2</v>
      </c>
      <c r="K1489" t="s">
        <v>44</v>
      </c>
      <c r="L1489" t="s">
        <v>45</v>
      </c>
      <c r="M1489" t="s">
        <v>46</v>
      </c>
      <c r="N1489" s="7">
        <v>2</v>
      </c>
      <c r="O1489" s="8">
        <v>45637.431793981479</v>
      </c>
      <c r="P1489" s="9">
        <v>45638</v>
      </c>
      <c r="Q1489" t="s">
        <v>74</v>
      </c>
      <c r="R1489" t="s">
        <v>48</v>
      </c>
      <c r="S1489" t="s">
        <v>49</v>
      </c>
      <c r="T1489" t="s">
        <v>90</v>
      </c>
      <c r="U1489" t="s">
        <v>4440</v>
      </c>
      <c r="V1489">
        <v>23400</v>
      </c>
      <c r="W1489" t="s">
        <v>48</v>
      </c>
      <c r="X1489" t="s">
        <v>92</v>
      </c>
      <c r="Y1489" t="s">
        <v>54</v>
      </c>
      <c r="Z1489" s="12">
        <f>IF(N1489&lt;=1,9,9+0.8*ROUNDUP(N1489-1,0))</f>
        <v>9.8000000000000007</v>
      </c>
      <c r="AA1489" s="11">
        <v>-2</v>
      </c>
      <c r="AB1489" s="11">
        <v>0</v>
      </c>
      <c r="AC1489" s="11">
        <v>0</v>
      </c>
      <c r="AD1489" s="11">
        <v>0</v>
      </c>
      <c r="AE1489" s="11">
        <v>0</v>
      </c>
      <c r="AF1489" s="11">
        <f t="shared" si="69"/>
        <v>0.46800000000000003</v>
      </c>
      <c r="AG1489" s="11">
        <f t="shared" si="70"/>
        <v>8.2680000000000007</v>
      </c>
      <c r="AH1489" s="11">
        <v>0</v>
      </c>
      <c r="AI1489" s="11">
        <f t="shared" si="71"/>
        <v>8.2680000000000007</v>
      </c>
      <c r="AJ1489" t="s">
        <v>62</v>
      </c>
    </row>
    <row r="1490" spans="1:36" ht="15" customHeight="1" x14ac:dyDescent="0.35">
      <c r="A1490">
        <v>10428918</v>
      </c>
      <c r="B1490" t="s">
        <v>36</v>
      </c>
      <c r="C1490" t="s">
        <v>37</v>
      </c>
      <c r="D1490" s="6" t="s">
        <v>38</v>
      </c>
      <c r="E1490" t="s">
        <v>4441</v>
      </c>
      <c r="F1490" t="s">
        <v>40</v>
      </c>
      <c r="G1490" t="s">
        <v>41</v>
      </c>
      <c r="H1490" t="s">
        <v>4442</v>
      </c>
      <c r="I1490" t="s">
        <v>43</v>
      </c>
      <c r="J1490">
        <v>2</v>
      </c>
      <c r="K1490" t="s">
        <v>44</v>
      </c>
      <c r="L1490" t="s">
        <v>45</v>
      </c>
      <c r="M1490" t="s">
        <v>46</v>
      </c>
      <c r="N1490" s="7">
        <v>1</v>
      </c>
      <c r="O1490" s="8">
        <v>45636.43440972222</v>
      </c>
      <c r="P1490" s="9">
        <v>45638</v>
      </c>
      <c r="Q1490" t="s">
        <v>74</v>
      </c>
      <c r="R1490" t="s">
        <v>48</v>
      </c>
      <c r="S1490" t="s">
        <v>49</v>
      </c>
      <c r="T1490" t="s">
        <v>101</v>
      </c>
      <c r="U1490" t="s">
        <v>4443</v>
      </c>
      <c r="V1490">
        <v>34300</v>
      </c>
      <c r="W1490" t="s">
        <v>48</v>
      </c>
      <c r="X1490" t="s">
        <v>568</v>
      </c>
      <c r="Y1490" t="s">
        <v>54</v>
      </c>
      <c r="Z1490" s="12">
        <f>IF(N1490&lt;=1,9,9+0.8*ROUNDUP(N1490-1,0))</f>
        <v>9</v>
      </c>
      <c r="AA1490" s="11">
        <v>-2</v>
      </c>
      <c r="AB1490" s="11">
        <v>0</v>
      </c>
      <c r="AC1490" s="11">
        <v>0</v>
      </c>
      <c r="AD1490" s="11">
        <v>0</v>
      </c>
      <c r="AE1490" s="11">
        <v>0</v>
      </c>
      <c r="AF1490" s="11">
        <f t="shared" si="69"/>
        <v>0.42</v>
      </c>
      <c r="AG1490" s="11">
        <f t="shared" si="70"/>
        <v>7.42</v>
      </c>
      <c r="AH1490" s="11">
        <v>0</v>
      </c>
      <c r="AI1490" s="11">
        <f t="shared" si="71"/>
        <v>7.42</v>
      </c>
      <c r="AJ1490" t="s">
        <v>62</v>
      </c>
    </row>
    <row r="1491" spans="1:36" ht="15" customHeight="1" x14ac:dyDescent="0.35">
      <c r="A1491">
        <v>10428918</v>
      </c>
      <c r="B1491" t="s">
        <v>36</v>
      </c>
      <c r="C1491" t="s">
        <v>37</v>
      </c>
      <c r="D1491" s="6" t="s">
        <v>38</v>
      </c>
      <c r="E1491" t="s">
        <v>4444</v>
      </c>
      <c r="F1491" t="s">
        <v>40</v>
      </c>
      <c r="G1491" t="s">
        <v>41</v>
      </c>
      <c r="H1491" t="s">
        <v>4445</v>
      </c>
      <c r="I1491" t="s">
        <v>43</v>
      </c>
      <c r="J1491">
        <v>2</v>
      </c>
      <c r="K1491" t="s">
        <v>44</v>
      </c>
      <c r="L1491" t="s">
        <v>45</v>
      </c>
      <c r="M1491" t="s">
        <v>46</v>
      </c>
      <c r="N1491" s="7">
        <v>1</v>
      </c>
      <c r="O1491" s="8">
        <v>45636.43440972222</v>
      </c>
      <c r="P1491" s="9">
        <v>45638</v>
      </c>
      <c r="Q1491" t="s">
        <v>74</v>
      </c>
      <c r="R1491" t="s">
        <v>48</v>
      </c>
      <c r="S1491" t="s">
        <v>49</v>
      </c>
      <c r="T1491" t="s">
        <v>101</v>
      </c>
      <c r="U1491" t="s">
        <v>4446</v>
      </c>
      <c r="V1491">
        <v>35000</v>
      </c>
      <c r="W1491" t="s">
        <v>48</v>
      </c>
      <c r="X1491" t="s">
        <v>110</v>
      </c>
      <c r="Y1491" t="s">
        <v>54</v>
      </c>
      <c r="Z1491" s="12">
        <f>IF(N1491&lt;=1,9,9+0.8*ROUNDUP(N1491-1,0))</f>
        <v>9</v>
      </c>
      <c r="AA1491" s="11">
        <v>-2</v>
      </c>
      <c r="AB1491" s="11">
        <v>0</v>
      </c>
      <c r="AC1491" s="11">
        <v>0</v>
      </c>
      <c r="AD1491" s="11">
        <v>0</v>
      </c>
      <c r="AE1491" s="11">
        <v>0</v>
      </c>
      <c r="AF1491" s="11">
        <f t="shared" si="69"/>
        <v>0.42</v>
      </c>
      <c r="AG1491" s="11">
        <f t="shared" si="70"/>
        <v>7.42</v>
      </c>
      <c r="AH1491" s="11">
        <v>0</v>
      </c>
      <c r="AI1491" s="11">
        <f t="shared" si="71"/>
        <v>7.42</v>
      </c>
      <c r="AJ1491" t="s">
        <v>62</v>
      </c>
    </row>
    <row r="1492" spans="1:36" ht="15" customHeight="1" x14ac:dyDescent="0.35">
      <c r="A1492">
        <v>10428918</v>
      </c>
      <c r="B1492" t="s">
        <v>36</v>
      </c>
      <c r="C1492" t="s">
        <v>37</v>
      </c>
      <c r="D1492" s="6" t="s">
        <v>38</v>
      </c>
      <c r="E1492" t="s">
        <v>4447</v>
      </c>
      <c r="F1492" t="s">
        <v>40</v>
      </c>
      <c r="G1492" t="s">
        <v>41</v>
      </c>
      <c r="H1492" t="s">
        <v>4448</v>
      </c>
      <c r="I1492" t="s">
        <v>43</v>
      </c>
      <c r="J1492">
        <v>2</v>
      </c>
      <c r="K1492" t="s">
        <v>44</v>
      </c>
      <c r="L1492" t="s">
        <v>45</v>
      </c>
      <c r="M1492" t="s">
        <v>46</v>
      </c>
      <c r="N1492" s="7">
        <v>1</v>
      </c>
      <c r="O1492" s="8">
        <v>45637.765763888892</v>
      </c>
      <c r="P1492" s="9">
        <v>45638</v>
      </c>
      <c r="Q1492" t="s">
        <v>74</v>
      </c>
      <c r="R1492" t="s">
        <v>48</v>
      </c>
      <c r="S1492" t="s">
        <v>49</v>
      </c>
      <c r="T1492" t="s">
        <v>59</v>
      </c>
      <c r="U1492" t="s">
        <v>4449</v>
      </c>
      <c r="V1492">
        <v>17500</v>
      </c>
      <c r="W1492" t="s">
        <v>48</v>
      </c>
      <c r="X1492" t="s">
        <v>61</v>
      </c>
      <c r="Y1492" t="s">
        <v>54</v>
      </c>
      <c r="Z1492" s="12">
        <f>IF(N1492&lt;=1,9,9+0.8*ROUNDUP(N1492-1,0))</f>
        <v>9</v>
      </c>
      <c r="AA1492" s="11">
        <v>-2</v>
      </c>
      <c r="AB1492" s="11">
        <v>0</v>
      </c>
      <c r="AC1492" s="11">
        <v>0</v>
      </c>
      <c r="AD1492" s="11">
        <v>0</v>
      </c>
      <c r="AE1492" s="11">
        <v>0</v>
      </c>
      <c r="AF1492" s="11">
        <f t="shared" si="69"/>
        <v>0.42</v>
      </c>
      <c r="AG1492" s="11">
        <f t="shared" si="70"/>
        <v>7.42</v>
      </c>
      <c r="AH1492" s="11">
        <v>0</v>
      </c>
      <c r="AI1492" s="11">
        <f t="shared" si="71"/>
        <v>7.42</v>
      </c>
      <c r="AJ1492" t="s">
        <v>62</v>
      </c>
    </row>
    <row r="1493" spans="1:36" ht="15" customHeight="1" x14ac:dyDescent="0.35">
      <c r="A1493">
        <v>10428918</v>
      </c>
      <c r="B1493" t="s">
        <v>36</v>
      </c>
      <c r="C1493" t="s">
        <v>37</v>
      </c>
      <c r="D1493" s="6" t="s">
        <v>38</v>
      </c>
      <c r="E1493" t="s">
        <v>4450</v>
      </c>
      <c r="F1493" t="s">
        <v>40</v>
      </c>
      <c r="G1493" t="s">
        <v>41</v>
      </c>
      <c r="H1493" t="s">
        <v>4451</v>
      </c>
      <c r="I1493" t="s">
        <v>43</v>
      </c>
      <c r="J1493">
        <v>2</v>
      </c>
      <c r="K1493" t="s">
        <v>44</v>
      </c>
      <c r="L1493" t="s">
        <v>45</v>
      </c>
      <c r="M1493" t="s">
        <v>46</v>
      </c>
      <c r="N1493" s="7">
        <v>1</v>
      </c>
      <c r="O1493" s="8">
        <v>45637.67701388889</v>
      </c>
      <c r="P1493" s="9">
        <v>45638</v>
      </c>
      <c r="Q1493" t="s">
        <v>74</v>
      </c>
      <c r="R1493" t="s">
        <v>48</v>
      </c>
      <c r="S1493" t="s">
        <v>49</v>
      </c>
      <c r="T1493" t="s">
        <v>170</v>
      </c>
      <c r="U1493" t="s">
        <v>4452</v>
      </c>
      <c r="V1493">
        <v>50300</v>
      </c>
      <c r="W1493" t="s">
        <v>48</v>
      </c>
      <c r="X1493" t="s">
        <v>365</v>
      </c>
      <c r="Y1493" t="s">
        <v>54</v>
      </c>
      <c r="Z1493" s="12">
        <f>IF(N1493&lt;=1,9,9+0.8*ROUNDUP(N1493-1,0))</f>
        <v>9</v>
      </c>
      <c r="AA1493" s="11">
        <v>-2</v>
      </c>
      <c r="AB1493" s="11">
        <v>0</v>
      </c>
      <c r="AC1493" s="11">
        <v>0</v>
      </c>
      <c r="AD1493" s="11">
        <v>0</v>
      </c>
      <c r="AE1493" s="11">
        <v>0</v>
      </c>
      <c r="AF1493" s="11">
        <f t="shared" si="69"/>
        <v>0.42</v>
      </c>
      <c r="AG1493" s="11">
        <f t="shared" si="70"/>
        <v>7.42</v>
      </c>
      <c r="AH1493" s="11">
        <v>0</v>
      </c>
      <c r="AI1493" s="11">
        <f t="shared" si="71"/>
        <v>7.42</v>
      </c>
      <c r="AJ1493" t="s">
        <v>62</v>
      </c>
    </row>
    <row r="1494" spans="1:36" ht="15" customHeight="1" x14ac:dyDescent="0.35">
      <c r="A1494">
        <v>10428918</v>
      </c>
      <c r="B1494" t="s">
        <v>36</v>
      </c>
      <c r="C1494" t="s">
        <v>37</v>
      </c>
      <c r="D1494" s="6" t="s">
        <v>38</v>
      </c>
      <c r="E1494" t="s">
        <v>4453</v>
      </c>
      <c r="F1494" t="s">
        <v>40</v>
      </c>
      <c r="G1494" t="s">
        <v>41</v>
      </c>
      <c r="H1494" t="s">
        <v>4454</v>
      </c>
      <c r="I1494" t="s">
        <v>43</v>
      </c>
      <c r="J1494">
        <v>2</v>
      </c>
      <c r="K1494" t="s">
        <v>44</v>
      </c>
      <c r="L1494" t="s">
        <v>45</v>
      </c>
      <c r="M1494" t="s">
        <v>46</v>
      </c>
      <c r="N1494" s="7">
        <v>15</v>
      </c>
      <c r="O1494" s="8">
        <v>45636.415925925925</v>
      </c>
      <c r="P1494" s="9">
        <v>45638</v>
      </c>
      <c r="Q1494" t="s">
        <v>74</v>
      </c>
      <c r="R1494" t="s">
        <v>48</v>
      </c>
      <c r="S1494" t="s">
        <v>49</v>
      </c>
      <c r="T1494" t="s">
        <v>161</v>
      </c>
      <c r="U1494" t="s">
        <v>4455</v>
      </c>
      <c r="V1494">
        <v>14100</v>
      </c>
      <c r="W1494" t="s">
        <v>48</v>
      </c>
      <c r="X1494" t="s">
        <v>53</v>
      </c>
      <c r="Y1494" t="s">
        <v>54</v>
      </c>
      <c r="Z1494" s="12">
        <f>IF(N1494&lt;=1,9,9+0.8*ROUNDUP(N1494-1,0))</f>
        <v>20.200000000000003</v>
      </c>
      <c r="AA1494" s="11">
        <v>-2</v>
      </c>
      <c r="AB1494" s="11">
        <v>0</v>
      </c>
      <c r="AC1494" s="11">
        <v>0</v>
      </c>
      <c r="AD1494" s="11">
        <v>0</v>
      </c>
      <c r="AE1494" s="11">
        <v>0</v>
      </c>
      <c r="AF1494" s="11">
        <f t="shared" si="69"/>
        <v>1.0920000000000001</v>
      </c>
      <c r="AG1494" s="11">
        <f t="shared" si="70"/>
        <v>19.292000000000002</v>
      </c>
      <c r="AH1494" s="11">
        <v>0</v>
      </c>
      <c r="AI1494" s="11">
        <f t="shared" si="71"/>
        <v>19.292000000000002</v>
      </c>
      <c r="AJ1494" t="s">
        <v>62</v>
      </c>
    </row>
    <row r="1495" spans="1:36" ht="15" customHeight="1" x14ac:dyDescent="0.35">
      <c r="A1495">
        <v>10428918</v>
      </c>
      <c r="B1495" t="s">
        <v>36</v>
      </c>
      <c r="C1495" t="s">
        <v>37</v>
      </c>
      <c r="D1495" s="6" t="s">
        <v>38</v>
      </c>
      <c r="E1495" t="s">
        <v>4456</v>
      </c>
      <c r="F1495" t="s">
        <v>40</v>
      </c>
      <c r="G1495" t="s">
        <v>41</v>
      </c>
      <c r="H1495" t="s">
        <v>4454</v>
      </c>
      <c r="I1495" t="s">
        <v>43</v>
      </c>
      <c r="J1495">
        <v>2</v>
      </c>
      <c r="K1495" t="s">
        <v>44</v>
      </c>
      <c r="L1495" t="s">
        <v>45</v>
      </c>
      <c r="M1495" t="s">
        <v>46</v>
      </c>
      <c r="N1495" s="7">
        <v>29</v>
      </c>
      <c r="O1495" s="8">
        <v>45636.415914351855</v>
      </c>
      <c r="P1495" s="9">
        <v>45638</v>
      </c>
      <c r="Q1495" t="s">
        <v>74</v>
      </c>
      <c r="R1495" t="s">
        <v>48</v>
      </c>
      <c r="S1495" t="s">
        <v>49</v>
      </c>
      <c r="T1495" t="s">
        <v>161</v>
      </c>
      <c r="U1495" t="s">
        <v>4455</v>
      </c>
      <c r="V1495">
        <v>14100</v>
      </c>
      <c r="W1495" t="s">
        <v>48</v>
      </c>
      <c r="X1495" t="s">
        <v>666</v>
      </c>
      <c r="Y1495" t="s">
        <v>54</v>
      </c>
      <c r="Z1495" s="12">
        <f>IF(N1495&lt;=1,9,9+0.8*ROUNDUP(N1495-1,0))</f>
        <v>31.400000000000002</v>
      </c>
      <c r="AA1495" s="11">
        <v>-2</v>
      </c>
      <c r="AB1495" s="11">
        <v>0</v>
      </c>
      <c r="AC1495" s="11">
        <v>0</v>
      </c>
      <c r="AD1495" s="11">
        <v>0</v>
      </c>
      <c r="AE1495" s="11">
        <v>0</v>
      </c>
      <c r="AF1495" s="11">
        <f t="shared" si="69"/>
        <v>1.764</v>
      </c>
      <c r="AG1495" s="11">
        <f t="shared" si="70"/>
        <v>31.164000000000001</v>
      </c>
      <c r="AH1495" s="11">
        <v>0</v>
      </c>
      <c r="AI1495" s="11">
        <f t="shared" si="71"/>
        <v>31.164000000000001</v>
      </c>
      <c r="AJ1495" t="s">
        <v>62</v>
      </c>
    </row>
    <row r="1496" spans="1:36" ht="15" customHeight="1" x14ac:dyDescent="0.35">
      <c r="A1496">
        <v>10428918</v>
      </c>
      <c r="B1496" t="s">
        <v>36</v>
      </c>
      <c r="C1496" t="s">
        <v>37</v>
      </c>
      <c r="D1496" s="6" t="s">
        <v>38</v>
      </c>
      <c r="E1496" t="s">
        <v>4457</v>
      </c>
      <c r="F1496" t="s">
        <v>40</v>
      </c>
      <c r="G1496" t="s">
        <v>41</v>
      </c>
      <c r="H1496" t="s">
        <v>4454</v>
      </c>
      <c r="I1496" t="s">
        <v>43</v>
      </c>
      <c r="J1496">
        <v>2</v>
      </c>
      <c r="K1496" t="s">
        <v>44</v>
      </c>
      <c r="L1496" t="s">
        <v>45</v>
      </c>
      <c r="M1496" t="s">
        <v>46</v>
      </c>
      <c r="N1496" s="7">
        <v>29</v>
      </c>
      <c r="O1496" s="8">
        <v>45636.415914351855</v>
      </c>
      <c r="P1496" s="9">
        <v>45638</v>
      </c>
      <c r="Q1496" t="s">
        <v>74</v>
      </c>
      <c r="R1496" t="s">
        <v>48</v>
      </c>
      <c r="S1496" t="s">
        <v>49</v>
      </c>
      <c r="T1496" t="s">
        <v>161</v>
      </c>
      <c r="U1496" t="s">
        <v>4455</v>
      </c>
      <c r="V1496">
        <v>14100</v>
      </c>
      <c r="W1496" t="s">
        <v>48</v>
      </c>
      <c r="X1496" t="s">
        <v>666</v>
      </c>
      <c r="Y1496" t="s">
        <v>54</v>
      </c>
      <c r="Z1496" s="12">
        <f>IF(N1496&lt;=1,9,9+0.8*ROUNDUP(N1496-1,0))</f>
        <v>31.400000000000002</v>
      </c>
      <c r="AA1496" s="11">
        <v>-2</v>
      </c>
      <c r="AB1496" s="11">
        <v>0</v>
      </c>
      <c r="AC1496" s="11">
        <v>0</v>
      </c>
      <c r="AD1496" s="11">
        <v>0</v>
      </c>
      <c r="AE1496" s="11">
        <v>0</v>
      </c>
      <c r="AF1496" s="11">
        <f t="shared" si="69"/>
        <v>1.764</v>
      </c>
      <c r="AG1496" s="11">
        <f t="shared" si="70"/>
        <v>31.164000000000001</v>
      </c>
      <c r="AH1496" s="11">
        <v>0</v>
      </c>
      <c r="AI1496" s="11">
        <f t="shared" si="71"/>
        <v>31.164000000000001</v>
      </c>
      <c r="AJ1496" t="s">
        <v>62</v>
      </c>
    </row>
    <row r="1497" spans="1:36" ht="15" customHeight="1" x14ac:dyDescent="0.35">
      <c r="A1497">
        <v>10428918</v>
      </c>
      <c r="B1497" t="s">
        <v>36</v>
      </c>
      <c r="C1497" t="s">
        <v>37</v>
      </c>
      <c r="D1497" s="6" t="s">
        <v>38</v>
      </c>
      <c r="E1497" t="s">
        <v>4458</v>
      </c>
      <c r="F1497" t="s">
        <v>40</v>
      </c>
      <c r="G1497" t="s">
        <v>41</v>
      </c>
      <c r="H1497" t="s">
        <v>4454</v>
      </c>
      <c r="I1497" t="s">
        <v>43</v>
      </c>
      <c r="J1497">
        <v>2</v>
      </c>
      <c r="K1497" t="s">
        <v>44</v>
      </c>
      <c r="L1497" t="s">
        <v>45</v>
      </c>
      <c r="M1497" t="s">
        <v>46</v>
      </c>
      <c r="N1497" s="7">
        <v>28</v>
      </c>
      <c r="O1497" s="8">
        <v>45636.415914351855</v>
      </c>
      <c r="P1497" s="9">
        <v>45638</v>
      </c>
      <c r="Q1497" t="s">
        <v>74</v>
      </c>
      <c r="R1497" t="s">
        <v>48</v>
      </c>
      <c r="S1497" t="s">
        <v>49</v>
      </c>
      <c r="T1497" t="s">
        <v>161</v>
      </c>
      <c r="U1497" t="s">
        <v>4455</v>
      </c>
      <c r="V1497">
        <v>14100</v>
      </c>
      <c r="W1497" t="s">
        <v>48</v>
      </c>
      <c r="X1497" t="s">
        <v>666</v>
      </c>
      <c r="Y1497" t="s">
        <v>54</v>
      </c>
      <c r="Z1497" s="12">
        <f>IF(N1497&lt;=1,9,9+0.8*ROUNDUP(N1497-1,0))</f>
        <v>30.6</v>
      </c>
      <c r="AA1497" s="11">
        <v>-2</v>
      </c>
      <c r="AB1497" s="11">
        <v>0</v>
      </c>
      <c r="AC1497" s="11">
        <v>0</v>
      </c>
      <c r="AD1497" s="11">
        <v>0</v>
      </c>
      <c r="AE1497" s="11">
        <v>0</v>
      </c>
      <c r="AF1497" s="11">
        <f t="shared" si="69"/>
        <v>1.716</v>
      </c>
      <c r="AG1497" s="11">
        <f t="shared" si="70"/>
        <v>30.316000000000003</v>
      </c>
      <c r="AH1497" s="11">
        <v>0</v>
      </c>
      <c r="AI1497" s="11">
        <f t="shared" si="71"/>
        <v>30.316000000000003</v>
      </c>
      <c r="AJ1497" t="s">
        <v>62</v>
      </c>
    </row>
    <row r="1498" spans="1:36" ht="15" customHeight="1" x14ac:dyDescent="0.35">
      <c r="A1498">
        <v>10428918</v>
      </c>
      <c r="B1498" t="s">
        <v>36</v>
      </c>
      <c r="C1498" t="s">
        <v>37</v>
      </c>
      <c r="D1498" s="6" t="s">
        <v>38</v>
      </c>
      <c r="E1498" t="s">
        <v>4459</v>
      </c>
      <c r="F1498" t="s">
        <v>40</v>
      </c>
      <c r="G1498" t="s">
        <v>41</v>
      </c>
      <c r="H1498" t="s">
        <v>4460</v>
      </c>
      <c r="I1498" t="s">
        <v>43</v>
      </c>
      <c r="J1498">
        <v>2</v>
      </c>
      <c r="K1498" t="s">
        <v>44</v>
      </c>
      <c r="L1498" t="s">
        <v>45</v>
      </c>
      <c r="M1498" t="s">
        <v>46</v>
      </c>
      <c r="N1498" s="7">
        <v>1</v>
      </c>
      <c r="O1498" s="8">
        <v>45637.419305555559</v>
      </c>
      <c r="P1498" s="9">
        <v>45638</v>
      </c>
      <c r="Q1498" t="s">
        <v>74</v>
      </c>
      <c r="R1498" t="s">
        <v>48</v>
      </c>
      <c r="S1498" t="s">
        <v>49</v>
      </c>
      <c r="T1498" t="s">
        <v>65</v>
      </c>
      <c r="U1498" t="s">
        <v>4461</v>
      </c>
      <c r="V1498">
        <v>75350</v>
      </c>
      <c r="W1498" t="s">
        <v>48</v>
      </c>
      <c r="X1498" t="s">
        <v>480</v>
      </c>
      <c r="Y1498" t="s">
        <v>54</v>
      </c>
      <c r="Z1498" s="12">
        <f>IF(N1498&lt;=1,9,9+0.8*ROUNDUP(N1498-1,0))</f>
        <v>9</v>
      </c>
      <c r="AA1498" s="11">
        <v>-2</v>
      </c>
      <c r="AB1498" s="11">
        <v>0</v>
      </c>
      <c r="AC1498" s="11">
        <v>0</v>
      </c>
      <c r="AD1498" s="11">
        <v>0</v>
      </c>
      <c r="AE1498" s="11">
        <v>0</v>
      </c>
      <c r="AF1498" s="11">
        <f t="shared" si="69"/>
        <v>0.42</v>
      </c>
      <c r="AG1498" s="11">
        <f t="shared" si="70"/>
        <v>7.42</v>
      </c>
      <c r="AH1498" s="11">
        <v>0</v>
      </c>
      <c r="AI1498" s="11">
        <f t="shared" si="71"/>
        <v>7.42</v>
      </c>
      <c r="AJ1498" t="s">
        <v>62</v>
      </c>
    </row>
    <row r="1499" spans="1:36" ht="15" customHeight="1" x14ac:dyDescent="0.35">
      <c r="A1499">
        <v>10428918</v>
      </c>
      <c r="B1499" t="s">
        <v>36</v>
      </c>
      <c r="C1499" t="s">
        <v>37</v>
      </c>
      <c r="D1499" s="6" t="s">
        <v>38</v>
      </c>
      <c r="E1499" t="s">
        <v>4462</v>
      </c>
      <c r="F1499" t="s">
        <v>40</v>
      </c>
      <c r="G1499" t="s">
        <v>41</v>
      </c>
      <c r="H1499" t="s">
        <v>4463</v>
      </c>
      <c r="I1499" t="s">
        <v>43</v>
      </c>
      <c r="J1499">
        <v>2</v>
      </c>
      <c r="K1499" t="s">
        <v>44</v>
      </c>
      <c r="L1499" t="s">
        <v>45</v>
      </c>
      <c r="M1499" t="s">
        <v>46</v>
      </c>
      <c r="N1499" s="7">
        <v>1</v>
      </c>
      <c r="O1499" s="8">
        <v>45636.410370370373</v>
      </c>
      <c r="P1499" s="9">
        <v>45638</v>
      </c>
      <c r="Q1499" t="s">
        <v>74</v>
      </c>
      <c r="R1499" t="s">
        <v>48</v>
      </c>
      <c r="S1499" t="s">
        <v>49</v>
      </c>
      <c r="T1499" t="s">
        <v>101</v>
      </c>
      <c r="U1499" t="s">
        <v>4464</v>
      </c>
      <c r="V1499">
        <v>31400</v>
      </c>
      <c r="W1499" t="s">
        <v>48</v>
      </c>
      <c r="X1499" t="s">
        <v>1401</v>
      </c>
      <c r="Y1499" t="s">
        <v>54</v>
      </c>
      <c r="Z1499" s="12">
        <f>IF(N1499&lt;=1,9,9+0.8*ROUNDUP(N1499-1,0))</f>
        <v>9</v>
      </c>
      <c r="AA1499" s="11">
        <v>-2</v>
      </c>
      <c r="AB1499" s="11">
        <v>0</v>
      </c>
      <c r="AC1499" s="11">
        <v>0</v>
      </c>
      <c r="AD1499" s="11">
        <v>0</v>
      </c>
      <c r="AE1499" s="11">
        <v>0</v>
      </c>
      <c r="AF1499" s="11">
        <f t="shared" si="69"/>
        <v>0.42</v>
      </c>
      <c r="AG1499" s="11">
        <f t="shared" si="70"/>
        <v>7.42</v>
      </c>
      <c r="AH1499" s="11">
        <v>0</v>
      </c>
      <c r="AI1499" s="11">
        <f t="shared" si="71"/>
        <v>7.42</v>
      </c>
      <c r="AJ1499" t="s">
        <v>62</v>
      </c>
    </row>
    <row r="1500" spans="1:36" ht="15" customHeight="1" x14ac:dyDescent="0.35">
      <c r="A1500">
        <v>10428918</v>
      </c>
      <c r="B1500" t="s">
        <v>36</v>
      </c>
      <c r="C1500" t="s">
        <v>37</v>
      </c>
      <c r="D1500" s="6" t="s">
        <v>38</v>
      </c>
      <c r="E1500" t="s">
        <v>4465</v>
      </c>
      <c r="F1500" t="s">
        <v>40</v>
      </c>
      <c r="G1500" t="s">
        <v>41</v>
      </c>
      <c r="H1500" t="s">
        <v>1994</v>
      </c>
      <c r="I1500" t="s">
        <v>43</v>
      </c>
      <c r="J1500">
        <v>2</v>
      </c>
      <c r="K1500" t="s">
        <v>44</v>
      </c>
      <c r="L1500" t="s">
        <v>45</v>
      </c>
      <c r="M1500" t="s">
        <v>46</v>
      </c>
      <c r="N1500" s="7">
        <v>1</v>
      </c>
      <c r="O1500" s="8">
        <v>45637.426736111112</v>
      </c>
      <c r="P1500" s="9">
        <v>45638</v>
      </c>
      <c r="Q1500" t="s">
        <v>74</v>
      </c>
      <c r="R1500" t="s">
        <v>48</v>
      </c>
      <c r="S1500" t="s">
        <v>49</v>
      </c>
      <c r="T1500" t="s">
        <v>75</v>
      </c>
      <c r="U1500" t="s">
        <v>4466</v>
      </c>
      <c r="V1500">
        <v>28400</v>
      </c>
      <c r="W1500" t="s">
        <v>48</v>
      </c>
      <c r="X1500" t="s">
        <v>77</v>
      </c>
      <c r="Y1500" t="s">
        <v>54</v>
      </c>
      <c r="Z1500" s="12">
        <f>IF(N1500&lt;=1,9,9+0.8*ROUNDUP(N1500-1,0))</f>
        <v>9</v>
      </c>
      <c r="AA1500" s="11">
        <v>-2</v>
      </c>
      <c r="AB1500" s="11">
        <v>0</v>
      </c>
      <c r="AC1500" s="11">
        <v>0</v>
      </c>
      <c r="AD1500" s="11">
        <v>0</v>
      </c>
      <c r="AE1500" s="11">
        <v>0</v>
      </c>
      <c r="AF1500" s="11">
        <f t="shared" si="69"/>
        <v>0.42</v>
      </c>
      <c r="AG1500" s="11">
        <f t="shared" si="70"/>
        <v>7.42</v>
      </c>
      <c r="AH1500" s="11">
        <v>0</v>
      </c>
      <c r="AI1500" s="11">
        <f t="shared" si="71"/>
        <v>7.42</v>
      </c>
      <c r="AJ1500" t="s">
        <v>62</v>
      </c>
    </row>
    <row r="1501" spans="1:36" ht="15" customHeight="1" x14ac:dyDescent="0.35">
      <c r="A1501">
        <v>10428918</v>
      </c>
      <c r="B1501" t="s">
        <v>36</v>
      </c>
      <c r="C1501" t="s">
        <v>37</v>
      </c>
      <c r="D1501" s="6" t="s">
        <v>38</v>
      </c>
      <c r="E1501" t="s">
        <v>4467</v>
      </c>
      <c r="F1501" t="s">
        <v>40</v>
      </c>
      <c r="G1501" t="s">
        <v>41</v>
      </c>
      <c r="H1501" t="s">
        <v>4468</v>
      </c>
      <c r="I1501" t="s">
        <v>43</v>
      </c>
      <c r="J1501">
        <v>2</v>
      </c>
      <c r="K1501" t="s">
        <v>44</v>
      </c>
      <c r="L1501" t="s">
        <v>45</v>
      </c>
      <c r="M1501" t="s">
        <v>46</v>
      </c>
      <c r="N1501" s="7">
        <v>1</v>
      </c>
      <c r="O1501" s="8">
        <v>45636.434398148151</v>
      </c>
      <c r="P1501" s="9">
        <v>45638</v>
      </c>
      <c r="Q1501" t="s">
        <v>74</v>
      </c>
      <c r="R1501" t="s">
        <v>48</v>
      </c>
      <c r="S1501" t="s">
        <v>49</v>
      </c>
      <c r="T1501" t="s">
        <v>65</v>
      </c>
      <c r="U1501" t="s">
        <v>4469</v>
      </c>
      <c r="V1501">
        <v>75250</v>
      </c>
      <c r="W1501" t="s">
        <v>48</v>
      </c>
      <c r="X1501" t="s">
        <v>53</v>
      </c>
      <c r="Y1501" t="s">
        <v>54</v>
      </c>
      <c r="Z1501" s="12">
        <f>IF(N1501&lt;=1,9,9+0.8*ROUNDUP(N1501-1,0))</f>
        <v>9</v>
      </c>
      <c r="AA1501" s="11">
        <v>-2</v>
      </c>
      <c r="AB1501" s="11">
        <v>0</v>
      </c>
      <c r="AC1501" s="11">
        <v>0</v>
      </c>
      <c r="AD1501" s="11">
        <v>0</v>
      </c>
      <c r="AE1501" s="11">
        <v>0</v>
      </c>
      <c r="AF1501" s="11">
        <f t="shared" si="69"/>
        <v>0.42</v>
      </c>
      <c r="AG1501" s="11">
        <f t="shared" si="70"/>
        <v>7.42</v>
      </c>
      <c r="AH1501" s="11">
        <v>0</v>
      </c>
      <c r="AI1501" s="11">
        <f t="shared" si="71"/>
        <v>7.42</v>
      </c>
      <c r="AJ1501" t="s">
        <v>62</v>
      </c>
    </row>
    <row r="1502" spans="1:36" ht="15" customHeight="1" x14ac:dyDescent="0.35">
      <c r="A1502">
        <v>10428918</v>
      </c>
      <c r="B1502" t="s">
        <v>36</v>
      </c>
      <c r="C1502" t="s">
        <v>37</v>
      </c>
      <c r="D1502" s="6" t="s">
        <v>38</v>
      </c>
      <c r="E1502" t="s">
        <v>4470</v>
      </c>
      <c r="F1502" t="s">
        <v>40</v>
      </c>
      <c r="G1502" t="s">
        <v>41</v>
      </c>
      <c r="H1502" t="s">
        <v>4471</v>
      </c>
      <c r="I1502" t="s">
        <v>43</v>
      </c>
      <c r="J1502">
        <v>2</v>
      </c>
      <c r="K1502" t="s">
        <v>44</v>
      </c>
      <c r="L1502" t="s">
        <v>45</v>
      </c>
      <c r="M1502" t="s">
        <v>46</v>
      </c>
      <c r="N1502" s="7">
        <v>1</v>
      </c>
      <c r="O1502" s="8">
        <v>45637.494664351849</v>
      </c>
      <c r="P1502" s="9">
        <v>45638</v>
      </c>
      <c r="Q1502" t="s">
        <v>74</v>
      </c>
      <c r="R1502" t="s">
        <v>48</v>
      </c>
      <c r="S1502" t="s">
        <v>49</v>
      </c>
      <c r="T1502" t="s">
        <v>59</v>
      </c>
      <c r="U1502" t="s">
        <v>4472</v>
      </c>
      <c r="V1502">
        <v>18500</v>
      </c>
      <c r="W1502" t="s">
        <v>48</v>
      </c>
      <c r="X1502" t="s">
        <v>61</v>
      </c>
      <c r="Y1502" t="s">
        <v>54</v>
      </c>
      <c r="Z1502" s="12">
        <f>IF(N1502&lt;=1,9,9+0.8*ROUNDUP(N1502-1,0))</f>
        <v>9</v>
      </c>
      <c r="AA1502" s="11">
        <v>-2</v>
      </c>
      <c r="AB1502" s="11">
        <v>0</v>
      </c>
      <c r="AC1502" s="11">
        <v>0</v>
      </c>
      <c r="AD1502" s="11">
        <v>0</v>
      </c>
      <c r="AE1502" s="11">
        <v>0</v>
      </c>
      <c r="AF1502" s="11">
        <f t="shared" si="69"/>
        <v>0.42</v>
      </c>
      <c r="AG1502" s="11">
        <f t="shared" si="70"/>
        <v>7.42</v>
      </c>
      <c r="AH1502" s="11">
        <v>0</v>
      </c>
      <c r="AI1502" s="11">
        <f t="shared" si="71"/>
        <v>7.42</v>
      </c>
      <c r="AJ1502" t="s">
        <v>62</v>
      </c>
    </row>
    <row r="1503" spans="1:36" ht="15" customHeight="1" x14ac:dyDescent="0.35">
      <c r="A1503">
        <v>10428918</v>
      </c>
      <c r="B1503" t="s">
        <v>36</v>
      </c>
      <c r="C1503" t="s">
        <v>37</v>
      </c>
      <c r="D1503" s="6" t="s">
        <v>38</v>
      </c>
      <c r="E1503" t="s">
        <v>4473</v>
      </c>
      <c r="F1503" t="s">
        <v>40</v>
      </c>
      <c r="G1503" t="s">
        <v>41</v>
      </c>
      <c r="H1503" t="s">
        <v>4474</v>
      </c>
      <c r="I1503" t="s">
        <v>43</v>
      </c>
      <c r="J1503">
        <v>2</v>
      </c>
      <c r="K1503" t="s">
        <v>44</v>
      </c>
      <c r="L1503" t="s">
        <v>45</v>
      </c>
      <c r="M1503" t="s">
        <v>46</v>
      </c>
      <c r="N1503" s="7">
        <v>1</v>
      </c>
      <c r="O1503" s="8">
        <v>45637.654976851853</v>
      </c>
      <c r="P1503" s="9">
        <v>45638</v>
      </c>
      <c r="Q1503" t="s">
        <v>74</v>
      </c>
      <c r="R1503" t="s">
        <v>48</v>
      </c>
      <c r="S1503" t="s">
        <v>49</v>
      </c>
      <c r="T1503" t="s">
        <v>75</v>
      </c>
      <c r="U1503" t="s">
        <v>4475</v>
      </c>
      <c r="V1503">
        <v>26400</v>
      </c>
      <c r="W1503" t="s">
        <v>48</v>
      </c>
      <c r="X1503" t="s">
        <v>77</v>
      </c>
      <c r="Y1503" t="s">
        <v>54</v>
      </c>
      <c r="Z1503" s="12">
        <f>IF(N1503&lt;=1,9,9+0.8*ROUNDUP(N1503-1,0))</f>
        <v>9</v>
      </c>
      <c r="AA1503" s="11">
        <v>-2</v>
      </c>
      <c r="AB1503" s="11">
        <v>0</v>
      </c>
      <c r="AC1503" s="11">
        <v>0</v>
      </c>
      <c r="AD1503" s="11">
        <v>0</v>
      </c>
      <c r="AE1503" s="11">
        <v>0</v>
      </c>
      <c r="AF1503" s="11">
        <f t="shared" si="69"/>
        <v>0.42</v>
      </c>
      <c r="AG1503" s="11">
        <f t="shared" si="70"/>
        <v>7.42</v>
      </c>
      <c r="AH1503" s="11">
        <v>0</v>
      </c>
      <c r="AI1503" s="11">
        <f t="shared" si="71"/>
        <v>7.42</v>
      </c>
      <c r="AJ1503" t="s">
        <v>62</v>
      </c>
    </row>
    <row r="1504" spans="1:36" ht="15" customHeight="1" x14ac:dyDescent="0.35">
      <c r="A1504">
        <v>10428918</v>
      </c>
      <c r="B1504" t="s">
        <v>36</v>
      </c>
      <c r="C1504" t="s">
        <v>37</v>
      </c>
      <c r="D1504" s="6" t="s">
        <v>38</v>
      </c>
      <c r="E1504" t="s">
        <v>4476</v>
      </c>
      <c r="F1504" t="s">
        <v>40</v>
      </c>
      <c r="G1504" t="s">
        <v>41</v>
      </c>
      <c r="H1504" t="s">
        <v>4477</v>
      </c>
      <c r="I1504" t="s">
        <v>43</v>
      </c>
      <c r="J1504">
        <v>2</v>
      </c>
      <c r="K1504" t="s">
        <v>44</v>
      </c>
      <c r="L1504" t="s">
        <v>45</v>
      </c>
      <c r="M1504" t="s">
        <v>46</v>
      </c>
      <c r="N1504" s="7">
        <v>2</v>
      </c>
      <c r="O1504" s="8">
        <v>45637.765763888892</v>
      </c>
      <c r="P1504" s="9">
        <v>45638</v>
      </c>
      <c r="Q1504" t="s">
        <v>74</v>
      </c>
      <c r="R1504" t="s">
        <v>48</v>
      </c>
      <c r="S1504" t="s">
        <v>49</v>
      </c>
      <c r="T1504" t="s">
        <v>90</v>
      </c>
      <c r="U1504" t="s">
        <v>4478</v>
      </c>
      <c r="V1504">
        <v>21300</v>
      </c>
      <c r="W1504" t="s">
        <v>48</v>
      </c>
      <c r="X1504" t="s">
        <v>92</v>
      </c>
      <c r="Y1504" t="s">
        <v>54</v>
      </c>
      <c r="Z1504" s="12">
        <f>IF(N1504&lt;=1,9,9+0.8*ROUNDUP(N1504-1,0))</f>
        <v>9.8000000000000007</v>
      </c>
      <c r="AA1504" s="11">
        <v>-2</v>
      </c>
      <c r="AB1504" s="11">
        <v>0</v>
      </c>
      <c r="AC1504" s="11">
        <v>0</v>
      </c>
      <c r="AD1504" s="11">
        <v>0</v>
      </c>
      <c r="AE1504" s="11">
        <v>0</v>
      </c>
      <c r="AF1504" s="11">
        <f t="shared" si="69"/>
        <v>0.46800000000000003</v>
      </c>
      <c r="AG1504" s="11">
        <f t="shared" si="70"/>
        <v>8.2680000000000007</v>
      </c>
      <c r="AH1504" s="11">
        <v>0</v>
      </c>
      <c r="AI1504" s="11">
        <f t="shared" si="71"/>
        <v>8.2680000000000007</v>
      </c>
      <c r="AJ1504" t="s">
        <v>62</v>
      </c>
    </row>
    <row r="1505" spans="1:36" ht="15" customHeight="1" x14ac:dyDescent="0.35">
      <c r="A1505">
        <v>10428918</v>
      </c>
      <c r="B1505" t="s">
        <v>36</v>
      </c>
      <c r="C1505" t="s">
        <v>37</v>
      </c>
      <c r="D1505" s="6" t="s">
        <v>38</v>
      </c>
      <c r="E1505" t="s">
        <v>4479</v>
      </c>
      <c r="F1505" t="s">
        <v>40</v>
      </c>
      <c r="G1505" t="s">
        <v>41</v>
      </c>
      <c r="H1505" t="s">
        <v>1479</v>
      </c>
      <c r="I1505" t="s">
        <v>43</v>
      </c>
      <c r="J1505">
        <v>2</v>
      </c>
      <c r="K1505" t="s">
        <v>44</v>
      </c>
      <c r="L1505" t="s">
        <v>45</v>
      </c>
      <c r="M1505" t="s">
        <v>46</v>
      </c>
      <c r="N1505" s="7">
        <v>1</v>
      </c>
      <c r="O1505" s="8">
        <v>45636.864803240744</v>
      </c>
      <c r="P1505" s="9">
        <v>45638</v>
      </c>
      <c r="Q1505" t="s">
        <v>74</v>
      </c>
      <c r="R1505" t="s">
        <v>48</v>
      </c>
      <c r="S1505" t="s">
        <v>49</v>
      </c>
      <c r="T1505" t="s">
        <v>59</v>
      </c>
      <c r="U1505" t="s">
        <v>1480</v>
      </c>
      <c r="V1505">
        <v>18300</v>
      </c>
      <c r="W1505" t="s">
        <v>48</v>
      </c>
      <c r="X1505" t="s">
        <v>61</v>
      </c>
      <c r="Y1505" t="s">
        <v>54</v>
      </c>
      <c r="Z1505" s="12">
        <f>IF(N1505&lt;=1,9,9+0.8*ROUNDUP(N1505-1,0))</f>
        <v>9</v>
      </c>
      <c r="AA1505" s="11">
        <v>-2</v>
      </c>
      <c r="AB1505" s="11">
        <v>0</v>
      </c>
      <c r="AC1505" s="11">
        <v>0</v>
      </c>
      <c r="AD1505" s="11">
        <v>0</v>
      </c>
      <c r="AE1505" s="11">
        <v>0</v>
      </c>
      <c r="AF1505" s="11">
        <f t="shared" si="69"/>
        <v>0.42</v>
      </c>
      <c r="AG1505" s="11">
        <f t="shared" si="70"/>
        <v>7.42</v>
      </c>
      <c r="AH1505" s="11">
        <v>0</v>
      </c>
      <c r="AI1505" s="11">
        <f t="shared" si="71"/>
        <v>7.42</v>
      </c>
      <c r="AJ1505" t="s">
        <v>62</v>
      </c>
    </row>
    <row r="1506" spans="1:36" ht="15" customHeight="1" x14ac:dyDescent="0.35">
      <c r="A1506">
        <v>10428918</v>
      </c>
      <c r="B1506" t="s">
        <v>36</v>
      </c>
      <c r="C1506" t="s">
        <v>37</v>
      </c>
      <c r="D1506" s="6" t="s">
        <v>38</v>
      </c>
      <c r="E1506" t="s">
        <v>4480</v>
      </c>
      <c r="F1506" t="s">
        <v>40</v>
      </c>
      <c r="G1506" t="s">
        <v>41</v>
      </c>
      <c r="H1506" t="s">
        <v>4481</v>
      </c>
      <c r="I1506" t="s">
        <v>43</v>
      </c>
      <c r="J1506">
        <v>2</v>
      </c>
      <c r="K1506" t="s">
        <v>44</v>
      </c>
      <c r="L1506" t="s">
        <v>45</v>
      </c>
      <c r="M1506" t="s">
        <v>46</v>
      </c>
      <c r="N1506" s="7">
        <v>1</v>
      </c>
      <c r="O1506" s="8">
        <v>45637.765775462962</v>
      </c>
      <c r="P1506" s="9">
        <v>45638</v>
      </c>
      <c r="Q1506" t="s">
        <v>74</v>
      </c>
      <c r="R1506" t="s">
        <v>48</v>
      </c>
      <c r="S1506" t="s">
        <v>49</v>
      </c>
      <c r="T1506" t="s">
        <v>117</v>
      </c>
      <c r="U1506" t="s">
        <v>4482</v>
      </c>
      <c r="V1506">
        <v>40150</v>
      </c>
      <c r="W1506" t="s">
        <v>48</v>
      </c>
      <c r="X1506" t="s">
        <v>305</v>
      </c>
      <c r="Y1506" t="s">
        <v>54</v>
      </c>
      <c r="Z1506" s="12">
        <f>IF(N1506&lt;=1,9,9+0.8*ROUNDUP(N1506-1,0))</f>
        <v>9</v>
      </c>
      <c r="AA1506" s="11">
        <v>-2</v>
      </c>
      <c r="AB1506" s="11">
        <v>0</v>
      </c>
      <c r="AC1506" s="11">
        <v>0</v>
      </c>
      <c r="AD1506" s="11">
        <v>0</v>
      </c>
      <c r="AE1506" s="11">
        <v>0</v>
      </c>
      <c r="AF1506" s="11">
        <f t="shared" si="69"/>
        <v>0.42</v>
      </c>
      <c r="AG1506" s="11">
        <f t="shared" si="70"/>
        <v>7.42</v>
      </c>
      <c r="AH1506" s="11">
        <v>0</v>
      </c>
      <c r="AI1506" s="11">
        <f t="shared" si="71"/>
        <v>7.42</v>
      </c>
      <c r="AJ1506" t="s">
        <v>62</v>
      </c>
    </row>
    <row r="1507" spans="1:36" ht="15" customHeight="1" x14ac:dyDescent="0.35">
      <c r="A1507">
        <v>10428918</v>
      </c>
      <c r="B1507" t="s">
        <v>36</v>
      </c>
      <c r="C1507" t="s">
        <v>37</v>
      </c>
      <c r="D1507" s="6" t="s">
        <v>38</v>
      </c>
      <c r="E1507" t="s">
        <v>4483</v>
      </c>
      <c r="F1507" t="s">
        <v>40</v>
      </c>
      <c r="G1507" t="s">
        <v>41</v>
      </c>
      <c r="H1507" t="s">
        <v>4484</v>
      </c>
      <c r="I1507" t="s">
        <v>43</v>
      </c>
      <c r="J1507">
        <v>2</v>
      </c>
      <c r="K1507" t="s">
        <v>44</v>
      </c>
      <c r="L1507" t="s">
        <v>45</v>
      </c>
      <c r="M1507" t="s">
        <v>46</v>
      </c>
      <c r="N1507" s="7">
        <v>1</v>
      </c>
      <c r="O1507" s="8">
        <v>45637.419305555559</v>
      </c>
      <c r="P1507" s="9">
        <v>45638</v>
      </c>
      <c r="Q1507" t="s">
        <v>74</v>
      </c>
      <c r="R1507" t="s">
        <v>48</v>
      </c>
      <c r="S1507" t="s">
        <v>49</v>
      </c>
      <c r="T1507" t="s">
        <v>117</v>
      </c>
      <c r="U1507" t="s">
        <v>4485</v>
      </c>
      <c r="V1507">
        <v>40000</v>
      </c>
      <c r="W1507" t="s">
        <v>48</v>
      </c>
      <c r="X1507" t="s">
        <v>662</v>
      </c>
      <c r="Y1507" t="s">
        <v>54</v>
      </c>
      <c r="Z1507" s="12">
        <f>IF(N1507&lt;=1,9,9+0.8*ROUNDUP(N1507-1,0))</f>
        <v>9</v>
      </c>
      <c r="AA1507" s="11">
        <v>-2</v>
      </c>
      <c r="AB1507" s="11">
        <v>0</v>
      </c>
      <c r="AC1507" s="11">
        <v>0</v>
      </c>
      <c r="AD1507" s="11">
        <v>0</v>
      </c>
      <c r="AE1507" s="11">
        <v>0</v>
      </c>
      <c r="AF1507" s="11">
        <f t="shared" si="69"/>
        <v>0.42</v>
      </c>
      <c r="AG1507" s="11">
        <f t="shared" si="70"/>
        <v>7.42</v>
      </c>
      <c r="AH1507" s="11">
        <v>0</v>
      </c>
      <c r="AI1507" s="11">
        <f t="shared" si="71"/>
        <v>7.42</v>
      </c>
      <c r="AJ1507" t="s">
        <v>62</v>
      </c>
    </row>
    <row r="1508" spans="1:36" ht="15" customHeight="1" x14ac:dyDescent="0.35">
      <c r="A1508">
        <v>10428918</v>
      </c>
      <c r="B1508" t="s">
        <v>36</v>
      </c>
      <c r="C1508" t="s">
        <v>37</v>
      </c>
      <c r="D1508" s="6" t="s">
        <v>38</v>
      </c>
      <c r="E1508" t="s">
        <v>4486</v>
      </c>
      <c r="F1508" t="s">
        <v>40</v>
      </c>
      <c r="G1508" t="s">
        <v>41</v>
      </c>
      <c r="H1508" t="s">
        <v>4487</v>
      </c>
      <c r="I1508" t="s">
        <v>43</v>
      </c>
      <c r="J1508">
        <v>2</v>
      </c>
      <c r="K1508" t="s">
        <v>44</v>
      </c>
      <c r="L1508" t="s">
        <v>45</v>
      </c>
      <c r="M1508" t="s">
        <v>46</v>
      </c>
      <c r="N1508" s="7">
        <v>2</v>
      </c>
      <c r="O1508" s="8">
        <v>45637.405555555553</v>
      </c>
      <c r="P1508" s="9">
        <v>45638</v>
      </c>
      <c r="Q1508" t="s">
        <v>74</v>
      </c>
      <c r="R1508" t="s">
        <v>48</v>
      </c>
      <c r="S1508" t="s">
        <v>49</v>
      </c>
      <c r="T1508" t="s">
        <v>85</v>
      </c>
      <c r="U1508" t="s">
        <v>4488</v>
      </c>
      <c r="V1508">
        <v>71450</v>
      </c>
      <c r="W1508" t="s">
        <v>48</v>
      </c>
      <c r="X1508" t="s">
        <v>114</v>
      </c>
      <c r="Y1508" t="s">
        <v>54</v>
      </c>
      <c r="Z1508" s="12">
        <f>IF(N1508&lt;=1,9,9+0.8*ROUNDUP(N1508-1,0))</f>
        <v>9.8000000000000007</v>
      </c>
      <c r="AA1508" s="11">
        <v>-2</v>
      </c>
      <c r="AB1508" s="11">
        <v>0</v>
      </c>
      <c r="AC1508" s="11">
        <v>0</v>
      </c>
      <c r="AD1508" s="11">
        <v>0</v>
      </c>
      <c r="AE1508" s="11">
        <v>0</v>
      </c>
      <c r="AF1508" s="11">
        <f t="shared" si="69"/>
        <v>0.46800000000000003</v>
      </c>
      <c r="AG1508" s="11">
        <f t="shared" si="70"/>
        <v>8.2680000000000007</v>
      </c>
      <c r="AH1508" s="11">
        <v>0</v>
      </c>
      <c r="AI1508" s="11">
        <f t="shared" si="71"/>
        <v>8.2680000000000007</v>
      </c>
      <c r="AJ1508" t="s">
        <v>62</v>
      </c>
    </row>
    <row r="1509" spans="1:36" ht="15" customHeight="1" x14ac:dyDescent="0.35">
      <c r="A1509">
        <v>10428918</v>
      </c>
      <c r="B1509" t="s">
        <v>36</v>
      </c>
      <c r="C1509" t="s">
        <v>37</v>
      </c>
      <c r="D1509" s="6" t="s">
        <v>38</v>
      </c>
      <c r="E1509" t="s">
        <v>4489</v>
      </c>
      <c r="F1509" t="s">
        <v>40</v>
      </c>
      <c r="G1509" t="s">
        <v>41</v>
      </c>
      <c r="H1509" t="s">
        <v>4490</v>
      </c>
      <c r="I1509" t="s">
        <v>43</v>
      </c>
      <c r="J1509">
        <v>2</v>
      </c>
      <c r="K1509" t="s">
        <v>44</v>
      </c>
      <c r="L1509" t="s">
        <v>45</v>
      </c>
      <c r="M1509" t="s">
        <v>46</v>
      </c>
      <c r="N1509" s="7">
        <v>1</v>
      </c>
      <c r="O1509" s="8">
        <v>45637.419305555559</v>
      </c>
      <c r="P1509" s="9">
        <v>45638</v>
      </c>
      <c r="Q1509" t="s">
        <v>74</v>
      </c>
      <c r="R1509" t="s">
        <v>48</v>
      </c>
      <c r="S1509" t="s">
        <v>49</v>
      </c>
      <c r="T1509" t="s">
        <v>90</v>
      </c>
      <c r="U1509" t="s">
        <v>4491</v>
      </c>
      <c r="V1509">
        <v>24000</v>
      </c>
      <c r="W1509" t="s">
        <v>48</v>
      </c>
      <c r="X1509" t="s">
        <v>77</v>
      </c>
      <c r="Y1509" t="s">
        <v>54</v>
      </c>
      <c r="Z1509" s="12">
        <f>IF(N1509&lt;=1,9,9+0.8*ROUNDUP(N1509-1,0))</f>
        <v>9</v>
      </c>
      <c r="AA1509" s="11">
        <v>-2</v>
      </c>
      <c r="AB1509" s="11">
        <v>0</v>
      </c>
      <c r="AC1509" s="11">
        <v>0</v>
      </c>
      <c r="AD1509" s="11">
        <v>0</v>
      </c>
      <c r="AE1509" s="11">
        <v>0</v>
      </c>
      <c r="AF1509" s="11">
        <f t="shared" si="69"/>
        <v>0.42</v>
      </c>
      <c r="AG1509" s="11">
        <f t="shared" si="70"/>
        <v>7.42</v>
      </c>
      <c r="AH1509" s="11">
        <v>0</v>
      </c>
      <c r="AI1509" s="11">
        <f t="shared" si="71"/>
        <v>7.42</v>
      </c>
      <c r="AJ1509" t="s">
        <v>62</v>
      </c>
    </row>
    <row r="1510" spans="1:36" ht="15" customHeight="1" x14ac:dyDescent="0.35">
      <c r="A1510">
        <v>10428918</v>
      </c>
      <c r="B1510" t="s">
        <v>36</v>
      </c>
      <c r="C1510" t="s">
        <v>37</v>
      </c>
      <c r="D1510" s="6" t="s">
        <v>38</v>
      </c>
      <c r="E1510" t="s">
        <v>4492</v>
      </c>
      <c r="F1510" t="s">
        <v>40</v>
      </c>
      <c r="G1510" t="s">
        <v>41</v>
      </c>
      <c r="H1510" t="s">
        <v>4493</v>
      </c>
      <c r="I1510" t="s">
        <v>43</v>
      </c>
      <c r="J1510">
        <v>2</v>
      </c>
      <c r="K1510" t="s">
        <v>44</v>
      </c>
      <c r="L1510" t="s">
        <v>45</v>
      </c>
      <c r="M1510" t="s">
        <v>46</v>
      </c>
      <c r="N1510" s="7">
        <v>1</v>
      </c>
      <c r="O1510" s="8">
        <v>45636.43440972222</v>
      </c>
      <c r="P1510" s="9">
        <v>45638</v>
      </c>
      <c r="Q1510" t="s">
        <v>74</v>
      </c>
      <c r="R1510" t="s">
        <v>48</v>
      </c>
      <c r="S1510" t="s">
        <v>49</v>
      </c>
      <c r="T1510" t="s">
        <v>80</v>
      </c>
      <c r="U1510" t="s">
        <v>4494</v>
      </c>
      <c r="V1510">
        <v>9000</v>
      </c>
      <c r="W1510" t="s">
        <v>48</v>
      </c>
      <c r="X1510" t="s">
        <v>690</v>
      </c>
      <c r="Y1510" t="s">
        <v>54</v>
      </c>
      <c r="Z1510" s="12">
        <f>IF(N1510&lt;=1,9,9+0.8*ROUNDUP(N1510-1,0))</f>
        <v>9</v>
      </c>
      <c r="AA1510" s="11">
        <v>-2</v>
      </c>
      <c r="AB1510" s="11">
        <v>0</v>
      </c>
      <c r="AC1510" s="11">
        <v>0</v>
      </c>
      <c r="AD1510" s="11">
        <v>0</v>
      </c>
      <c r="AE1510" s="11">
        <v>0</v>
      </c>
      <c r="AF1510" s="11">
        <f t="shared" si="69"/>
        <v>0.42</v>
      </c>
      <c r="AG1510" s="11">
        <f t="shared" si="70"/>
        <v>7.42</v>
      </c>
      <c r="AH1510" s="11">
        <v>0</v>
      </c>
      <c r="AI1510" s="11">
        <f t="shared" si="71"/>
        <v>7.42</v>
      </c>
      <c r="AJ1510" t="s">
        <v>62</v>
      </c>
    </row>
    <row r="1511" spans="1:36" ht="15" customHeight="1" x14ac:dyDescent="0.35">
      <c r="A1511">
        <v>10428918</v>
      </c>
      <c r="B1511" t="s">
        <v>36</v>
      </c>
      <c r="C1511" t="s">
        <v>37</v>
      </c>
      <c r="D1511" s="6" t="s">
        <v>38</v>
      </c>
      <c r="E1511" t="s">
        <v>4495</v>
      </c>
      <c r="F1511" t="s">
        <v>40</v>
      </c>
      <c r="G1511" t="s">
        <v>41</v>
      </c>
      <c r="H1511" t="s">
        <v>226</v>
      </c>
      <c r="I1511" t="s">
        <v>43</v>
      </c>
      <c r="J1511">
        <v>2</v>
      </c>
      <c r="K1511" t="s">
        <v>44</v>
      </c>
      <c r="L1511" t="s">
        <v>45</v>
      </c>
      <c r="M1511" t="s">
        <v>46</v>
      </c>
      <c r="N1511" s="7">
        <v>2</v>
      </c>
      <c r="O1511" s="8">
        <v>45637.415462962963</v>
      </c>
      <c r="P1511" s="9">
        <v>45638</v>
      </c>
      <c r="Q1511" t="s">
        <v>74</v>
      </c>
      <c r="R1511" t="s">
        <v>48</v>
      </c>
      <c r="S1511" t="s">
        <v>49</v>
      </c>
      <c r="T1511" t="s">
        <v>117</v>
      </c>
      <c r="U1511" t="s">
        <v>4496</v>
      </c>
      <c r="V1511">
        <v>43900</v>
      </c>
      <c r="W1511" t="s">
        <v>48</v>
      </c>
      <c r="X1511" t="s">
        <v>228</v>
      </c>
      <c r="Y1511" t="s">
        <v>54</v>
      </c>
      <c r="Z1511" s="12">
        <f>IF(N1511&lt;=1,9,9+0.8*ROUNDUP(N1511-1,0))</f>
        <v>9.8000000000000007</v>
      </c>
      <c r="AA1511" s="11">
        <v>-2</v>
      </c>
      <c r="AB1511" s="11">
        <v>0</v>
      </c>
      <c r="AC1511" s="11">
        <v>0</v>
      </c>
      <c r="AD1511" s="11">
        <v>0</v>
      </c>
      <c r="AE1511" s="11">
        <v>0</v>
      </c>
      <c r="AF1511" s="11">
        <f t="shared" si="69"/>
        <v>0.46800000000000003</v>
      </c>
      <c r="AG1511" s="11">
        <f t="shared" si="70"/>
        <v>8.2680000000000007</v>
      </c>
      <c r="AH1511" s="11">
        <v>0</v>
      </c>
      <c r="AI1511" s="11">
        <f t="shared" si="71"/>
        <v>8.2680000000000007</v>
      </c>
      <c r="AJ1511" t="s">
        <v>62</v>
      </c>
    </row>
    <row r="1512" spans="1:36" ht="15" customHeight="1" x14ac:dyDescent="0.35">
      <c r="A1512">
        <v>10428918</v>
      </c>
      <c r="B1512" t="s">
        <v>36</v>
      </c>
      <c r="C1512" t="s">
        <v>37</v>
      </c>
      <c r="D1512" s="6" t="s">
        <v>38</v>
      </c>
      <c r="E1512" t="s">
        <v>4497</v>
      </c>
      <c r="F1512" t="s">
        <v>40</v>
      </c>
      <c r="G1512" t="s">
        <v>41</v>
      </c>
      <c r="H1512" t="s">
        <v>4498</v>
      </c>
      <c r="I1512" t="s">
        <v>43</v>
      </c>
      <c r="J1512">
        <v>2</v>
      </c>
      <c r="K1512" t="s">
        <v>44</v>
      </c>
      <c r="L1512" t="s">
        <v>45</v>
      </c>
      <c r="M1512" t="s">
        <v>46</v>
      </c>
      <c r="N1512" s="7">
        <v>1</v>
      </c>
      <c r="O1512" s="8">
        <v>45637.683715277781</v>
      </c>
      <c r="P1512" s="9">
        <v>45638</v>
      </c>
      <c r="Q1512" t="s">
        <v>74</v>
      </c>
      <c r="R1512" t="s">
        <v>48</v>
      </c>
      <c r="S1512" t="s">
        <v>49</v>
      </c>
      <c r="T1512" t="s">
        <v>117</v>
      </c>
      <c r="U1512" t="s">
        <v>4499</v>
      </c>
      <c r="V1512">
        <v>43800</v>
      </c>
      <c r="W1512" t="s">
        <v>48</v>
      </c>
      <c r="X1512" t="s">
        <v>228</v>
      </c>
      <c r="Y1512" t="s">
        <v>54</v>
      </c>
      <c r="Z1512" s="12">
        <f>IF(N1512&lt;=1,9,9+0.8*ROUNDUP(N1512-1,0))</f>
        <v>9</v>
      </c>
      <c r="AA1512" s="11">
        <v>-2</v>
      </c>
      <c r="AB1512" s="11">
        <v>0</v>
      </c>
      <c r="AC1512" s="11">
        <v>0</v>
      </c>
      <c r="AD1512" s="11">
        <v>0</v>
      </c>
      <c r="AE1512" s="11">
        <v>0</v>
      </c>
      <c r="AF1512" s="11">
        <f t="shared" si="69"/>
        <v>0.42</v>
      </c>
      <c r="AG1512" s="11">
        <f t="shared" si="70"/>
        <v>7.42</v>
      </c>
      <c r="AH1512" s="11">
        <v>0</v>
      </c>
      <c r="AI1512" s="11">
        <f t="shared" si="71"/>
        <v>7.42</v>
      </c>
      <c r="AJ1512" t="s">
        <v>62</v>
      </c>
    </row>
    <row r="1513" spans="1:36" ht="15" customHeight="1" x14ac:dyDescent="0.35">
      <c r="A1513">
        <v>10428918</v>
      </c>
      <c r="B1513" t="s">
        <v>36</v>
      </c>
      <c r="C1513" t="s">
        <v>37</v>
      </c>
      <c r="D1513" s="6" t="s">
        <v>38</v>
      </c>
      <c r="E1513" t="s">
        <v>4500</v>
      </c>
      <c r="F1513" t="s">
        <v>40</v>
      </c>
      <c r="G1513" t="s">
        <v>41</v>
      </c>
      <c r="H1513" t="s">
        <v>4501</v>
      </c>
      <c r="I1513" t="s">
        <v>43</v>
      </c>
      <c r="J1513">
        <v>2</v>
      </c>
      <c r="K1513" t="s">
        <v>44</v>
      </c>
      <c r="L1513" t="s">
        <v>45</v>
      </c>
      <c r="M1513" t="s">
        <v>46</v>
      </c>
      <c r="N1513" s="7">
        <v>1</v>
      </c>
      <c r="O1513" s="8">
        <v>45637.619490740741</v>
      </c>
      <c r="P1513" s="9">
        <v>45638</v>
      </c>
      <c r="Q1513" t="s">
        <v>74</v>
      </c>
      <c r="R1513" t="s">
        <v>48</v>
      </c>
      <c r="S1513" t="s">
        <v>49</v>
      </c>
      <c r="T1513" t="s">
        <v>90</v>
      </c>
      <c r="U1513" t="s">
        <v>4502</v>
      </c>
      <c r="V1513">
        <v>21450</v>
      </c>
      <c r="W1513" t="s">
        <v>48</v>
      </c>
      <c r="X1513" t="s">
        <v>92</v>
      </c>
      <c r="Y1513" t="s">
        <v>54</v>
      </c>
      <c r="Z1513" s="12">
        <f>IF(N1513&lt;=1,9,9+0.8*ROUNDUP(N1513-1,0))</f>
        <v>9</v>
      </c>
      <c r="AA1513" s="11">
        <v>-2</v>
      </c>
      <c r="AB1513" s="11">
        <v>0</v>
      </c>
      <c r="AC1513" s="11">
        <v>0</v>
      </c>
      <c r="AD1513" s="11">
        <v>0</v>
      </c>
      <c r="AE1513" s="11">
        <v>0</v>
      </c>
      <c r="AF1513" s="11">
        <f t="shared" si="69"/>
        <v>0.42</v>
      </c>
      <c r="AG1513" s="11">
        <f t="shared" si="70"/>
        <v>7.42</v>
      </c>
      <c r="AH1513" s="11">
        <v>0</v>
      </c>
      <c r="AI1513" s="11">
        <f t="shared" si="71"/>
        <v>7.42</v>
      </c>
      <c r="AJ1513" t="s">
        <v>62</v>
      </c>
    </row>
    <row r="1514" spans="1:36" ht="15" customHeight="1" x14ac:dyDescent="0.35">
      <c r="A1514">
        <v>10428918</v>
      </c>
      <c r="B1514" t="s">
        <v>36</v>
      </c>
      <c r="C1514" t="s">
        <v>37</v>
      </c>
      <c r="D1514" s="6" t="s">
        <v>38</v>
      </c>
      <c r="E1514" t="s">
        <v>4503</v>
      </c>
      <c r="F1514" t="s">
        <v>40</v>
      </c>
      <c r="G1514" t="s">
        <v>41</v>
      </c>
      <c r="H1514" t="s">
        <v>4504</v>
      </c>
      <c r="I1514" t="s">
        <v>43</v>
      </c>
      <c r="J1514">
        <v>2</v>
      </c>
      <c r="K1514" t="s">
        <v>44</v>
      </c>
      <c r="L1514" t="s">
        <v>45</v>
      </c>
      <c r="M1514" t="s">
        <v>46</v>
      </c>
      <c r="N1514" s="7">
        <v>1</v>
      </c>
      <c r="O1514" s="8">
        <v>45637.654976851853</v>
      </c>
      <c r="P1514" s="9">
        <v>45638</v>
      </c>
      <c r="Q1514" t="s">
        <v>74</v>
      </c>
      <c r="R1514" t="s">
        <v>48</v>
      </c>
      <c r="S1514" t="s">
        <v>49</v>
      </c>
      <c r="T1514" t="s">
        <v>117</v>
      </c>
      <c r="U1514" t="s">
        <v>4505</v>
      </c>
      <c r="V1514">
        <v>53000</v>
      </c>
      <c r="W1514" t="s">
        <v>48</v>
      </c>
      <c r="X1514" t="s">
        <v>350</v>
      </c>
      <c r="Y1514" t="s">
        <v>54</v>
      </c>
      <c r="Z1514" s="12">
        <f>IF(N1514&lt;=1,9,9+0.8*ROUNDUP(N1514-1,0))</f>
        <v>9</v>
      </c>
      <c r="AA1514" s="11">
        <v>-2</v>
      </c>
      <c r="AB1514" s="11">
        <v>0</v>
      </c>
      <c r="AC1514" s="11">
        <v>0</v>
      </c>
      <c r="AD1514" s="11">
        <v>0</v>
      </c>
      <c r="AE1514" s="11">
        <v>0</v>
      </c>
      <c r="AF1514" s="11">
        <f t="shared" si="69"/>
        <v>0.42</v>
      </c>
      <c r="AG1514" s="11">
        <f t="shared" si="70"/>
        <v>7.42</v>
      </c>
      <c r="AH1514" s="11">
        <v>0</v>
      </c>
      <c r="AI1514" s="11">
        <f t="shared" si="71"/>
        <v>7.42</v>
      </c>
      <c r="AJ1514" t="s">
        <v>62</v>
      </c>
    </row>
    <row r="1515" spans="1:36" ht="15" customHeight="1" x14ac:dyDescent="0.35">
      <c r="A1515">
        <v>10428918</v>
      </c>
      <c r="B1515" t="s">
        <v>36</v>
      </c>
      <c r="C1515" t="s">
        <v>37</v>
      </c>
      <c r="D1515" s="6" t="s">
        <v>38</v>
      </c>
      <c r="E1515" t="s">
        <v>4506</v>
      </c>
      <c r="F1515" t="s">
        <v>40</v>
      </c>
      <c r="G1515" t="s">
        <v>41</v>
      </c>
      <c r="H1515" t="s">
        <v>4507</v>
      </c>
      <c r="I1515" t="s">
        <v>43</v>
      </c>
      <c r="J1515">
        <v>2</v>
      </c>
      <c r="K1515" t="s">
        <v>44</v>
      </c>
      <c r="L1515" t="s">
        <v>45</v>
      </c>
      <c r="M1515" t="s">
        <v>46</v>
      </c>
      <c r="N1515" s="7">
        <v>2</v>
      </c>
      <c r="O1515" s="8">
        <v>45636.410381944443</v>
      </c>
      <c r="P1515" s="9">
        <v>45638</v>
      </c>
      <c r="Q1515" t="s">
        <v>74</v>
      </c>
      <c r="R1515" t="s">
        <v>48</v>
      </c>
      <c r="S1515" t="s">
        <v>49</v>
      </c>
      <c r="T1515" t="s">
        <v>161</v>
      </c>
      <c r="U1515" t="s">
        <v>4508</v>
      </c>
      <c r="V1515">
        <v>13500</v>
      </c>
      <c r="W1515" t="s">
        <v>48</v>
      </c>
      <c r="X1515" t="s">
        <v>418</v>
      </c>
      <c r="Y1515" t="s">
        <v>54</v>
      </c>
      <c r="Z1515" s="12">
        <f>IF(N1515&lt;=1,9,9+0.8*ROUNDUP(N1515-1,0))</f>
        <v>9.8000000000000007</v>
      </c>
      <c r="AA1515" s="11">
        <v>-2</v>
      </c>
      <c r="AB1515" s="11">
        <v>0</v>
      </c>
      <c r="AC1515" s="11">
        <v>0</v>
      </c>
      <c r="AD1515" s="11">
        <v>0</v>
      </c>
      <c r="AE1515" s="11">
        <v>0</v>
      </c>
      <c r="AF1515" s="11">
        <f t="shared" si="69"/>
        <v>0.46800000000000003</v>
      </c>
      <c r="AG1515" s="11">
        <f t="shared" si="70"/>
        <v>8.2680000000000007</v>
      </c>
      <c r="AH1515" s="11">
        <v>0</v>
      </c>
      <c r="AI1515" s="11">
        <f t="shared" si="71"/>
        <v>8.2680000000000007</v>
      </c>
      <c r="AJ1515" t="s">
        <v>62</v>
      </c>
    </row>
    <row r="1516" spans="1:36" ht="15" customHeight="1" x14ac:dyDescent="0.35">
      <c r="A1516">
        <v>10428918</v>
      </c>
      <c r="B1516" t="s">
        <v>36</v>
      </c>
      <c r="C1516" t="s">
        <v>37</v>
      </c>
      <c r="D1516" s="6" t="s">
        <v>38</v>
      </c>
      <c r="E1516" t="s">
        <v>4509</v>
      </c>
      <c r="F1516" t="s">
        <v>40</v>
      </c>
      <c r="G1516" t="s">
        <v>41</v>
      </c>
      <c r="H1516" t="s">
        <v>4510</v>
      </c>
      <c r="I1516" t="s">
        <v>43</v>
      </c>
      <c r="J1516">
        <v>2</v>
      </c>
      <c r="K1516" t="s">
        <v>44</v>
      </c>
      <c r="L1516" t="s">
        <v>45</v>
      </c>
      <c r="M1516" t="s">
        <v>46</v>
      </c>
      <c r="N1516" s="7">
        <v>2</v>
      </c>
      <c r="O1516" s="8">
        <v>45637.431793981479</v>
      </c>
      <c r="P1516" s="9">
        <v>45638</v>
      </c>
      <c r="Q1516" t="s">
        <v>74</v>
      </c>
      <c r="R1516" t="s">
        <v>48</v>
      </c>
      <c r="S1516" t="s">
        <v>49</v>
      </c>
      <c r="T1516" t="s">
        <v>75</v>
      </c>
      <c r="U1516" t="s">
        <v>4511</v>
      </c>
      <c r="V1516">
        <v>28700</v>
      </c>
      <c r="W1516" t="s">
        <v>48</v>
      </c>
      <c r="X1516" t="s">
        <v>350</v>
      </c>
      <c r="Y1516" t="s">
        <v>54</v>
      </c>
      <c r="Z1516" s="12">
        <f>IF(N1516&lt;=1,9,9+0.8*ROUNDUP(N1516-1,0))</f>
        <v>9.8000000000000007</v>
      </c>
      <c r="AA1516" s="11">
        <v>-2</v>
      </c>
      <c r="AB1516" s="11">
        <v>0</v>
      </c>
      <c r="AC1516" s="11">
        <v>0</v>
      </c>
      <c r="AD1516" s="11">
        <v>0</v>
      </c>
      <c r="AE1516" s="11">
        <v>0</v>
      </c>
      <c r="AF1516" s="11">
        <f t="shared" si="69"/>
        <v>0.46800000000000003</v>
      </c>
      <c r="AG1516" s="11">
        <f t="shared" si="70"/>
        <v>8.2680000000000007</v>
      </c>
      <c r="AH1516" s="11">
        <v>0</v>
      </c>
      <c r="AI1516" s="11">
        <f t="shared" si="71"/>
        <v>8.2680000000000007</v>
      </c>
      <c r="AJ1516" t="s">
        <v>62</v>
      </c>
    </row>
    <row r="1517" spans="1:36" ht="15" customHeight="1" x14ac:dyDescent="0.35">
      <c r="A1517">
        <v>10428918</v>
      </c>
      <c r="B1517" t="s">
        <v>36</v>
      </c>
      <c r="C1517" t="s">
        <v>37</v>
      </c>
      <c r="D1517" s="6" t="s">
        <v>38</v>
      </c>
      <c r="E1517" t="s">
        <v>4512</v>
      </c>
      <c r="F1517" t="s">
        <v>40</v>
      </c>
      <c r="G1517" t="s">
        <v>41</v>
      </c>
      <c r="H1517" t="s">
        <v>4513</v>
      </c>
      <c r="I1517" t="s">
        <v>43</v>
      </c>
      <c r="J1517">
        <v>2</v>
      </c>
      <c r="K1517" t="s">
        <v>44</v>
      </c>
      <c r="L1517" t="s">
        <v>45</v>
      </c>
      <c r="M1517" t="s">
        <v>46</v>
      </c>
      <c r="N1517" s="7">
        <v>1</v>
      </c>
      <c r="O1517" s="8">
        <v>45637.419293981482</v>
      </c>
      <c r="P1517" s="9">
        <v>45638</v>
      </c>
      <c r="Q1517" t="s">
        <v>74</v>
      </c>
      <c r="R1517" t="s">
        <v>48</v>
      </c>
      <c r="S1517" t="s">
        <v>49</v>
      </c>
      <c r="T1517" t="s">
        <v>65</v>
      </c>
      <c r="U1517" t="s">
        <v>4514</v>
      </c>
      <c r="V1517">
        <v>76450</v>
      </c>
      <c r="W1517" t="s">
        <v>48</v>
      </c>
      <c r="X1517" t="s">
        <v>406</v>
      </c>
      <c r="Y1517" t="s">
        <v>54</v>
      </c>
      <c r="Z1517" s="12">
        <f>IF(N1517&lt;=1,9,9+0.8*ROUNDUP(N1517-1,0))</f>
        <v>9</v>
      </c>
      <c r="AA1517" s="11">
        <v>-2</v>
      </c>
      <c r="AB1517" s="11">
        <v>0</v>
      </c>
      <c r="AC1517" s="11">
        <v>0</v>
      </c>
      <c r="AD1517" s="11">
        <v>0</v>
      </c>
      <c r="AE1517" s="11">
        <v>0</v>
      </c>
      <c r="AF1517" s="11">
        <f t="shared" si="69"/>
        <v>0.42</v>
      </c>
      <c r="AG1517" s="11">
        <f t="shared" si="70"/>
        <v>7.42</v>
      </c>
      <c r="AH1517" s="11">
        <v>0</v>
      </c>
      <c r="AI1517" s="11">
        <f t="shared" si="71"/>
        <v>7.42</v>
      </c>
      <c r="AJ1517" t="s">
        <v>62</v>
      </c>
    </row>
    <row r="1518" spans="1:36" ht="15" customHeight="1" x14ac:dyDescent="0.35">
      <c r="A1518">
        <v>10428918</v>
      </c>
      <c r="B1518" t="s">
        <v>36</v>
      </c>
      <c r="C1518" t="s">
        <v>37</v>
      </c>
      <c r="D1518" s="6" t="s">
        <v>38</v>
      </c>
      <c r="E1518" t="s">
        <v>4515</v>
      </c>
      <c r="F1518" t="s">
        <v>40</v>
      </c>
      <c r="G1518" t="s">
        <v>41</v>
      </c>
      <c r="H1518" t="s">
        <v>4516</v>
      </c>
      <c r="I1518" t="s">
        <v>43</v>
      </c>
      <c r="J1518">
        <v>2</v>
      </c>
      <c r="K1518" t="s">
        <v>44</v>
      </c>
      <c r="L1518" t="s">
        <v>45</v>
      </c>
      <c r="M1518" t="s">
        <v>46</v>
      </c>
      <c r="N1518" s="7">
        <v>1</v>
      </c>
      <c r="O1518" s="8">
        <v>45637.654976851853</v>
      </c>
      <c r="P1518" s="9">
        <v>45638</v>
      </c>
      <c r="Q1518" t="s">
        <v>74</v>
      </c>
      <c r="R1518" t="s">
        <v>48</v>
      </c>
      <c r="S1518" t="s">
        <v>49</v>
      </c>
      <c r="T1518" t="s">
        <v>75</v>
      </c>
      <c r="U1518" t="s">
        <v>4517</v>
      </c>
      <c r="V1518">
        <v>26400</v>
      </c>
      <c r="W1518" t="s">
        <v>48</v>
      </c>
      <c r="X1518" t="s">
        <v>77</v>
      </c>
      <c r="Y1518" t="s">
        <v>54</v>
      </c>
      <c r="Z1518" s="12">
        <f>IF(N1518&lt;=1,9,9+0.8*ROUNDUP(N1518-1,0))</f>
        <v>9</v>
      </c>
      <c r="AA1518" s="11">
        <v>-2</v>
      </c>
      <c r="AB1518" s="11">
        <v>0</v>
      </c>
      <c r="AC1518" s="11">
        <v>0</v>
      </c>
      <c r="AD1518" s="11">
        <v>0</v>
      </c>
      <c r="AE1518" s="11">
        <v>0</v>
      </c>
      <c r="AF1518" s="11">
        <f t="shared" si="69"/>
        <v>0.42</v>
      </c>
      <c r="AG1518" s="11">
        <f t="shared" si="70"/>
        <v>7.42</v>
      </c>
      <c r="AH1518" s="11">
        <v>0</v>
      </c>
      <c r="AI1518" s="11">
        <f t="shared" si="71"/>
        <v>7.42</v>
      </c>
      <c r="AJ1518" t="s">
        <v>62</v>
      </c>
    </row>
    <row r="1519" spans="1:36" ht="15" customHeight="1" x14ac:dyDescent="0.35">
      <c r="A1519">
        <v>10428918</v>
      </c>
      <c r="B1519" t="s">
        <v>36</v>
      </c>
      <c r="C1519" t="s">
        <v>37</v>
      </c>
      <c r="D1519" s="6" t="s">
        <v>38</v>
      </c>
      <c r="E1519" t="s">
        <v>4518</v>
      </c>
      <c r="F1519" t="s">
        <v>40</v>
      </c>
      <c r="G1519" t="s">
        <v>41</v>
      </c>
      <c r="H1519" t="s">
        <v>4519</v>
      </c>
      <c r="I1519" t="s">
        <v>43</v>
      </c>
      <c r="J1519">
        <v>2</v>
      </c>
      <c r="K1519" t="s">
        <v>44</v>
      </c>
      <c r="L1519" t="s">
        <v>45</v>
      </c>
      <c r="M1519" t="s">
        <v>46</v>
      </c>
      <c r="N1519" s="7">
        <v>1</v>
      </c>
      <c r="O1519" s="8">
        <v>45636.401226851849</v>
      </c>
      <c r="P1519" s="9">
        <v>45638</v>
      </c>
      <c r="Q1519" t="s">
        <v>74</v>
      </c>
      <c r="R1519" t="s">
        <v>48</v>
      </c>
      <c r="S1519" t="s">
        <v>49</v>
      </c>
      <c r="T1519" t="s">
        <v>69</v>
      </c>
      <c r="U1519" t="s">
        <v>4520</v>
      </c>
      <c r="V1519">
        <v>86400</v>
      </c>
      <c r="W1519" t="s">
        <v>48</v>
      </c>
      <c r="X1519" t="s">
        <v>410</v>
      </c>
      <c r="Y1519" t="s">
        <v>54</v>
      </c>
      <c r="Z1519" s="12">
        <f>IF(N1519&lt;=1,9,9+0.8*ROUNDUP(N1519-1,0))</f>
        <v>9</v>
      </c>
      <c r="AA1519" s="11">
        <v>-2</v>
      </c>
      <c r="AB1519" s="11">
        <v>0</v>
      </c>
      <c r="AC1519" s="11">
        <v>0</v>
      </c>
      <c r="AD1519" s="11">
        <v>0</v>
      </c>
      <c r="AE1519" s="11">
        <v>0</v>
      </c>
      <c r="AF1519" s="11">
        <f t="shared" si="69"/>
        <v>0.42</v>
      </c>
      <c r="AG1519" s="11">
        <f t="shared" si="70"/>
        <v>7.42</v>
      </c>
      <c r="AH1519" s="11">
        <v>0</v>
      </c>
      <c r="AI1519" s="11">
        <f t="shared" si="71"/>
        <v>7.42</v>
      </c>
      <c r="AJ1519" t="s">
        <v>62</v>
      </c>
    </row>
    <row r="1520" spans="1:36" ht="15" customHeight="1" x14ac:dyDescent="0.35">
      <c r="A1520">
        <v>10428918</v>
      </c>
      <c r="B1520" t="s">
        <v>36</v>
      </c>
      <c r="C1520" t="s">
        <v>37</v>
      </c>
      <c r="D1520" s="6" t="s">
        <v>38</v>
      </c>
      <c r="E1520" t="s">
        <v>4521</v>
      </c>
      <c r="F1520" t="s">
        <v>40</v>
      </c>
      <c r="G1520" t="s">
        <v>41</v>
      </c>
      <c r="H1520" t="s">
        <v>4522</v>
      </c>
      <c r="I1520" t="s">
        <v>43</v>
      </c>
      <c r="J1520">
        <v>2</v>
      </c>
      <c r="K1520" t="s">
        <v>44</v>
      </c>
      <c r="L1520" t="s">
        <v>45</v>
      </c>
      <c r="M1520" t="s">
        <v>46</v>
      </c>
      <c r="N1520" s="7">
        <v>1</v>
      </c>
      <c r="O1520" s="8">
        <v>45636.410393518519</v>
      </c>
      <c r="P1520" s="9">
        <v>45638</v>
      </c>
      <c r="Q1520" t="s">
        <v>74</v>
      </c>
      <c r="R1520" t="s">
        <v>48</v>
      </c>
      <c r="S1520" t="s">
        <v>49</v>
      </c>
      <c r="T1520" t="s">
        <v>80</v>
      </c>
      <c r="U1520" t="s">
        <v>4523</v>
      </c>
      <c r="V1520">
        <v>5150</v>
      </c>
      <c r="W1520" t="s">
        <v>48</v>
      </c>
      <c r="X1520" t="s">
        <v>137</v>
      </c>
      <c r="Y1520" t="s">
        <v>54</v>
      </c>
      <c r="Z1520" s="12">
        <f>IF(N1520&lt;=1,9,9+0.8*ROUNDUP(N1520-1,0))</f>
        <v>9</v>
      </c>
      <c r="AA1520" s="11">
        <v>-2</v>
      </c>
      <c r="AB1520" s="11">
        <v>0</v>
      </c>
      <c r="AC1520" s="11">
        <v>0</v>
      </c>
      <c r="AD1520" s="11">
        <v>0</v>
      </c>
      <c r="AE1520" s="11">
        <v>0</v>
      </c>
      <c r="AF1520" s="11">
        <f t="shared" si="69"/>
        <v>0.42</v>
      </c>
      <c r="AG1520" s="11">
        <f t="shared" si="70"/>
        <v>7.42</v>
      </c>
      <c r="AH1520" s="11">
        <v>0</v>
      </c>
      <c r="AI1520" s="11">
        <f t="shared" si="71"/>
        <v>7.42</v>
      </c>
      <c r="AJ1520" t="s">
        <v>62</v>
      </c>
    </row>
    <row r="1521" spans="1:36" ht="15" customHeight="1" x14ac:dyDescent="0.35">
      <c r="A1521">
        <v>10428918</v>
      </c>
      <c r="B1521" t="s">
        <v>36</v>
      </c>
      <c r="C1521" t="s">
        <v>37</v>
      </c>
      <c r="D1521" s="6" t="s">
        <v>38</v>
      </c>
      <c r="E1521" t="s">
        <v>4524</v>
      </c>
      <c r="F1521" t="s">
        <v>40</v>
      </c>
      <c r="G1521" t="s">
        <v>41</v>
      </c>
      <c r="H1521" t="s">
        <v>4525</v>
      </c>
      <c r="I1521" t="s">
        <v>43</v>
      </c>
      <c r="J1521">
        <v>2</v>
      </c>
      <c r="K1521" t="s">
        <v>44</v>
      </c>
      <c r="L1521" t="s">
        <v>45</v>
      </c>
      <c r="M1521" t="s">
        <v>46</v>
      </c>
      <c r="N1521" s="7">
        <v>1</v>
      </c>
      <c r="O1521" s="8">
        <v>45636.586678240739</v>
      </c>
      <c r="P1521" s="9">
        <v>45638</v>
      </c>
      <c r="Q1521" t="s">
        <v>74</v>
      </c>
      <c r="R1521" t="s">
        <v>48</v>
      </c>
      <c r="S1521" t="s">
        <v>49</v>
      </c>
      <c r="T1521" t="s">
        <v>69</v>
      </c>
      <c r="U1521" t="s">
        <v>4526</v>
      </c>
      <c r="V1521">
        <v>81550</v>
      </c>
      <c r="W1521" t="s">
        <v>48</v>
      </c>
      <c r="X1521" t="s">
        <v>4527</v>
      </c>
      <c r="Y1521" t="s">
        <v>54</v>
      </c>
      <c r="Z1521" s="12">
        <f>IF(N1521&lt;=1,9,9+0.8*ROUNDUP(N1521-1,0))</f>
        <v>9</v>
      </c>
      <c r="AA1521" s="11">
        <v>-2</v>
      </c>
      <c r="AB1521" s="11">
        <v>0</v>
      </c>
      <c r="AC1521" s="11">
        <v>0</v>
      </c>
      <c r="AD1521" s="11">
        <v>0</v>
      </c>
      <c r="AE1521" s="11">
        <v>0</v>
      </c>
      <c r="AF1521" s="11">
        <f t="shared" si="69"/>
        <v>0.42</v>
      </c>
      <c r="AG1521" s="11">
        <f t="shared" si="70"/>
        <v>7.42</v>
      </c>
      <c r="AH1521" s="11">
        <v>0</v>
      </c>
      <c r="AI1521" s="11">
        <f t="shared" si="71"/>
        <v>7.42</v>
      </c>
      <c r="AJ1521" t="s">
        <v>62</v>
      </c>
    </row>
    <row r="1522" spans="1:36" ht="15" customHeight="1" x14ac:dyDescent="0.35">
      <c r="A1522">
        <v>10428918</v>
      </c>
      <c r="B1522" t="s">
        <v>36</v>
      </c>
      <c r="C1522" t="s">
        <v>37</v>
      </c>
      <c r="D1522" s="6" t="s">
        <v>38</v>
      </c>
      <c r="E1522" t="s">
        <v>4528</v>
      </c>
      <c r="F1522" t="s">
        <v>40</v>
      </c>
      <c r="G1522" t="s">
        <v>41</v>
      </c>
      <c r="H1522" t="s">
        <v>4529</v>
      </c>
      <c r="I1522" t="s">
        <v>43</v>
      </c>
      <c r="J1522">
        <v>2</v>
      </c>
      <c r="K1522" t="s">
        <v>44</v>
      </c>
      <c r="L1522" t="s">
        <v>45</v>
      </c>
      <c r="M1522" t="s">
        <v>46</v>
      </c>
      <c r="N1522" s="7">
        <v>6</v>
      </c>
      <c r="O1522" s="8">
        <v>45636.836122685185</v>
      </c>
      <c r="P1522" s="9">
        <v>45638</v>
      </c>
      <c r="Q1522" t="s">
        <v>74</v>
      </c>
      <c r="R1522" t="s">
        <v>48</v>
      </c>
      <c r="S1522" t="s">
        <v>49</v>
      </c>
      <c r="T1522" t="s">
        <v>59</v>
      </c>
      <c r="U1522" t="s">
        <v>4530</v>
      </c>
      <c r="V1522">
        <v>18300</v>
      </c>
      <c r="W1522" t="s">
        <v>48</v>
      </c>
      <c r="X1522" t="s">
        <v>831</v>
      </c>
      <c r="Y1522" t="s">
        <v>54</v>
      </c>
      <c r="Z1522" s="12">
        <f>IF(N1522&lt;=1,9,9+0.8*ROUNDUP(N1522-1,0))</f>
        <v>13</v>
      </c>
      <c r="AA1522" s="11">
        <v>-2</v>
      </c>
      <c r="AB1522" s="11">
        <v>0</v>
      </c>
      <c r="AC1522" s="11">
        <v>0</v>
      </c>
      <c r="AD1522" s="11">
        <v>0</v>
      </c>
      <c r="AE1522" s="11">
        <v>0</v>
      </c>
      <c r="AF1522" s="11">
        <f t="shared" si="69"/>
        <v>0.65999999999999992</v>
      </c>
      <c r="AG1522" s="11">
        <f t="shared" si="70"/>
        <v>11.66</v>
      </c>
      <c r="AH1522" s="11">
        <v>0</v>
      </c>
      <c r="AI1522" s="11">
        <f t="shared" si="71"/>
        <v>11.66</v>
      </c>
      <c r="AJ1522" t="s">
        <v>62</v>
      </c>
    </row>
    <row r="1523" spans="1:36" ht="15" customHeight="1" x14ac:dyDescent="0.35">
      <c r="A1523">
        <v>10428918</v>
      </c>
      <c r="B1523" t="s">
        <v>36</v>
      </c>
      <c r="C1523" t="s">
        <v>37</v>
      </c>
      <c r="D1523" s="6" t="s">
        <v>38</v>
      </c>
      <c r="E1523" t="s">
        <v>4531</v>
      </c>
      <c r="F1523" t="s">
        <v>40</v>
      </c>
      <c r="G1523" t="s">
        <v>41</v>
      </c>
      <c r="H1523" t="s">
        <v>4532</v>
      </c>
      <c r="I1523" t="s">
        <v>43</v>
      </c>
      <c r="J1523">
        <v>2</v>
      </c>
      <c r="K1523" t="s">
        <v>44</v>
      </c>
      <c r="L1523" t="s">
        <v>45</v>
      </c>
      <c r="M1523" t="s">
        <v>46</v>
      </c>
      <c r="N1523" s="7">
        <v>1</v>
      </c>
      <c r="O1523" s="8">
        <v>45635.801886574074</v>
      </c>
      <c r="P1523" s="9">
        <v>45638</v>
      </c>
      <c r="Q1523" t="s">
        <v>74</v>
      </c>
      <c r="R1523" t="s">
        <v>48</v>
      </c>
      <c r="S1523" t="s">
        <v>49</v>
      </c>
      <c r="T1523" t="s">
        <v>69</v>
      </c>
      <c r="U1523" t="s">
        <v>4533</v>
      </c>
      <c r="V1523">
        <v>81110</v>
      </c>
      <c r="W1523" t="s">
        <v>48</v>
      </c>
      <c r="X1523" t="s">
        <v>394</v>
      </c>
      <c r="Y1523" t="s">
        <v>54</v>
      </c>
      <c r="Z1523" s="12">
        <f>IF(N1523&lt;=1,9,9+0.8*ROUNDUP(N1523-1,0))</f>
        <v>9</v>
      </c>
      <c r="AA1523" s="11">
        <v>-2</v>
      </c>
      <c r="AB1523" s="11">
        <v>0</v>
      </c>
      <c r="AC1523" s="11">
        <v>0</v>
      </c>
      <c r="AD1523" s="11">
        <v>0</v>
      </c>
      <c r="AE1523" s="11">
        <v>0</v>
      </c>
      <c r="AF1523" s="11">
        <f t="shared" si="69"/>
        <v>0.42</v>
      </c>
      <c r="AG1523" s="11">
        <f t="shared" si="70"/>
        <v>7.42</v>
      </c>
      <c r="AH1523" s="11">
        <v>0</v>
      </c>
      <c r="AI1523" s="11">
        <f t="shared" si="71"/>
        <v>7.42</v>
      </c>
      <c r="AJ1523" t="s">
        <v>62</v>
      </c>
    </row>
    <row r="1524" spans="1:36" ht="15" customHeight="1" x14ac:dyDescent="0.35">
      <c r="A1524">
        <v>10428918</v>
      </c>
      <c r="B1524" t="s">
        <v>36</v>
      </c>
      <c r="C1524" t="s">
        <v>37</v>
      </c>
      <c r="D1524" s="6" t="s">
        <v>38</v>
      </c>
      <c r="E1524" t="s">
        <v>4534</v>
      </c>
      <c r="F1524" t="s">
        <v>40</v>
      </c>
      <c r="G1524" t="s">
        <v>41</v>
      </c>
      <c r="H1524" t="s">
        <v>4535</v>
      </c>
      <c r="I1524" t="s">
        <v>43</v>
      </c>
      <c r="J1524">
        <v>2</v>
      </c>
      <c r="K1524" t="s">
        <v>44</v>
      </c>
      <c r="L1524" t="s">
        <v>45</v>
      </c>
      <c r="M1524" t="s">
        <v>46</v>
      </c>
      <c r="N1524" s="7">
        <v>1</v>
      </c>
      <c r="O1524" s="8">
        <v>45636.584930555553</v>
      </c>
      <c r="P1524" s="9">
        <v>45638</v>
      </c>
      <c r="Q1524" t="s">
        <v>74</v>
      </c>
      <c r="R1524" t="s">
        <v>48</v>
      </c>
      <c r="S1524" t="s">
        <v>49</v>
      </c>
      <c r="T1524" t="s">
        <v>80</v>
      </c>
      <c r="U1524" t="s">
        <v>4536</v>
      </c>
      <c r="V1524">
        <v>5150</v>
      </c>
      <c r="W1524" t="s">
        <v>48</v>
      </c>
      <c r="X1524" t="s">
        <v>53</v>
      </c>
      <c r="Y1524" t="s">
        <v>54</v>
      </c>
      <c r="Z1524" s="12">
        <f>IF(N1524&lt;=1,9,9+0.8*ROUNDUP(N1524-1,0))</f>
        <v>9</v>
      </c>
      <c r="AA1524" s="11">
        <v>-2</v>
      </c>
      <c r="AB1524" s="11">
        <v>0</v>
      </c>
      <c r="AC1524" s="11">
        <v>0</v>
      </c>
      <c r="AD1524" s="11">
        <v>0</v>
      </c>
      <c r="AE1524" s="11">
        <v>0</v>
      </c>
      <c r="AF1524" s="11">
        <f t="shared" si="69"/>
        <v>0.42</v>
      </c>
      <c r="AG1524" s="11">
        <f t="shared" si="70"/>
        <v>7.42</v>
      </c>
      <c r="AH1524" s="11">
        <v>0</v>
      </c>
      <c r="AI1524" s="11">
        <f t="shared" si="71"/>
        <v>7.42</v>
      </c>
      <c r="AJ1524" t="s">
        <v>62</v>
      </c>
    </row>
    <row r="1525" spans="1:36" ht="15" customHeight="1" x14ac:dyDescent="0.35">
      <c r="A1525">
        <v>10428918</v>
      </c>
      <c r="B1525" t="s">
        <v>36</v>
      </c>
      <c r="C1525" t="s">
        <v>37</v>
      </c>
      <c r="D1525" s="6" t="s">
        <v>38</v>
      </c>
      <c r="E1525" t="s">
        <v>4537</v>
      </c>
      <c r="F1525" t="s">
        <v>40</v>
      </c>
      <c r="G1525" t="s">
        <v>41</v>
      </c>
      <c r="H1525" t="s">
        <v>4538</v>
      </c>
      <c r="I1525" t="s">
        <v>43</v>
      </c>
      <c r="J1525">
        <v>2</v>
      </c>
      <c r="K1525" t="s">
        <v>44</v>
      </c>
      <c r="L1525" t="s">
        <v>45</v>
      </c>
      <c r="M1525" t="s">
        <v>46</v>
      </c>
      <c r="N1525" s="7">
        <v>2</v>
      </c>
      <c r="O1525" s="8">
        <v>45636.440381944441</v>
      </c>
      <c r="P1525" s="9">
        <v>45638</v>
      </c>
      <c r="Q1525" t="s">
        <v>74</v>
      </c>
      <c r="R1525" t="s">
        <v>48</v>
      </c>
      <c r="S1525" t="s">
        <v>49</v>
      </c>
      <c r="T1525" t="s">
        <v>59</v>
      </c>
      <c r="U1525" t="s">
        <v>4539</v>
      </c>
      <c r="V1525">
        <v>16450</v>
      </c>
      <c r="W1525" t="s">
        <v>48</v>
      </c>
      <c r="X1525" t="s">
        <v>61</v>
      </c>
      <c r="Y1525" t="s">
        <v>54</v>
      </c>
      <c r="Z1525" s="12">
        <f>IF(N1525&lt;=1,9,9+0.8*ROUNDUP(N1525-1,0))</f>
        <v>9.8000000000000007</v>
      </c>
      <c r="AA1525" s="11">
        <v>-2</v>
      </c>
      <c r="AB1525" s="11">
        <v>0</v>
      </c>
      <c r="AC1525" s="11">
        <v>0</v>
      </c>
      <c r="AD1525" s="11">
        <v>0</v>
      </c>
      <c r="AE1525" s="11">
        <v>0</v>
      </c>
      <c r="AF1525" s="11">
        <f t="shared" si="69"/>
        <v>0.46800000000000003</v>
      </c>
      <c r="AG1525" s="11">
        <f t="shared" si="70"/>
        <v>8.2680000000000007</v>
      </c>
      <c r="AH1525" s="11">
        <v>0</v>
      </c>
      <c r="AI1525" s="11">
        <f t="shared" si="71"/>
        <v>8.2680000000000007</v>
      </c>
      <c r="AJ1525" t="s">
        <v>62</v>
      </c>
    </row>
    <row r="1526" spans="1:36" ht="15" customHeight="1" x14ac:dyDescent="0.35">
      <c r="A1526">
        <v>10428918</v>
      </c>
      <c r="B1526" t="s">
        <v>36</v>
      </c>
      <c r="C1526" t="s">
        <v>37</v>
      </c>
      <c r="D1526" s="6" t="s">
        <v>38</v>
      </c>
      <c r="E1526" t="s">
        <v>4540</v>
      </c>
      <c r="F1526" t="s">
        <v>40</v>
      </c>
      <c r="G1526" t="s">
        <v>41</v>
      </c>
      <c r="H1526" t="s">
        <v>4541</v>
      </c>
      <c r="I1526" t="s">
        <v>43</v>
      </c>
      <c r="J1526">
        <v>2</v>
      </c>
      <c r="K1526" t="s">
        <v>44</v>
      </c>
      <c r="L1526" t="s">
        <v>45</v>
      </c>
      <c r="M1526" t="s">
        <v>46</v>
      </c>
      <c r="N1526" s="7">
        <v>3</v>
      </c>
      <c r="O1526" s="8">
        <v>45636.862002314818</v>
      </c>
      <c r="P1526" s="9">
        <v>45638</v>
      </c>
      <c r="Q1526" t="s">
        <v>74</v>
      </c>
      <c r="R1526" t="s">
        <v>48</v>
      </c>
      <c r="S1526" t="s">
        <v>49</v>
      </c>
      <c r="T1526" t="s">
        <v>117</v>
      </c>
      <c r="U1526" t="s">
        <v>4542</v>
      </c>
      <c r="V1526">
        <v>68000</v>
      </c>
      <c r="W1526" t="s">
        <v>48</v>
      </c>
      <c r="X1526" t="s">
        <v>1082</v>
      </c>
      <c r="Y1526" t="s">
        <v>54</v>
      </c>
      <c r="Z1526" s="12">
        <f>IF(N1526&lt;=1,9,9+0.8*ROUNDUP(N1526-1,0))</f>
        <v>10.6</v>
      </c>
      <c r="AA1526" s="11">
        <v>-2</v>
      </c>
      <c r="AB1526" s="11">
        <v>0</v>
      </c>
      <c r="AC1526" s="11">
        <v>0</v>
      </c>
      <c r="AD1526" s="11">
        <v>0</v>
      </c>
      <c r="AE1526" s="11">
        <v>0</v>
      </c>
      <c r="AF1526" s="11">
        <f t="shared" si="69"/>
        <v>0.51600000000000001</v>
      </c>
      <c r="AG1526" s="11">
        <f t="shared" si="70"/>
        <v>9.1159999999999997</v>
      </c>
      <c r="AH1526" s="11">
        <v>0</v>
      </c>
      <c r="AI1526" s="11">
        <f t="shared" si="71"/>
        <v>9.1159999999999997</v>
      </c>
      <c r="AJ1526" t="s">
        <v>62</v>
      </c>
    </row>
    <row r="1527" spans="1:36" ht="15" customHeight="1" x14ac:dyDescent="0.35">
      <c r="A1527">
        <v>10428918</v>
      </c>
      <c r="B1527" t="s">
        <v>36</v>
      </c>
      <c r="C1527" t="s">
        <v>37</v>
      </c>
      <c r="D1527" s="6" t="s">
        <v>38</v>
      </c>
      <c r="E1527" t="s">
        <v>4543</v>
      </c>
      <c r="F1527" t="s">
        <v>40</v>
      </c>
      <c r="G1527" t="s">
        <v>41</v>
      </c>
      <c r="H1527" t="s">
        <v>4544</v>
      </c>
      <c r="I1527" t="s">
        <v>43</v>
      </c>
      <c r="J1527">
        <v>2</v>
      </c>
      <c r="K1527" t="s">
        <v>44</v>
      </c>
      <c r="L1527" t="s">
        <v>45</v>
      </c>
      <c r="M1527" t="s">
        <v>46</v>
      </c>
      <c r="N1527" s="7">
        <v>1</v>
      </c>
      <c r="O1527" s="8">
        <v>45635.803043981483</v>
      </c>
      <c r="P1527" s="9">
        <v>45638</v>
      </c>
      <c r="Q1527" t="s">
        <v>74</v>
      </c>
      <c r="R1527" t="s">
        <v>48</v>
      </c>
      <c r="S1527" t="s">
        <v>49</v>
      </c>
      <c r="T1527" t="s">
        <v>65</v>
      </c>
      <c r="U1527" t="s">
        <v>4545</v>
      </c>
      <c r="V1527">
        <v>75400</v>
      </c>
      <c r="W1527" t="s">
        <v>48</v>
      </c>
      <c r="X1527" t="s">
        <v>53</v>
      </c>
      <c r="Y1527" t="s">
        <v>54</v>
      </c>
      <c r="Z1527" s="12">
        <f>IF(N1527&lt;=1,9,9+0.8*ROUNDUP(N1527-1,0))</f>
        <v>9</v>
      </c>
      <c r="AA1527" s="11">
        <v>-2</v>
      </c>
      <c r="AB1527" s="11">
        <v>0</v>
      </c>
      <c r="AC1527" s="11">
        <v>0</v>
      </c>
      <c r="AD1527" s="11">
        <v>0</v>
      </c>
      <c r="AE1527" s="11">
        <v>0</v>
      </c>
      <c r="AF1527" s="11">
        <f t="shared" si="69"/>
        <v>0.42</v>
      </c>
      <c r="AG1527" s="11">
        <f t="shared" si="70"/>
        <v>7.42</v>
      </c>
      <c r="AH1527" s="11">
        <v>0</v>
      </c>
      <c r="AI1527" s="11">
        <f t="shared" si="71"/>
        <v>7.42</v>
      </c>
      <c r="AJ1527" t="s">
        <v>62</v>
      </c>
    </row>
    <row r="1528" spans="1:36" ht="15" customHeight="1" x14ac:dyDescent="0.35">
      <c r="A1528">
        <v>10428918</v>
      </c>
      <c r="B1528" t="s">
        <v>36</v>
      </c>
      <c r="C1528" t="s">
        <v>37</v>
      </c>
      <c r="D1528" s="6" t="s">
        <v>38</v>
      </c>
      <c r="E1528" t="s">
        <v>4546</v>
      </c>
      <c r="F1528" t="s">
        <v>40</v>
      </c>
      <c r="G1528" t="s">
        <v>41</v>
      </c>
      <c r="H1528" t="s">
        <v>4547</v>
      </c>
      <c r="I1528" t="s">
        <v>43</v>
      </c>
      <c r="J1528">
        <v>2</v>
      </c>
      <c r="K1528" t="s">
        <v>44</v>
      </c>
      <c r="L1528" t="s">
        <v>45</v>
      </c>
      <c r="M1528" t="s">
        <v>46</v>
      </c>
      <c r="N1528" s="7">
        <v>1</v>
      </c>
      <c r="O1528" s="8">
        <v>45637.405555555553</v>
      </c>
      <c r="P1528" s="9">
        <v>45638</v>
      </c>
      <c r="Q1528" t="s">
        <v>74</v>
      </c>
      <c r="R1528" t="s">
        <v>48</v>
      </c>
      <c r="S1528" t="s">
        <v>49</v>
      </c>
      <c r="T1528" t="s">
        <v>117</v>
      </c>
      <c r="U1528" t="s">
        <v>4548</v>
      </c>
      <c r="V1528">
        <v>63000</v>
      </c>
      <c r="W1528" t="s">
        <v>48</v>
      </c>
      <c r="X1528" t="s">
        <v>224</v>
      </c>
      <c r="Y1528" t="s">
        <v>54</v>
      </c>
      <c r="Z1528" s="12">
        <f>IF(N1528&lt;=1,9,9+0.8*ROUNDUP(N1528-1,0))</f>
        <v>9</v>
      </c>
      <c r="AA1528" s="11">
        <v>-2</v>
      </c>
      <c r="AB1528" s="11">
        <v>0</v>
      </c>
      <c r="AC1528" s="11">
        <v>0</v>
      </c>
      <c r="AD1528" s="11">
        <v>0</v>
      </c>
      <c r="AE1528" s="11">
        <v>0</v>
      </c>
      <c r="AF1528" s="11">
        <f t="shared" si="69"/>
        <v>0.42</v>
      </c>
      <c r="AG1528" s="11">
        <f t="shared" si="70"/>
        <v>7.42</v>
      </c>
      <c r="AH1528" s="11">
        <v>0</v>
      </c>
      <c r="AI1528" s="11">
        <f t="shared" si="71"/>
        <v>7.42</v>
      </c>
      <c r="AJ1528" t="s">
        <v>62</v>
      </c>
    </row>
    <row r="1529" spans="1:36" ht="15" customHeight="1" x14ac:dyDescent="0.35">
      <c r="A1529">
        <v>10428918</v>
      </c>
      <c r="B1529" t="s">
        <v>36</v>
      </c>
      <c r="C1529" t="s">
        <v>37</v>
      </c>
      <c r="D1529" s="6" t="s">
        <v>38</v>
      </c>
      <c r="E1529" t="s">
        <v>4549</v>
      </c>
      <c r="F1529" t="s">
        <v>40</v>
      </c>
      <c r="G1529" t="s">
        <v>41</v>
      </c>
      <c r="H1529" t="s">
        <v>4550</v>
      </c>
      <c r="I1529" t="s">
        <v>43</v>
      </c>
      <c r="J1529">
        <v>2</v>
      </c>
      <c r="K1529" t="s">
        <v>44</v>
      </c>
      <c r="L1529" t="s">
        <v>45</v>
      </c>
      <c r="M1529" t="s">
        <v>46</v>
      </c>
      <c r="N1529" s="7">
        <v>1</v>
      </c>
      <c r="O1529" s="8">
        <v>45637.67701388889</v>
      </c>
      <c r="P1529" s="9">
        <v>45638</v>
      </c>
      <c r="Q1529" t="s">
        <v>74</v>
      </c>
      <c r="R1529" t="s">
        <v>48</v>
      </c>
      <c r="S1529" t="s">
        <v>49</v>
      </c>
      <c r="T1529" t="s">
        <v>117</v>
      </c>
      <c r="U1529" t="s">
        <v>4551</v>
      </c>
      <c r="V1529">
        <v>40460</v>
      </c>
      <c r="W1529" t="s">
        <v>48</v>
      </c>
      <c r="X1529" t="s">
        <v>1458</v>
      </c>
      <c r="Y1529" t="s">
        <v>54</v>
      </c>
      <c r="Z1529" s="12">
        <f>IF(N1529&lt;=1,9,9+0.8*ROUNDUP(N1529-1,0))</f>
        <v>9</v>
      </c>
      <c r="AA1529" s="11">
        <v>-2</v>
      </c>
      <c r="AB1529" s="11">
        <v>0</v>
      </c>
      <c r="AC1529" s="11">
        <v>0</v>
      </c>
      <c r="AD1529" s="11">
        <v>0</v>
      </c>
      <c r="AE1529" s="11">
        <v>0</v>
      </c>
      <c r="AF1529" s="11">
        <f t="shared" si="69"/>
        <v>0.42</v>
      </c>
      <c r="AG1529" s="11">
        <f t="shared" si="70"/>
        <v>7.42</v>
      </c>
      <c r="AH1529" s="11">
        <v>0</v>
      </c>
      <c r="AI1529" s="11">
        <f t="shared" si="71"/>
        <v>7.42</v>
      </c>
      <c r="AJ1529" t="s">
        <v>62</v>
      </c>
    </row>
    <row r="1530" spans="1:36" ht="15" customHeight="1" x14ac:dyDescent="0.35">
      <c r="A1530">
        <v>10428918</v>
      </c>
      <c r="B1530" t="s">
        <v>36</v>
      </c>
      <c r="C1530" t="s">
        <v>37</v>
      </c>
      <c r="D1530" s="6" t="s">
        <v>38</v>
      </c>
      <c r="E1530" t="s">
        <v>4552</v>
      </c>
      <c r="F1530" t="s">
        <v>40</v>
      </c>
      <c r="G1530" t="s">
        <v>41</v>
      </c>
      <c r="H1530" t="s">
        <v>4553</v>
      </c>
      <c r="I1530" t="s">
        <v>43</v>
      </c>
      <c r="J1530">
        <v>2</v>
      </c>
      <c r="K1530" t="s">
        <v>44</v>
      </c>
      <c r="L1530" t="s">
        <v>45</v>
      </c>
      <c r="M1530" t="s">
        <v>46</v>
      </c>
      <c r="N1530" s="7">
        <v>1</v>
      </c>
      <c r="O1530" s="8">
        <v>45636.440370370372</v>
      </c>
      <c r="P1530" s="9">
        <v>45638</v>
      </c>
      <c r="Q1530" t="s">
        <v>74</v>
      </c>
      <c r="R1530" t="s">
        <v>48</v>
      </c>
      <c r="S1530" t="s">
        <v>49</v>
      </c>
      <c r="T1530" t="s">
        <v>85</v>
      </c>
      <c r="U1530" t="s">
        <v>4554</v>
      </c>
      <c r="V1530">
        <v>71760</v>
      </c>
      <c r="W1530" t="s">
        <v>48</v>
      </c>
      <c r="X1530" t="s">
        <v>266</v>
      </c>
      <c r="Y1530" t="s">
        <v>54</v>
      </c>
      <c r="Z1530" s="12">
        <f>IF(N1530&lt;=1,9,9+0.8*ROUNDUP(N1530-1,0))</f>
        <v>9</v>
      </c>
      <c r="AA1530" s="11">
        <v>-2</v>
      </c>
      <c r="AB1530" s="11">
        <v>0</v>
      </c>
      <c r="AC1530" s="11">
        <v>0</v>
      </c>
      <c r="AD1530" s="11">
        <v>0</v>
      </c>
      <c r="AE1530" s="11">
        <v>0</v>
      </c>
      <c r="AF1530" s="11">
        <f t="shared" si="69"/>
        <v>0.42</v>
      </c>
      <c r="AG1530" s="11">
        <f t="shared" si="70"/>
        <v>7.42</v>
      </c>
      <c r="AH1530" s="11">
        <v>0</v>
      </c>
      <c r="AI1530" s="11">
        <f t="shared" si="71"/>
        <v>7.42</v>
      </c>
      <c r="AJ1530" t="s">
        <v>62</v>
      </c>
    </row>
    <row r="1531" spans="1:36" ht="15" customHeight="1" x14ac:dyDescent="0.35">
      <c r="A1531">
        <v>10428918</v>
      </c>
      <c r="B1531" t="s">
        <v>36</v>
      </c>
      <c r="C1531" t="s">
        <v>37</v>
      </c>
      <c r="D1531" s="6" t="s">
        <v>38</v>
      </c>
      <c r="E1531" t="s">
        <v>4555</v>
      </c>
      <c r="F1531" t="s">
        <v>40</v>
      </c>
      <c r="G1531" t="s">
        <v>41</v>
      </c>
      <c r="H1531" t="s">
        <v>3710</v>
      </c>
      <c r="I1531" t="s">
        <v>43</v>
      </c>
      <c r="J1531">
        <v>2</v>
      </c>
      <c r="K1531" t="s">
        <v>44</v>
      </c>
      <c r="L1531" t="s">
        <v>45</v>
      </c>
      <c r="M1531" t="s">
        <v>46</v>
      </c>
      <c r="N1531" s="7">
        <v>3</v>
      </c>
      <c r="O1531" s="8">
        <v>45637.415462962963</v>
      </c>
      <c r="P1531" s="9">
        <v>45638</v>
      </c>
      <c r="Q1531" t="s">
        <v>74</v>
      </c>
      <c r="R1531" t="s">
        <v>48</v>
      </c>
      <c r="S1531" t="s">
        <v>49</v>
      </c>
      <c r="T1531" t="s">
        <v>75</v>
      </c>
      <c r="U1531" t="s">
        <v>4556</v>
      </c>
      <c r="V1531">
        <v>27070</v>
      </c>
      <c r="W1531" t="s">
        <v>48</v>
      </c>
      <c r="X1531" t="s">
        <v>77</v>
      </c>
      <c r="Y1531" t="s">
        <v>54</v>
      </c>
      <c r="Z1531" s="12">
        <f>IF(N1531&lt;=1,9,9+0.8*ROUNDUP(N1531-1,0))</f>
        <v>10.6</v>
      </c>
      <c r="AA1531" s="11">
        <v>-2</v>
      </c>
      <c r="AB1531" s="11">
        <v>0</v>
      </c>
      <c r="AC1531" s="11">
        <v>0</v>
      </c>
      <c r="AD1531" s="11">
        <v>0</v>
      </c>
      <c r="AE1531" s="11">
        <v>0</v>
      </c>
      <c r="AF1531" s="11">
        <f t="shared" si="69"/>
        <v>0.51600000000000001</v>
      </c>
      <c r="AG1531" s="11">
        <f t="shared" si="70"/>
        <v>9.1159999999999997</v>
      </c>
      <c r="AH1531" s="11">
        <v>0</v>
      </c>
      <c r="AI1531" s="11">
        <f t="shared" si="71"/>
        <v>9.1159999999999997</v>
      </c>
      <c r="AJ1531" t="s">
        <v>62</v>
      </c>
    </row>
    <row r="1532" spans="1:36" ht="15" customHeight="1" x14ac:dyDescent="0.35">
      <c r="A1532">
        <v>10428918</v>
      </c>
      <c r="B1532" t="s">
        <v>36</v>
      </c>
      <c r="C1532" t="s">
        <v>37</v>
      </c>
      <c r="D1532" s="6" t="s">
        <v>38</v>
      </c>
      <c r="E1532" t="s">
        <v>4557</v>
      </c>
      <c r="F1532" t="s">
        <v>40</v>
      </c>
      <c r="G1532" t="s">
        <v>41</v>
      </c>
      <c r="H1532" t="s">
        <v>249</v>
      </c>
      <c r="I1532" t="s">
        <v>43</v>
      </c>
      <c r="J1532">
        <v>2</v>
      </c>
      <c r="K1532" t="s">
        <v>44</v>
      </c>
      <c r="L1532" t="s">
        <v>45</v>
      </c>
      <c r="M1532" t="s">
        <v>46</v>
      </c>
      <c r="N1532" s="7">
        <v>1</v>
      </c>
      <c r="O1532" s="8">
        <v>45637.753321759257</v>
      </c>
      <c r="P1532" s="9">
        <v>45638</v>
      </c>
      <c r="Q1532" t="s">
        <v>74</v>
      </c>
      <c r="R1532" t="s">
        <v>48</v>
      </c>
      <c r="S1532" t="s">
        <v>49</v>
      </c>
      <c r="T1532" t="s">
        <v>59</v>
      </c>
      <c r="U1532" t="s">
        <v>4558</v>
      </c>
      <c r="V1532">
        <v>16070</v>
      </c>
      <c r="W1532" t="s">
        <v>48</v>
      </c>
      <c r="X1532" t="s">
        <v>61</v>
      </c>
      <c r="Y1532" t="s">
        <v>54</v>
      </c>
      <c r="Z1532" s="12">
        <f>IF(N1532&lt;=1,9,9+0.8*ROUNDUP(N1532-1,0))</f>
        <v>9</v>
      </c>
      <c r="AA1532" s="11">
        <v>-2</v>
      </c>
      <c r="AB1532" s="11">
        <v>0</v>
      </c>
      <c r="AC1532" s="11">
        <v>0</v>
      </c>
      <c r="AD1532" s="11">
        <v>0</v>
      </c>
      <c r="AE1532" s="11">
        <v>0</v>
      </c>
      <c r="AF1532" s="11">
        <f t="shared" si="69"/>
        <v>0.42</v>
      </c>
      <c r="AG1532" s="11">
        <f t="shared" si="70"/>
        <v>7.42</v>
      </c>
      <c r="AH1532" s="11">
        <v>0</v>
      </c>
      <c r="AI1532" s="11">
        <f t="shared" si="71"/>
        <v>7.42</v>
      </c>
      <c r="AJ1532" t="s">
        <v>62</v>
      </c>
    </row>
    <row r="1533" spans="1:36" ht="15" customHeight="1" x14ac:dyDescent="0.35">
      <c r="A1533">
        <v>10428918</v>
      </c>
      <c r="B1533" t="s">
        <v>36</v>
      </c>
      <c r="C1533" t="s">
        <v>37</v>
      </c>
      <c r="D1533" s="6" t="s">
        <v>38</v>
      </c>
      <c r="E1533" t="s">
        <v>4559</v>
      </c>
      <c r="F1533" t="s">
        <v>40</v>
      </c>
      <c r="G1533" t="s">
        <v>41</v>
      </c>
      <c r="H1533" t="s">
        <v>4560</v>
      </c>
      <c r="I1533" t="s">
        <v>43</v>
      </c>
      <c r="J1533">
        <v>2</v>
      </c>
      <c r="K1533" t="s">
        <v>44</v>
      </c>
      <c r="L1533" t="s">
        <v>45</v>
      </c>
      <c r="M1533" t="s">
        <v>46</v>
      </c>
      <c r="N1533" s="7">
        <v>2</v>
      </c>
      <c r="O1533" s="8">
        <v>45637.405555555553</v>
      </c>
      <c r="P1533" s="9">
        <v>45638</v>
      </c>
      <c r="Q1533" t="s">
        <v>74</v>
      </c>
      <c r="R1533" t="s">
        <v>48</v>
      </c>
      <c r="S1533" t="s">
        <v>49</v>
      </c>
      <c r="T1533" t="s">
        <v>117</v>
      </c>
      <c r="U1533" t="s">
        <v>4561</v>
      </c>
      <c r="V1533">
        <v>45000</v>
      </c>
      <c r="W1533" t="s">
        <v>48</v>
      </c>
      <c r="X1533" t="s">
        <v>258</v>
      </c>
      <c r="Y1533" t="s">
        <v>54</v>
      </c>
      <c r="Z1533" s="12">
        <f>IF(N1533&lt;=1,9,9+0.8*ROUNDUP(N1533-1,0))</f>
        <v>9.8000000000000007</v>
      </c>
      <c r="AA1533" s="11">
        <v>-2</v>
      </c>
      <c r="AB1533" s="11">
        <v>0</v>
      </c>
      <c r="AC1533" s="11">
        <v>0</v>
      </c>
      <c r="AD1533" s="11">
        <v>0</v>
      </c>
      <c r="AE1533" s="11">
        <v>0</v>
      </c>
      <c r="AF1533" s="11">
        <f t="shared" si="69"/>
        <v>0.46800000000000003</v>
      </c>
      <c r="AG1533" s="11">
        <f t="shared" si="70"/>
        <v>8.2680000000000007</v>
      </c>
      <c r="AH1533" s="11">
        <v>0</v>
      </c>
      <c r="AI1533" s="11">
        <f t="shared" si="71"/>
        <v>8.2680000000000007</v>
      </c>
      <c r="AJ1533" t="s">
        <v>62</v>
      </c>
    </row>
    <row r="1534" spans="1:36" ht="15" customHeight="1" x14ac:dyDescent="0.35">
      <c r="A1534">
        <v>10428918</v>
      </c>
      <c r="B1534" t="s">
        <v>36</v>
      </c>
      <c r="C1534" t="s">
        <v>37</v>
      </c>
      <c r="D1534" s="6" t="s">
        <v>38</v>
      </c>
      <c r="E1534" t="s">
        <v>4562</v>
      </c>
      <c r="F1534" t="s">
        <v>40</v>
      </c>
      <c r="G1534" t="s">
        <v>41</v>
      </c>
      <c r="H1534" t="s">
        <v>4563</v>
      </c>
      <c r="I1534" t="s">
        <v>43</v>
      </c>
      <c r="J1534">
        <v>2</v>
      </c>
      <c r="K1534" t="s">
        <v>44</v>
      </c>
      <c r="L1534" t="s">
        <v>45</v>
      </c>
      <c r="M1534" t="s">
        <v>46</v>
      </c>
      <c r="N1534" s="7">
        <v>1</v>
      </c>
      <c r="O1534" s="8">
        <v>45637.426736111112</v>
      </c>
      <c r="P1534" s="9">
        <v>45638</v>
      </c>
      <c r="Q1534" t="s">
        <v>74</v>
      </c>
      <c r="R1534" t="s">
        <v>48</v>
      </c>
      <c r="S1534" t="s">
        <v>49</v>
      </c>
      <c r="T1534" t="s">
        <v>117</v>
      </c>
      <c r="U1534" t="s">
        <v>4564</v>
      </c>
      <c r="V1534">
        <v>41250</v>
      </c>
      <c r="W1534" t="s">
        <v>48</v>
      </c>
      <c r="X1534" t="s">
        <v>53</v>
      </c>
      <c r="Y1534" t="s">
        <v>54</v>
      </c>
      <c r="Z1534" s="12">
        <f>IF(N1534&lt;=1,9,9+0.8*ROUNDUP(N1534-1,0))</f>
        <v>9</v>
      </c>
      <c r="AA1534" s="11">
        <v>-2</v>
      </c>
      <c r="AB1534" s="11">
        <v>0</v>
      </c>
      <c r="AC1534" s="11">
        <v>0</v>
      </c>
      <c r="AD1534" s="11">
        <v>0</v>
      </c>
      <c r="AE1534" s="11">
        <v>0</v>
      </c>
      <c r="AF1534" s="11">
        <f t="shared" si="69"/>
        <v>0.42</v>
      </c>
      <c r="AG1534" s="11">
        <f t="shared" si="70"/>
        <v>7.42</v>
      </c>
      <c r="AH1534" s="11">
        <v>0</v>
      </c>
      <c r="AI1534" s="11">
        <f t="shared" si="71"/>
        <v>7.42</v>
      </c>
      <c r="AJ1534" t="s">
        <v>62</v>
      </c>
    </row>
    <row r="1535" spans="1:36" ht="15" customHeight="1" x14ac:dyDescent="0.35">
      <c r="A1535">
        <v>10428918</v>
      </c>
      <c r="B1535" t="s">
        <v>36</v>
      </c>
      <c r="C1535" t="s">
        <v>37</v>
      </c>
      <c r="D1535" s="6" t="s">
        <v>38</v>
      </c>
      <c r="E1535" t="s">
        <v>4565</v>
      </c>
      <c r="F1535" t="s">
        <v>40</v>
      </c>
      <c r="G1535" t="s">
        <v>41</v>
      </c>
      <c r="H1535" t="s">
        <v>4566</v>
      </c>
      <c r="I1535" t="s">
        <v>43</v>
      </c>
      <c r="J1535">
        <v>2</v>
      </c>
      <c r="K1535" t="s">
        <v>44</v>
      </c>
      <c r="L1535" t="s">
        <v>45</v>
      </c>
      <c r="M1535" t="s">
        <v>46</v>
      </c>
      <c r="N1535" s="7">
        <v>1</v>
      </c>
      <c r="O1535" s="8">
        <v>45637.405555555553</v>
      </c>
      <c r="P1535" s="9">
        <v>45638</v>
      </c>
      <c r="Q1535" t="s">
        <v>74</v>
      </c>
      <c r="R1535" t="s">
        <v>48</v>
      </c>
      <c r="S1535" t="s">
        <v>49</v>
      </c>
      <c r="T1535" t="s">
        <v>117</v>
      </c>
      <c r="U1535" t="s">
        <v>4567</v>
      </c>
      <c r="V1535">
        <v>47830</v>
      </c>
      <c r="W1535" t="s">
        <v>48</v>
      </c>
      <c r="X1535" t="s">
        <v>179</v>
      </c>
      <c r="Y1535" t="s">
        <v>54</v>
      </c>
      <c r="Z1535" s="12">
        <f>IF(N1535&lt;=1,9,9+0.8*ROUNDUP(N1535-1,0))</f>
        <v>9</v>
      </c>
      <c r="AA1535" s="11">
        <v>-2</v>
      </c>
      <c r="AB1535" s="11">
        <v>0</v>
      </c>
      <c r="AC1535" s="11">
        <v>0</v>
      </c>
      <c r="AD1535" s="11">
        <v>0</v>
      </c>
      <c r="AE1535" s="11">
        <v>0</v>
      </c>
      <c r="AF1535" s="11">
        <f t="shared" si="69"/>
        <v>0.42</v>
      </c>
      <c r="AG1535" s="11">
        <f t="shared" si="70"/>
        <v>7.42</v>
      </c>
      <c r="AH1535" s="11">
        <v>0</v>
      </c>
      <c r="AI1535" s="11">
        <f t="shared" si="71"/>
        <v>7.42</v>
      </c>
      <c r="AJ1535" t="s">
        <v>62</v>
      </c>
    </row>
    <row r="1536" spans="1:36" ht="15" customHeight="1" x14ac:dyDescent="0.35">
      <c r="A1536">
        <v>10428918</v>
      </c>
      <c r="B1536" t="s">
        <v>36</v>
      </c>
      <c r="C1536" t="s">
        <v>37</v>
      </c>
      <c r="D1536" s="6" t="s">
        <v>38</v>
      </c>
      <c r="E1536" t="s">
        <v>4568</v>
      </c>
      <c r="F1536" t="s">
        <v>40</v>
      </c>
      <c r="G1536" t="s">
        <v>41</v>
      </c>
      <c r="H1536" t="s">
        <v>4569</v>
      </c>
      <c r="I1536" t="s">
        <v>43</v>
      </c>
      <c r="J1536">
        <v>2</v>
      </c>
      <c r="K1536" t="s">
        <v>44</v>
      </c>
      <c r="L1536" t="s">
        <v>45</v>
      </c>
      <c r="M1536" t="s">
        <v>46</v>
      </c>
      <c r="N1536" s="7">
        <v>1</v>
      </c>
      <c r="O1536" s="8">
        <v>45635.801886574074</v>
      </c>
      <c r="P1536" s="9">
        <v>45638</v>
      </c>
      <c r="Q1536" t="s">
        <v>74</v>
      </c>
      <c r="R1536" t="s">
        <v>48</v>
      </c>
      <c r="S1536" t="s">
        <v>49</v>
      </c>
      <c r="T1536" t="s">
        <v>69</v>
      </c>
      <c r="U1536" t="s">
        <v>4570</v>
      </c>
      <c r="V1536">
        <v>86000</v>
      </c>
      <c r="W1536" t="s">
        <v>48</v>
      </c>
      <c r="X1536" t="s">
        <v>613</v>
      </c>
      <c r="Y1536" t="s">
        <v>54</v>
      </c>
      <c r="Z1536" s="12">
        <f>IF(N1536&lt;=1,9,9+0.8*ROUNDUP(N1536-1,0))</f>
        <v>9</v>
      </c>
      <c r="AA1536" s="11">
        <v>-2</v>
      </c>
      <c r="AB1536" s="11">
        <v>0</v>
      </c>
      <c r="AC1536" s="11">
        <v>0</v>
      </c>
      <c r="AD1536" s="11">
        <v>0</v>
      </c>
      <c r="AE1536" s="11">
        <v>0</v>
      </c>
      <c r="AF1536" s="11">
        <f t="shared" si="69"/>
        <v>0.42</v>
      </c>
      <c r="AG1536" s="11">
        <f t="shared" si="70"/>
        <v>7.42</v>
      </c>
      <c r="AH1536" s="11">
        <v>0</v>
      </c>
      <c r="AI1536" s="11">
        <f t="shared" si="71"/>
        <v>7.42</v>
      </c>
      <c r="AJ1536" t="s">
        <v>62</v>
      </c>
    </row>
    <row r="1537" spans="1:36" ht="15" customHeight="1" x14ac:dyDescent="0.35">
      <c r="A1537">
        <v>10428918</v>
      </c>
      <c r="B1537" t="s">
        <v>36</v>
      </c>
      <c r="C1537" t="s">
        <v>37</v>
      </c>
      <c r="D1537" s="6" t="s">
        <v>38</v>
      </c>
      <c r="E1537" t="s">
        <v>4571</v>
      </c>
      <c r="F1537" t="s">
        <v>40</v>
      </c>
      <c r="G1537" t="s">
        <v>41</v>
      </c>
      <c r="H1537" t="s">
        <v>4572</v>
      </c>
      <c r="I1537" t="s">
        <v>43</v>
      </c>
      <c r="J1537">
        <v>2</v>
      </c>
      <c r="K1537" t="s">
        <v>44</v>
      </c>
      <c r="L1537" t="s">
        <v>45</v>
      </c>
      <c r="M1537" t="s">
        <v>46</v>
      </c>
      <c r="N1537" s="7">
        <v>2</v>
      </c>
      <c r="O1537" s="8">
        <v>45636.410381944443</v>
      </c>
      <c r="P1537" s="9">
        <v>45638</v>
      </c>
      <c r="Q1537" t="s">
        <v>74</v>
      </c>
      <c r="R1537" t="s">
        <v>48</v>
      </c>
      <c r="S1537" t="s">
        <v>49</v>
      </c>
      <c r="T1537" t="s">
        <v>101</v>
      </c>
      <c r="U1537" t="s">
        <v>4573</v>
      </c>
      <c r="V1537">
        <v>32040</v>
      </c>
      <c r="W1537" t="s">
        <v>48</v>
      </c>
      <c r="X1537" t="s">
        <v>53</v>
      </c>
      <c r="Y1537" t="s">
        <v>54</v>
      </c>
      <c r="Z1537" s="12">
        <f>IF(N1537&lt;=1,9,9+0.8*ROUNDUP(N1537-1,0))</f>
        <v>9.8000000000000007</v>
      </c>
      <c r="AA1537" s="11">
        <v>-2</v>
      </c>
      <c r="AB1537" s="11">
        <v>0</v>
      </c>
      <c r="AC1537" s="11">
        <v>0</v>
      </c>
      <c r="AD1537" s="11">
        <v>0</v>
      </c>
      <c r="AE1537" s="11">
        <v>0</v>
      </c>
      <c r="AF1537" s="11">
        <f t="shared" si="69"/>
        <v>0.46800000000000003</v>
      </c>
      <c r="AG1537" s="11">
        <f t="shared" si="70"/>
        <v>8.2680000000000007</v>
      </c>
      <c r="AH1537" s="11">
        <v>0</v>
      </c>
      <c r="AI1537" s="11">
        <f t="shared" si="71"/>
        <v>8.2680000000000007</v>
      </c>
      <c r="AJ1537" t="s">
        <v>62</v>
      </c>
    </row>
    <row r="1538" spans="1:36" ht="15" customHeight="1" x14ac:dyDescent="0.35">
      <c r="A1538">
        <v>10428918</v>
      </c>
      <c r="B1538" t="s">
        <v>36</v>
      </c>
      <c r="C1538" t="s">
        <v>37</v>
      </c>
      <c r="D1538" s="6" t="s">
        <v>38</v>
      </c>
      <c r="E1538" t="s">
        <v>4574</v>
      </c>
      <c r="F1538" t="s">
        <v>40</v>
      </c>
      <c r="G1538" t="s">
        <v>41</v>
      </c>
      <c r="H1538" t="s">
        <v>4575</v>
      </c>
      <c r="I1538" t="s">
        <v>43</v>
      </c>
      <c r="J1538">
        <v>2</v>
      </c>
      <c r="K1538" t="s">
        <v>44</v>
      </c>
      <c r="L1538" t="s">
        <v>45</v>
      </c>
      <c r="M1538" t="s">
        <v>46</v>
      </c>
      <c r="N1538" s="7">
        <v>1</v>
      </c>
      <c r="O1538" s="8">
        <v>45636.839062500003</v>
      </c>
      <c r="P1538" s="9">
        <v>45638</v>
      </c>
      <c r="Q1538" t="s">
        <v>74</v>
      </c>
      <c r="R1538" t="s">
        <v>48</v>
      </c>
      <c r="S1538" t="s">
        <v>49</v>
      </c>
      <c r="T1538" t="s">
        <v>117</v>
      </c>
      <c r="U1538" t="s">
        <v>4576</v>
      </c>
      <c r="V1538">
        <v>40000</v>
      </c>
      <c r="W1538" t="s">
        <v>48</v>
      </c>
      <c r="X1538" t="s">
        <v>53</v>
      </c>
      <c r="Y1538" t="s">
        <v>54</v>
      </c>
      <c r="Z1538" s="12">
        <f>IF(N1538&lt;=1,9,9+0.8*ROUNDUP(N1538-1,0))</f>
        <v>9</v>
      </c>
      <c r="AA1538" s="11">
        <v>-2</v>
      </c>
      <c r="AB1538" s="11">
        <v>0</v>
      </c>
      <c r="AC1538" s="11">
        <v>0</v>
      </c>
      <c r="AD1538" s="11">
        <v>0</v>
      </c>
      <c r="AE1538" s="11">
        <v>0</v>
      </c>
      <c r="AF1538" s="11">
        <f t="shared" ref="AF1538:AF1601" si="72">(Z1538+AA1538+AC1538+AE1538)*6%</f>
        <v>0.42</v>
      </c>
      <c r="AG1538" s="11">
        <f t="shared" ref="AG1538:AG1601" si="73">Z1538+AA1538+AC1538+AE1538+AF1538</f>
        <v>7.42</v>
      </c>
      <c r="AH1538" s="11">
        <v>0</v>
      </c>
      <c r="AI1538" s="11">
        <f t="shared" ref="AI1538:AI1601" si="74">AG1538+AH1538</f>
        <v>7.42</v>
      </c>
      <c r="AJ1538" t="s">
        <v>62</v>
      </c>
    </row>
    <row r="1539" spans="1:36" ht="15" customHeight="1" x14ac:dyDescent="0.35">
      <c r="A1539">
        <v>10428918</v>
      </c>
      <c r="B1539" t="s">
        <v>36</v>
      </c>
      <c r="C1539" t="s">
        <v>37</v>
      </c>
      <c r="D1539" s="6" t="s">
        <v>38</v>
      </c>
      <c r="E1539" t="s">
        <v>4577</v>
      </c>
      <c r="F1539" t="s">
        <v>40</v>
      </c>
      <c r="G1539" t="s">
        <v>41</v>
      </c>
      <c r="H1539" t="s">
        <v>4578</v>
      </c>
      <c r="I1539" t="s">
        <v>43</v>
      </c>
      <c r="J1539">
        <v>2</v>
      </c>
      <c r="K1539" t="s">
        <v>44</v>
      </c>
      <c r="L1539" t="s">
        <v>45</v>
      </c>
      <c r="M1539" t="s">
        <v>46</v>
      </c>
      <c r="N1539" s="7">
        <v>1</v>
      </c>
      <c r="O1539" s="8">
        <v>45637.419305555559</v>
      </c>
      <c r="P1539" s="9">
        <v>45638</v>
      </c>
      <c r="Q1539" t="s">
        <v>74</v>
      </c>
      <c r="R1539" t="s">
        <v>48</v>
      </c>
      <c r="S1539" t="s">
        <v>49</v>
      </c>
      <c r="T1539" t="s">
        <v>117</v>
      </c>
      <c r="U1539" t="s">
        <v>4579</v>
      </c>
      <c r="V1539">
        <v>42200</v>
      </c>
      <c r="W1539" t="s">
        <v>48</v>
      </c>
      <c r="X1539" t="s">
        <v>623</v>
      </c>
      <c r="Y1539" t="s">
        <v>54</v>
      </c>
      <c r="Z1539" s="12">
        <f>IF(N1539&lt;=1,9,9+0.8*ROUNDUP(N1539-1,0))</f>
        <v>9</v>
      </c>
      <c r="AA1539" s="11">
        <v>-2</v>
      </c>
      <c r="AB1539" s="11">
        <v>0</v>
      </c>
      <c r="AC1539" s="11">
        <v>0</v>
      </c>
      <c r="AD1539" s="11">
        <v>0</v>
      </c>
      <c r="AE1539" s="11">
        <v>0</v>
      </c>
      <c r="AF1539" s="11">
        <f t="shared" si="72"/>
        <v>0.42</v>
      </c>
      <c r="AG1539" s="11">
        <f t="shared" si="73"/>
        <v>7.42</v>
      </c>
      <c r="AH1539" s="11">
        <v>0</v>
      </c>
      <c r="AI1539" s="11">
        <f t="shared" si="74"/>
        <v>7.42</v>
      </c>
      <c r="AJ1539" t="s">
        <v>62</v>
      </c>
    </row>
    <row r="1540" spans="1:36" ht="15" customHeight="1" x14ac:dyDescent="0.35">
      <c r="A1540">
        <v>10428918</v>
      </c>
      <c r="B1540" t="s">
        <v>36</v>
      </c>
      <c r="C1540" t="s">
        <v>37</v>
      </c>
      <c r="D1540" s="6" t="s">
        <v>38</v>
      </c>
      <c r="E1540" t="s">
        <v>4580</v>
      </c>
      <c r="F1540" t="s">
        <v>40</v>
      </c>
      <c r="G1540" t="s">
        <v>41</v>
      </c>
      <c r="H1540" t="s">
        <v>4581</v>
      </c>
      <c r="I1540" t="s">
        <v>43</v>
      </c>
      <c r="J1540">
        <v>2</v>
      </c>
      <c r="K1540" t="s">
        <v>44</v>
      </c>
      <c r="L1540" t="s">
        <v>45</v>
      </c>
      <c r="M1540" t="s">
        <v>46</v>
      </c>
      <c r="N1540" s="7">
        <v>5</v>
      </c>
      <c r="O1540" s="8">
        <v>45636.836122685185</v>
      </c>
      <c r="P1540" s="9">
        <v>45638</v>
      </c>
      <c r="Q1540" t="s">
        <v>74</v>
      </c>
      <c r="R1540" t="s">
        <v>48</v>
      </c>
      <c r="S1540" t="s">
        <v>49</v>
      </c>
      <c r="T1540" t="s">
        <v>59</v>
      </c>
      <c r="U1540" t="s">
        <v>4582</v>
      </c>
      <c r="V1540">
        <v>18300</v>
      </c>
      <c r="W1540" t="s">
        <v>48</v>
      </c>
      <c r="X1540" t="s">
        <v>831</v>
      </c>
      <c r="Y1540" t="s">
        <v>54</v>
      </c>
      <c r="Z1540" s="12">
        <f>IF(N1540&lt;=1,9,9+0.8*ROUNDUP(N1540-1,0))</f>
        <v>12.2</v>
      </c>
      <c r="AA1540" s="11">
        <v>-2</v>
      </c>
      <c r="AB1540" s="11">
        <v>0</v>
      </c>
      <c r="AC1540" s="11">
        <v>0</v>
      </c>
      <c r="AD1540" s="11">
        <v>0</v>
      </c>
      <c r="AE1540" s="11">
        <v>0</v>
      </c>
      <c r="AF1540" s="11">
        <f t="shared" si="72"/>
        <v>0.61199999999999999</v>
      </c>
      <c r="AG1540" s="11">
        <f t="shared" si="73"/>
        <v>10.811999999999999</v>
      </c>
      <c r="AH1540" s="11">
        <v>0</v>
      </c>
      <c r="AI1540" s="11">
        <f t="shared" si="74"/>
        <v>10.811999999999999</v>
      </c>
      <c r="AJ1540" t="s">
        <v>62</v>
      </c>
    </row>
    <row r="1541" spans="1:36" ht="15" customHeight="1" x14ac:dyDescent="0.35">
      <c r="A1541">
        <v>10428918</v>
      </c>
      <c r="B1541" t="s">
        <v>36</v>
      </c>
      <c r="C1541" t="s">
        <v>37</v>
      </c>
      <c r="D1541" s="6" t="s">
        <v>38</v>
      </c>
      <c r="E1541" t="s">
        <v>4583</v>
      </c>
      <c r="F1541" t="s">
        <v>40</v>
      </c>
      <c r="G1541" t="s">
        <v>41</v>
      </c>
      <c r="H1541" t="s">
        <v>4584</v>
      </c>
      <c r="I1541" t="s">
        <v>43</v>
      </c>
      <c r="J1541">
        <v>2</v>
      </c>
      <c r="K1541" t="s">
        <v>44</v>
      </c>
      <c r="L1541" t="s">
        <v>45</v>
      </c>
      <c r="M1541" t="s">
        <v>46</v>
      </c>
      <c r="N1541" s="7">
        <v>1</v>
      </c>
      <c r="O1541" s="8">
        <v>45637.426736111112</v>
      </c>
      <c r="P1541" s="9">
        <v>45638</v>
      </c>
      <c r="Q1541" t="s">
        <v>74</v>
      </c>
      <c r="R1541" t="s">
        <v>48</v>
      </c>
      <c r="S1541" t="s">
        <v>49</v>
      </c>
      <c r="T1541" t="s">
        <v>75</v>
      </c>
      <c r="U1541" t="s">
        <v>4585</v>
      </c>
      <c r="V1541">
        <v>39000</v>
      </c>
      <c r="W1541" t="s">
        <v>48</v>
      </c>
      <c r="X1541" t="s">
        <v>77</v>
      </c>
      <c r="Y1541" t="s">
        <v>54</v>
      </c>
      <c r="Z1541" s="12">
        <f>IF(N1541&lt;=1,9,9+0.8*ROUNDUP(N1541-1,0))</f>
        <v>9</v>
      </c>
      <c r="AA1541" s="11">
        <v>-2</v>
      </c>
      <c r="AB1541" s="11">
        <v>0</v>
      </c>
      <c r="AC1541" s="11">
        <v>0</v>
      </c>
      <c r="AD1541" s="11">
        <v>0</v>
      </c>
      <c r="AE1541" s="11">
        <v>0</v>
      </c>
      <c r="AF1541" s="11">
        <f t="shared" si="72"/>
        <v>0.42</v>
      </c>
      <c r="AG1541" s="11">
        <f t="shared" si="73"/>
        <v>7.42</v>
      </c>
      <c r="AH1541" s="11">
        <v>0</v>
      </c>
      <c r="AI1541" s="11">
        <f t="shared" si="74"/>
        <v>7.42</v>
      </c>
      <c r="AJ1541" t="s">
        <v>62</v>
      </c>
    </row>
    <row r="1542" spans="1:36" ht="15" customHeight="1" x14ac:dyDescent="0.35">
      <c r="A1542">
        <v>10428918</v>
      </c>
      <c r="B1542" t="s">
        <v>36</v>
      </c>
      <c r="C1542" t="s">
        <v>37</v>
      </c>
      <c r="D1542" s="6" t="s">
        <v>38</v>
      </c>
      <c r="E1542" t="s">
        <v>4586</v>
      </c>
      <c r="F1542" t="s">
        <v>40</v>
      </c>
      <c r="G1542" t="s">
        <v>41</v>
      </c>
      <c r="H1542" t="s">
        <v>4587</v>
      </c>
      <c r="I1542" t="s">
        <v>43</v>
      </c>
      <c r="J1542">
        <v>2</v>
      </c>
      <c r="K1542" t="s">
        <v>44</v>
      </c>
      <c r="L1542" t="s">
        <v>45</v>
      </c>
      <c r="M1542" t="s">
        <v>46</v>
      </c>
      <c r="N1542" s="7">
        <v>1</v>
      </c>
      <c r="O1542" s="8">
        <v>45636.50440972222</v>
      </c>
      <c r="P1542" s="9">
        <v>45638</v>
      </c>
      <c r="Q1542" t="s">
        <v>74</v>
      </c>
      <c r="R1542" t="s">
        <v>48</v>
      </c>
      <c r="S1542" t="s">
        <v>49</v>
      </c>
      <c r="T1542" t="s">
        <v>161</v>
      </c>
      <c r="U1542" t="s">
        <v>4588</v>
      </c>
      <c r="V1542">
        <v>11800</v>
      </c>
      <c r="W1542" t="s">
        <v>48</v>
      </c>
      <c r="X1542" t="s">
        <v>1973</v>
      </c>
      <c r="Y1542" t="s">
        <v>54</v>
      </c>
      <c r="Z1542" s="12">
        <f>IF(N1542&lt;=1,9,9+0.8*ROUNDUP(N1542-1,0))</f>
        <v>9</v>
      </c>
      <c r="AA1542" s="11">
        <v>-2</v>
      </c>
      <c r="AB1542" s="11">
        <v>0</v>
      </c>
      <c r="AC1542" s="11">
        <v>0</v>
      </c>
      <c r="AD1542" s="11">
        <v>0</v>
      </c>
      <c r="AE1542" s="11">
        <v>0</v>
      </c>
      <c r="AF1542" s="11">
        <f t="shared" si="72"/>
        <v>0.42</v>
      </c>
      <c r="AG1542" s="11">
        <f t="shared" si="73"/>
        <v>7.42</v>
      </c>
      <c r="AH1542" s="11">
        <v>0</v>
      </c>
      <c r="AI1542" s="11">
        <f t="shared" si="74"/>
        <v>7.42</v>
      </c>
      <c r="AJ1542" t="s">
        <v>62</v>
      </c>
    </row>
    <row r="1543" spans="1:36" ht="15" customHeight="1" x14ac:dyDescent="0.35">
      <c r="A1543">
        <v>10428918</v>
      </c>
      <c r="B1543" t="s">
        <v>36</v>
      </c>
      <c r="C1543" t="s">
        <v>37</v>
      </c>
      <c r="D1543" s="6" t="s">
        <v>38</v>
      </c>
      <c r="E1543" t="s">
        <v>4589</v>
      </c>
      <c r="F1543" t="s">
        <v>40</v>
      </c>
      <c r="G1543" t="s">
        <v>41</v>
      </c>
      <c r="H1543" t="s">
        <v>4590</v>
      </c>
      <c r="I1543" t="s">
        <v>43</v>
      </c>
      <c r="J1543">
        <v>2</v>
      </c>
      <c r="K1543" t="s">
        <v>44</v>
      </c>
      <c r="L1543" t="s">
        <v>45</v>
      </c>
      <c r="M1543" t="s">
        <v>46</v>
      </c>
      <c r="N1543" s="7">
        <v>1</v>
      </c>
      <c r="O1543" s="8">
        <v>45636.864814814813</v>
      </c>
      <c r="P1543" s="9">
        <v>45638</v>
      </c>
      <c r="Q1543" t="s">
        <v>74</v>
      </c>
      <c r="R1543" t="s">
        <v>48</v>
      </c>
      <c r="S1543" t="s">
        <v>49</v>
      </c>
      <c r="T1543" t="s">
        <v>90</v>
      </c>
      <c r="U1543" t="s">
        <v>4591</v>
      </c>
      <c r="V1543">
        <v>22200</v>
      </c>
      <c r="W1543" t="s">
        <v>48</v>
      </c>
      <c r="X1543" t="s">
        <v>61</v>
      </c>
      <c r="Y1543" t="s">
        <v>54</v>
      </c>
      <c r="Z1543" s="12">
        <f>IF(N1543&lt;=1,9,9+0.8*ROUNDUP(N1543-1,0))</f>
        <v>9</v>
      </c>
      <c r="AA1543" s="11">
        <v>-2</v>
      </c>
      <c r="AB1543" s="11">
        <v>0</v>
      </c>
      <c r="AC1543" s="11">
        <v>0</v>
      </c>
      <c r="AD1543" s="11">
        <v>0</v>
      </c>
      <c r="AE1543" s="11">
        <v>0</v>
      </c>
      <c r="AF1543" s="11">
        <f t="shared" si="72"/>
        <v>0.42</v>
      </c>
      <c r="AG1543" s="11">
        <f t="shared" si="73"/>
        <v>7.42</v>
      </c>
      <c r="AH1543" s="11">
        <v>0</v>
      </c>
      <c r="AI1543" s="11">
        <f t="shared" si="74"/>
        <v>7.42</v>
      </c>
      <c r="AJ1543" t="s">
        <v>62</v>
      </c>
    </row>
    <row r="1544" spans="1:36" ht="15" customHeight="1" x14ac:dyDescent="0.35">
      <c r="A1544">
        <v>10428918</v>
      </c>
      <c r="B1544" t="s">
        <v>36</v>
      </c>
      <c r="C1544" t="s">
        <v>37</v>
      </c>
      <c r="D1544" s="6" t="s">
        <v>38</v>
      </c>
      <c r="E1544" t="s">
        <v>4592</v>
      </c>
      <c r="F1544" t="s">
        <v>40</v>
      </c>
      <c r="G1544" t="s">
        <v>41</v>
      </c>
      <c r="H1544" t="s">
        <v>4593</v>
      </c>
      <c r="I1544" t="s">
        <v>43</v>
      </c>
      <c r="J1544">
        <v>2</v>
      </c>
      <c r="K1544" t="s">
        <v>44</v>
      </c>
      <c r="L1544" t="s">
        <v>45</v>
      </c>
      <c r="M1544" t="s">
        <v>46</v>
      </c>
      <c r="N1544" s="7">
        <v>3</v>
      </c>
      <c r="O1544" s="8">
        <v>45636.862002314818</v>
      </c>
      <c r="P1544" s="9">
        <v>45638</v>
      </c>
      <c r="Q1544" t="s">
        <v>74</v>
      </c>
      <c r="R1544" t="s">
        <v>48</v>
      </c>
      <c r="S1544" t="s">
        <v>49</v>
      </c>
      <c r="T1544" t="s">
        <v>117</v>
      </c>
      <c r="U1544" t="s">
        <v>4594</v>
      </c>
      <c r="V1544">
        <v>68100</v>
      </c>
      <c r="W1544" t="s">
        <v>48</v>
      </c>
      <c r="X1544" t="s">
        <v>350</v>
      </c>
      <c r="Y1544" t="s">
        <v>54</v>
      </c>
      <c r="Z1544" s="12">
        <f>IF(N1544&lt;=1,9,9+0.8*ROUNDUP(N1544-1,0))</f>
        <v>10.6</v>
      </c>
      <c r="AA1544" s="11">
        <v>-2</v>
      </c>
      <c r="AB1544" s="11">
        <v>0</v>
      </c>
      <c r="AC1544" s="11">
        <v>0</v>
      </c>
      <c r="AD1544" s="11">
        <v>0</v>
      </c>
      <c r="AE1544" s="11">
        <v>0</v>
      </c>
      <c r="AF1544" s="11">
        <f t="shared" si="72"/>
        <v>0.51600000000000001</v>
      </c>
      <c r="AG1544" s="11">
        <f t="shared" si="73"/>
        <v>9.1159999999999997</v>
      </c>
      <c r="AH1544" s="11">
        <v>0</v>
      </c>
      <c r="AI1544" s="11">
        <f t="shared" si="74"/>
        <v>9.1159999999999997</v>
      </c>
      <c r="AJ1544" t="s">
        <v>62</v>
      </c>
    </row>
    <row r="1545" spans="1:36" ht="15" customHeight="1" x14ac:dyDescent="0.35">
      <c r="A1545">
        <v>10428918</v>
      </c>
      <c r="B1545" t="s">
        <v>36</v>
      </c>
      <c r="C1545" t="s">
        <v>37</v>
      </c>
      <c r="D1545" s="6" t="s">
        <v>38</v>
      </c>
      <c r="E1545" t="s">
        <v>4595</v>
      </c>
      <c r="F1545" t="s">
        <v>40</v>
      </c>
      <c r="G1545" t="s">
        <v>41</v>
      </c>
      <c r="H1545" t="s">
        <v>4596</v>
      </c>
      <c r="I1545" t="s">
        <v>43</v>
      </c>
      <c r="J1545">
        <v>2</v>
      </c>
      <c r="K1545" t="s">
        <v>44</v>
      </c>
      <c r="L1545" t="s">
        <v>45</v>
      </c>
      <c r="M1545" t="s">
        <v>46</v>
      </c>
      <c r="N1545" s="7">
        <v>1</v>
      </c>
      <c r="O1545" s="8">
        <v>45636.440370370372</v>
      </c>
      <c r="P1545" s="9">
        <v>45638</v>
      </c>
      <c r="Q1545" t="s">
        <v>74</v>
      </c>
      <c r="R1545" t="s">
        <v>48</v>
      </c>
      <c r="S1545" t="s">
        <v>49</v>
      </c>
      <c r="T1545" t="s">
        <v>117</v>
      </c>
      <c r="U1545" t="s">
        <v>4597</v>
      </c>
      <c r="V1545">
        <v>47600</v>
      </c>
      <c r="W1545" t="s">
        <v>48</v>
      </c>
      <c r="X1545" t="s">
        <v>473</v>
      </c>
      <c r="Y1545" t="s">
        <v>54</v>
      </c>
      <c r="Z1545" s="12">
        <f>IF(N1545&lt;=1,9,9+0.8*ROUNDUP(N1545-1,0))</f>
        <v>9</v>
      </c>
      <c r="AA1545" s="11">
        <v>-2</v>
      </c>
      <c r="AB1545" s="11">
        <v>0</v>
      </c>
      <c r="AC1545" s="11">
        <v>0</v>
      </c>
      <c r="AD1545" s="11">
        <v>0</v>
      </c>
      <c r="AE1545" s="11">
        <v>0</v>
      </c>
      <c r="AF1545" s="11">
        <f t="shared" si="72"/>
        <v>0.42</v>
      </c>
      <c r="AG1545" s="11">
        <f t="shared" si="73"/>
        <v>7.42</v>
      </c>
      <c r="AH1545" s="11">
        <v>0</v>
      </c>
      <c r="AI1545" s="11">
        <f t="shared" si="74"/>
        <v>7.42</v>
      </c>
      <c r="AJ1545" t="s">
        <v>62</v>
      </c>
    </row>
    <row r="1546" spans="1:36" ht="15" customHeight="1" x14ac:dyDescent="0.35">
      <c r="A1546">
        <v>10428918</v>
      </c>
      <c r="B1546" t="s">
        <v>36</v>
      </c>
      <c r="C1546" t="s">
        <v>37</v>
      </c>
      <c r="D1546" s="6" t="s">
        <v>38</v>
      </c>
      <c r="E1546" t="s">
        <v>4598</v>
      </c>
      <c r="F1546" t="s">
        <v>40</v>
      </c>
      <c r="G1546" t="s">
        <v>41</v>
      </c>
      <c r="H1546" t="s">
        <v>4599</v>
      </c>
      <c r="I1546" t="s">
        <v>43</v>
      </c>
      <c r="J1546">
        <v>2</v>
      </c>
      <c r="K1546" t="s">
        <v>44</v>
      </c>
      <c r="L1546" t="s">
        <v>45</v>
      </c>
      <c r="M1546" t="s">
        <v>46</v>
      </c>
      <c r="N1546" s="7">
        <v>1</v>
      </c>
      <c r="O1546" s="8">
        <v>45636.401226851849</v>
      </c>
      <c r="P1546" s="9">
        <v>45638</v>
      </c>
      <c r="Q1546" t="s">
        <v>74</v>
      </c>
      <c r="R1546" t="s">
        <v>48</v>
      </c>
      <c r="S1546" t="s">
        <v>49</v>
      </c>
      <c r="T1546" t="s">
        <v>75</v>
      </c>
      <c r="U1546" t="s">
        <v>4600</v>
      </c>
      <c r="V1546">
        <v>27020</v>
      </c>
      <c r="W1546" t="s">
        <v>48</v>
      </c>
      <c r="X1546" t="s">
        <v>77</v>
      </c>
      <c r="Y1546" t="s">
        <v>54</v>
      </c>
      <c r="Z1546" s="12">
        <f>IF(N1546&lt;=1,9,9+0.8*ROUNDUP(N1546-1,0))</f>
        <v>9</v>
      </c>
      <c r="AA1546" s="11">
        <v>-2</v>
      </c>
      <c r="AB1546" s="11">
        <v>0</v>
      </c>
      <c r="AC1546" s="11">
        <v>0</v>
      </c>
      <c r="AD1546" s="11">
        <v>0</v>
      </c>
      <c r="AE1546" s="11">
        <v>0</v>
      </c>
      <c r="AF1546" s="11">
        <f t="shared" si="72"/>
        <v>0.42</v>
      </c>
      <c r="AG1546" s="11">
        <f t="shared" si="73"/>
        <v>7.42</v>
      </c>
      <c r="AH1546" s="11">
        <v>0</v>
      </c>
      <c r="AI1546" s="11">
        <f t="shared" si="74"/>
        <v>7.42</v>
      </c>
      <c r="AJ1546" t="s">
        <v>62</v>
      </c>
    </row>
    <row r="1547" spans="1:36" ht="15" customHeight="1" x14ac:dyDescent="0.35">
      <c r="A1547">
        <v>10428918</v>
      </c>
      <c r="B1547" t="s">
        <v>36</v>
      </c>
      <c r="C1547" t="s">
        <v>37</v>
      </c>
      <c r="D1547" s="6" t="s">
        <v>38</v>
      </c>
      <c r="E1547" t="s">
        <v>4601</v>
      </c>
      <c r="F1547" t="s">
        <v>40</v>
      </c>
      <c r="G1547" t="s">
        <v>41</v>
      </c>
      <c r="H1547" t="s">
        <v>4602</v>
      </c>
      <c r="I1547" t="s">
        <v>43</v>
      </c>
      <c r="J1547">
        <v>2</v>
      </c>
      <c r="K1547" t="s">
        <v>44</v>
      </c>
      <c r="L1547" t="s">
        <v>45</v>
      </c>
      <c r="M1547" t="s">
        <v>46</v>
      </c>
      <c r="N1547" s="7">
        <v>2</v>
      </c>
      <c r="O1547" s="8">
        <v>45637.722708333335</v>
      </c>
      <c r="P1547" s="9">
        <v>45638</v>
      </c>
      <c r="Q1547" t="s">
        <v>74</v>
      </c>
      <c r="R1547" t="s">
        <v>48</v>
      </c>
      <c r="S1547" t="s">
        <v>49</v>
      </c>
      <c r="T1547" t="s">
        <v>117</v>
      </c>
      <c r="U1547" t="s">
        <v>4603</v>
      </c>
      <c r="V1547">
        <v>47820</v>
      </c>
      <c r="W1547" t="s">
        <v>48</v>
      </c>
      <c r="X1547" t="s">
        <v>187</v>
      </c>
      <c r="Y1547" t="s">
        <v>54</v>
      </c>
      <c r="Z1547" s="12">
        <f>IF(N1547&lt;=1,9,9+0.8*ROUNDUP(N1547-1,0))</f>
        <v>9.8000000000000007</v>
      </c>
      <c r="AA1547" s="11">
        <v>-2</v>
      </c>
      <c r="AB1547" s="11">
        <v>0</v>
      </c>
      <c r="AC1547" s="11">
        <v>0</v>
      </c>
      <c r="AD1547" s="11">
        <v>0</v>
      </c>
      <c r="AE1547" s="11">
        <v>0</v>
      </c>
      <c r="AF1547" s="11">
        <f t="shared" si="72"/>
        <v>0.46800000000000003</v>
      </c>
      <c r="AG1547" s="11">
        <f t="shared" si="73"/>
        <v>8.2680000000000007</v>
      </c>
      <c r="AH1547" s="11">
        <v>0</v>
      </c>
      <c r="AI1547" s="11">
        <f t="shared" si="74"/>
        <v>8.2680000000000007</v>
      </c>
      <c r="AJ1547" t="s">
        <v>62</v>
      </c>
    </row>
    <row r="1548" spans="1:36" ht="15" customHeight="1" x14ac:dyDescent="0.35">
      <c r="A1548">
        <v>10428918</v>
      </c>
      <c r="B1548" t="s">
        <v>36</v>
      </c>
      <c r="C1548" t="s">
        <v>37</v>
      </c>
      <c r="D1548" s="6" t="s">
        <v>38</v>
      </c>
      <c r="E1548" t="s">
        <v>4604</v>
      </c>
      <c r="F1548" t="s">
        <v>40</v>
      </c>
      <c r="G1548" t="s">
        <v>41</v>
      </c>
      <c r="H1548" t="s">
        <v>4605</v>
      </c>
      <c r="I1548" t="s">
        <v>43</v>
      </c>
      <c r="J1548">
        <v>2</v>
      </c>
      <c r="K1548" t="s">
        <v>44</v>
      </c>
      <c r="L1548" t="s">
        <v>45</v>
      </c>
      <c r="M1548" t="s">
        <v>46</v>
      </c>
      <c r="N1548" s="7">
        <v>1</v>
      </c>
      <c r="O1548" s="8">
        <v>45637.747627314813</v>
      </c>
      <c r="P1548" s="9">
        <v>45638</v>
      </c>
      <c r="Q1548" t="s">
        <v>74</v>
      </c>
      <c r="R1548" t="s">
        <v>48</v>
      </c>
      <c r="S1548" t="s">
        <v>49</v>
      </c>
      <c r="T1548" t="s">
        <v>90</v>
      </c>
      <c r="U1548" t="s">
        <v>4606</v>
      </c>
      <c r="V1548">
        <v>21450</v>
      </c>
      <c r="W1548" t="s">
        <v>48</v>
      </c>
      <c r="X1548" t="s">
        <v>92</v>
      </c>
      <c r="Y1548" t="s">
        <v>54</v>
      </c>
      <c r="Z1548" s="12">
        <f>IF(N1548&lt;=1,9,9+0.8*ROUNDUP(N1548-1,0))</f>
        <v>9</v>
      </c>
      <c r="AA1548" s="11">
        <v>-2</v>
      </c>
      <c r="AB1548" s="11">
        <v>0</v>
      </c>
      <c r="AC1548" s="11">
        <v>0</v>
      </c>
      <c r="AD1548" s="11">
        <v>0</v>
      </c>
      <c r="AE1548" s="11">
        <v>0</v>
      </c>
      <c r="AF1548" s="11">
        <f t="shared" si="72"/>
        <v>0.42</v>
      </c>
      <c r="AG1548" s="11">
        <f t="shared" si="73"/>
        <v>7.42</v>
      </c>
      <c r="AH1548" s="11">
        <v>0</v>
      </c>
      <c r="AI1548" s="11">
        <f t="shared" si="74"/>
        <v>7.42</v>
      </c>
      <c r="AJ1548" t="s">
        <v>62</v>
      </c>
    </row>
    <row r="1549" spans="1:36" ht="15" customHeight="1" x14ac:dyDescent="0.35">
      <c r="A1549">
        <v>10428918</v>
      </c>
      <c r="B1549" t="s">
        <v>36</v>
      </c>
      <c r="C1549" t="s">
        <v>37</v>
      </c>
      <c r="D1549" s="6" t="s">
        <v>38</v>
      </c>
      <c r="E1549" t="s">
        <v>4607</v>
      </c>
      <c r="F1549" t="s">
        <v>40</v>
      </c>
      <c r="G1549" t="s">
        <v>41</v>
      </c>
      <c r="H1549" t="s">
        <v>4608</v>
      </c>
      <c r="I1549" t="s">
        <v>43</v>
      </c>
      <c r="J1549">
        <v>2</v>
      </c>
      <c r="K1549" t="s">
        <v>44</v>
      </c>
      <c r="L1549" t="s">
        <v>45</v>
      </c>
      <c r="M1549" t="s">
        <v>46</v>
      </c>
      <c r="N1549" s="7">
        <v>1</v>
      </c>
      <c r="O1549" s="8">
        <v>45636.43440972222</v>
      </c>
      <c r="P1549" s="9">
        <v>45638</v>
      </c>
      <c r="Q1549" t="s">
        <v>74</v>
      </c>
      <c r="R1549" t="s">
        <v>48</v>
      </c>
      <c r="S1549" t="s">
        <v>49</v>
      </c>
      <c r="T1549" t="s">
        <v>101</v>
      </c>
      <c r="U1549" t="s">
        <v>4609</v>
      </c>
      <c r="V1549">
        <v>32000</v>
      </c>
      <c r="W1549" t="s">
        <v>48</v>
      </c>
      <c r="X1549" t="s">
        <v>53</v>
      </c>
      <c r="Y1549" t="s">
        <v>54</v>
      </c>
      <c r="Z1549" s="12">
        <f>IF(N1549&lt;=1,9,9+0.8*ROUNDUP(N1549-1,0))</f>
        <v>9</v>
      </c>
      <c r="AA1549" s="11">
        <v>-2</v>
      </c>
      <c r="AB1549" s="11">
        <v>0</v>
      </c>
      <c r="AC1549" s="11">
        <v>0</v>
      </c>
      <c r="AD1549" s="11">
        <v>0</v>
      </c>
      <c r="AE1549" s="11">
        <v>0</v>
      </c>
      <c r="AF1549" s="11">
        <f t="shared" si="72"/>
        <v>0.42</v>
      </c>
      <c r="AG1549" s="11">
        <f t="shared" si="73"/>
        <v>7.42</v>
      </c>
      <c r="AH1549" s="11">
        <v>0</v>
      </c>
      <c r="AI1549" s="11">
        <f t="shared" si="74"/>
        <v>7.42</v>
      </c>
      <c r="AJ1549" t="s">
        <v>62</v>
      </c>
    </row>
    <row r="1550" spans="1:36" ht="15" customHeight="1" x14ac:dyDescent="0.35">
      <c r="A1550">
        <v>10428918</v>
      </c>
      <c r="B1550" t="s">
        <v>36</v>
      </c>
      <c r="C1550" t="s">
        <v>37</v>
      </c>
      <c r="D1550" s="6" t="s">
        <v>38</v>
      </c>
      <c r="E1550" t="s">
        <v>4610</v>
      </c>
      <c r="F1550" t="s">
        <v>40</v>
      </c>
      <c r="G1550" t="s">
        <v>41</v>
      </c>
      <c r="H1550" t="s">
        <v>4611</v>
      </c>
      <c r="I1550" t="s">
        <v>43</v>
      </c>
      <c r="J1550">
        <v>2</v>
      </c>
      <c r="K1550" t="s">
        <v>44</v>
      </c>
      <c r="L1550" t="s">
        <v>45</v>
      </c>
      <c r="M1550" t="s">
        <v>46</v>
      </c>
      <c r="N1550" s="7">
        <v>1</v>
      </c>
      <c r="O1550" s="8">
        <v>45637.506979166668</v>
      </c>
      <c r="P1550" s="9">
        <v>45638</v>
      </c>
      <c r="Q1550" t="s">
        <v>74</v>
      </c>
      <c r="R1550" t="s">
        <v>48</v>
      </c>
      <c r="S1550" t="s">
        <v>49</v>
      </c>
      <c r="T1550" t="s">
        <v>59</v>
      </c>
      <c r="U1550" t="s">
        <v>4612</v>
      </c>
      <c r="V1550">
        <v>18300</v>
      </c>
      <c r="W1550" t="s">
        <v>48</v>
      </c>
      <c r="X1550" t="s">
        <v>61</v>
      </c>
      <c r="Y1550" t="s">
        <v>54</v>
      </c>
      <c r="Z1550" s="12">
        <f>IF(N1550&lt;=1,9,9+0.8*ROUNDUP(N1550-1,0))</f>
        <v>9</v>
      </c>
      <c r="AA1550" s="11">
        <v>-2</v>
      </c>
      <c r="AB1550" s="11">
        <v>0</v>
      </c>
      <c r="AC1550" s="11">
        <v>0</v>
      </c>
      <c r="AD1550" s="11">
        <v>0</v>
      </c>
      <c r="AE1550" s="11">
        <v>0</v>
      </c>
      <c r="AF1550" s="11">
        <f t="shared" si="72"/>
        <v>0.42</v>
      </c>
      <c r="AG1550" s="11">
        <f t="shared" si="73"/>
        <v>7.42</v>
      </c>
      <c r="AH1550" s="11">
        <v>0</v>
      </c>
      <c r="AI1550" s="11">
        <f t="shared" si="74"/>
        <v>7.42</v>
      </c>
      <c r="AJ1550" t="s">
        <v>62</v>
      </c>
    </row>
    <row r="1551" spans="1:36" ht="15" customHeight="1" x14ac:dyDescent="0.35">
      <c r="A1551">
        <v>10428918</v>
      </c>
      <c r="B1551" t="s">
        <v>36</v>
      </c>
      <c r="C1551" t="s">
        <v>37</v>
      </c>
      <c r="D1551" s="6" t="s">
        <v>38</v>
      </c>
      <c r="E1551" t="s">
        <v>4613</v>
      </c>
      <c r="F1551" t="s">
        <v>40</v>
      </c>
      <c r="G1551" t="s">
        <v>41</v>
      </c>
      <c r="H1551" t="s">
        <v>4614</v>
      </c>
      <c r="I1551" t="s">
        <v>43</v>
      </c>
      <c r="J1551">
        <v>2</v>
      </c>
      <c r="K1551" t="s">
        <v>44</v>
      </c>
      <c r="L1551" t="s">
        <v>45</v>
      </c>
      <c r="M1551" t="s">
        <v>46</v>
      </c>
      <c r="N1551" s="7">
        <v>1</v>
      </c>
      <c r="O1551" s="8">
        <v>45637.426724537036</v>
      </c>
      <c r="P1551" s="9">
        <v>45638</v>
      </c>
      <c r="Q1551" t="s">
        <v>74</v>
      </c>
      <c r="R1551" t="s">
        <v>48</v>
      </c>
      <c r="S1551" t="s">
        <v>49</v>
      </c>
      <c r="T1551" t="s">
        <v>59</v>
      </c>
      <c r="U1551" t="s">
        <v>4615</v>
      </c>
      <c r="V1551">
        <v>16450</v>
      </c>
      <c r="W1551" t="s">
        <v>48</v>
      </c>
      <c r="X1551" t="s">
        <v>61</v>
      </c>
      <c r="Y1551" t="s">
        <v>54</v>
      </c>
      <c r="Z1551" s="12">
        <f>IF(N1551&lt;=1,9,9+0.8*ROUNDUP(N1551-1,0))</f>
        <v>9</v>
      </c>
      <c r="AA1551" s="11">
        <v>-2</v>
      </c>
      <c r="AB1551" s="11">
        <v>0</v>
      </c>
      <c r="AC1551" s="11">
        <v>0</v>
      </c>
      <c r="AD1551" s="11">
        <v>0</v>
      </c>
      <c r="AE1551" s="11">
        <v>0</v>
      </c>
      <c r="AF1551" s="11">
        <f t="shared" si="72"/>
        <v>0.42</v>
      </c>
      <c r="AG1551" s="11">
        <f t="shared" si="73"/>
        <v>7.42</v>
      </c>
      <c r="AH1551" s="11">
        <v>0</v>
      </c>
      <c r="AI1551" s="11">
        <f t="shared" si="74"/>
        <v>7.42</v>
      </c>
      <c r="AJ1551" t="s">
        <v>62</v>
      </c>
    </row>
    <row r="1552" spans="1:36" ht="15" customHeight="1" x14ac:dyDescent="0.35">
      <c r="A1552">
        <v>10428918</v>
      </c>
      <c r="B1552" t="s">
        <v>36</v>
      </c>
      <c r="C1552" t="s">
        <v>37</v>
      </c>
      <c r="D1552" s="6" t="s">
        <v>38</v>
      </c>
      <c r="E1552" t="s">
        <v>4616</v>
      </c>
      <c r="F1552" t="s">
        <v>40</v>
      </c>
      <c r="G1552" t="s">
        <v>41</v>
      </c>
      <c r="H1552" t="s">
        <v>4617</v>
      </c>
      <c r="I1552" t="s">
        <v>43</v>
      </c>
      <c r="J1552">
        <v>2</v>
      </c>
      <c r="K1552" t="s">
        <v>44</v>
      </c>
      <c r="L1552" t="s">
        <v>45</v>
      </c>
      <c r="M1552" t="s">
        <v>46</v>
      </c>
      <c r="N1552" s="7">
        <v>1</v>
      </c>
      <c r="O1552" s="8">
        <v>45637.426736111112</v>
      </c>
      <c r="P1552" s="9">
        <v>45638</v>
      </c>
      <c r="Q1552" t="s">
        <v>74</v>
      </c>
      <c r="R1552" t="s">
        <v>48</v>
      </c>
      <c r="S1552" t="s">
        <v>49</v>
      </c>
      <c r="T1552" t="s">
        <v>75</v>
      </c>
      <c r="U1552" t="s">
        <v>4618</v>
      </c>
      <c r="V1552">
        <v>69000</v>
      </c>
      <c r="W1552" t="s">
        <v>48</v>
      </c>
      <c r="X1552" t="s">
        <v>350</v>
      </c>
      <c r="Y1552" t="s">
        <v>54</v>
      </c>
      <c r="Z1552" s="12">
        <f>IF(N1552&lt;=1,9,9+0.8*ROUNDUP(N1552-1,0))</f>
        <v>9</v>
      </c>
      <c r="AA1552" s="11">
        <v>-2</v>
      </c>
      <c r="AB1552" s="11">
        <v>0</v>
      </c>
      <c r="AC1552" s="11">
        <v>0</v>
      </c>
      <c r="AD1552" s="11">
        <v>0</v>
      </c>
      <c r="AE1552" s="11">
        <v>0</v>
      </c>
      <c r="AF1552" s="11">
        <f t="shared" si="72"/>
        <v>0.42</v>
      </c>
      <c r="AG1552" s="11">
        <f t="shared" si="73"/>
        <v>7.42</v>
      </c>
      <c r="AH1552" s="11">
        <v>0</v>
      </c>
      <c r="AI1552" s="11">
        <f t="shared" si="74"/>
        <v>7.42</v>
      </c>
      <c r="AJ1552" t="s">
        <v>62</v>
      </c>
    </row>
    <row r="1553" spans="1:36" ht="15" customHeight="1" x14ac:dyDescent="0.35">
      <c r="A1553">
        <v>10428918</v>
      </c>
      <c r="B1553" t="s">
        <v>36</v>
      </c>
      <c r="C1553" t="s">
        <v>37</v>
      </c>
      <c r="D1553" s="6" t="s">
        <v>38</v>
      </c>
      <c r="E1553" t="s">
        <v>4619</v>
      </c>
      <c r="F1553" t="s">
        <v>40</v>
      </c>
      <c r="G1553" t="s">
        <v>41</v>
      </c>
      <c r="H1553" t="s">
        <v>97</v>
      </c>
      <c r="I1553" t="s">
        <v>43</v>
      </c>
      <c r="J1553">
        <v>2</v>
      </c>
      <c r="K1553" t="s">
        <v>44</v>
      </c>
      <c r="L1553" t="s">
        <v>45</v>
      </c>
      <c r="M1553" t="s">
        <v>46</v>
      </c>
      <c r="N1553" s="7">
        <v>1</v>
      </c>
      <c r="O1553" s="8">
        <v>45637.544791666667</v>
      </c>
      <c r="P1553" s="9">
        <v>45638</v>
      </c>
      <c r="Q1553" t="s">
        <v>74</v>
      </c>
      <c r="R1553" t="s">
        <v>48</v>
      </c>
      <c r="S1553" t="s">
        <v>49</v>
      </c>
      <c r="T1553" t="s">
        <v>75</v>
      </c>
      <c r="U1553" t="s">
        <v>4620</v>
      </c>
      <c r="V1553">
        <v>25300</v>
      </c>
      <c r="W1553" t="s">
        <v>48</v>
      </c>
      <c r="X1553" t="s">
        <v>77</v>
      </c>
      <c r="Y1553" t="s">
        <v>54</v>
      </c>
      <c r="Z1553" s="12">
        <f>IF(N1553&lt;=1,9,9+0.8*ROUNDUP(N1553-1,0))</f>
        <v>9</v>
      </c>
      <c r="AA1553" s="11">
        <v>-2</v>
      </c>
      <c r="AB1553" s="11">
        <v>0</v>
      </c>
      <c r="AC1553" s="11">
        <v>0</v>
      </c>
      <c r="AD1553" s="11">
        <v>0</v>
      </c>
      <c r="AE1553" s="11">
        <v>0</v>
      </c>
      <c r="AF1553" s="11">
        <f t="shared" si="72"/>
        <v>0.42</v>
      </c>
      <c r="AG1553" s="11">
        <f t="shared" si="73"/>
        <v>7.42</v>
      </c>
      <c r="AH1553" s="11">
        <v>0</v>
      </c>
      <c r="AI1553" s="11">
        <f t="shared" si="74"/>
        <v>7.42</v>
      </c>
      <c r="AJ1553" t="s">
        <v>62</v>
      </c>
    </row>
    <row r="1554" spans="1:36" ht="15" customHeight="1" x14ac:dyDescent="0.35">
      <c r="A1554">
        <v>10428918</v>
      </c>
      <c r="B1554" t="s">
        <v>36</v>
      </c>
      <c r="C1554" t="s">
        <v>37</v>
      </c>
      <c r="D1554" s="6" t="s">
        <v>38</v>
      </c>
      <c r="E1554" t="s">
        <v>4621</v>
      </c>
      <c r="F1554" t="s">
        <v>40</v>
      </c>
      <c r="G1554" t="s">
        <v>41</v>
      </c>
      <c r="H1554" t="s">
        <v>1959</v>
      </c>
      <c r="I1554" t="s">
        <v>43</v>
      </c>
      <c r="J1554">
        <v>2</v>
      </c>
      <c r="K1554" t="s">
        <v>44</v>
      </c>
      <c r="L1554" t="s">
        <v>45</v>
      </c>
      <c r="M1554" t="s">
        <v>46</v>
      </c>
      <c r="N1554" s="7">
        <v>2</v>
      </c>
      <c r="O1554" s="8">
        <v>45637.419293981482</v>
      </c>
      <c r="P1554" s="9">
        <v>45638</v>
      </c>
      <c r="Q1554" t="s">
        <v>74</v>
      </c>
      <c r="R1554" t="s">
        <v>48</v>
      </c>
      <c r="S1554" t="s">
        <v>49</v>
      </c>
      <c r="T1554" t="s">
        <v>75</v>
      </c>
      <c r="U1554" t="s">
        <v>1960</v>
      </c>
      <c r="V1554">
        <v>25200</v>
      </c>
      <c r="W1554" t="s">
        <v>48</v>
      </c>
      <c r="X1554" t="s">
        <v>77</v>
      </c>
      <c r="Y1554" t="s">
        <v>54</v>
      </c>
      <c r="Z1554" s="12">
        <f>IF(N1554&lt;=1,9,9+0.8*ROUNDUP(N1554-1,0))</f>
        <v>9.8000000000000007</v>
      </c>
      <c r="AA1554" s="11">
        <v>-2</v>
      </c>
      <c r="AB1554" s="11">
        <v>0</v>
      </c>
      <c r="AC1554" s="11">
        <v>0</v>
      </c>
      <c r="AD1554" s="11">
        <v>0</v>
      </c>
      <c r="AE1554" s="11">
        <v>0</v>
      </c>
      <c r="AF1554" s="11">
        <f t="shared" si="72"/>
        <v>0.46800000000000003</v>
      </c>
      <c r="AG1554" s="11">
        <f t="shared" si="73"/>
        <v>8.2680000000000007</v>
      </c>
      <c r="AH1554" s="11">
        <v>0</v>
      </c>
      <c r="AI1554" s="11">
        <f t="shared" si="74"/>
        <v>8.2680000000000007</v>
      </c>
      <c r="AJ1554" t="s">
        <v>62</v>
      </c>
    </row>
    <row r="1555" spans="1:36" ht="15" customHeight="1" x14ac:dyDescent="0.35">
      <c r="A1555">
        <v>10428918</v>
      </c>
      <c r="B1555" t="s">
        <v>36</v>
      </c>
      <c r="C1555" t="s">
        <v>37</v>
      </c>
      <c r="D1555" s="6" t="s">
        <v>38</v>
      </c>
      <c r="E1555" t="s">
        <v>4622</v>
      </c>
      <c r="F1555" t="s">
        <v>40</v>
      </c>
      <c r="G1555" t="s">
        <v>41</v>
      </c>
      <c r="H1555" t="s">
        <v>4623</v>
      </c>
      <c r="I1555" t="s">
        <v>43</v>
      </c>
      <c r="J1555">
        <v>2</v>
      </c>
      <c r="K1555" t="s">
        <v>44</v>
      </c>
      <c r="L1555" t="s">
        <v>45</v>
      </c>
      <c r="M1555" t="s">
        <v>46</v>
      </c>
      <c r="N1555" s="7">
        <v>1</v>
      </c>
      <c r="O1555" s="8">
        <v>45632.448738425926</v>
      </c>
      <c r="P1555" s="9">
        <v>45638</v>
      </c>
      <c r="Q1555" t="s">
        <v>58</v>
      </c>
      <c r="R1555" t="s">
        <v>48</v>
      </c>
      <c r="S1555" t="s">
        <v>49</v>
      </c>
      <c r="T1555" t="s">
        <v>80</v>
      </c>
      <c r="U1555" t="s">
        <v>4624</v>
      </c>
      <c r="V1555">
        <v>9700</v>
      </c>
      <c r="W1555" t="s">
        <v>48</v>
      </c>
      <c r="X1555" t="s">
        <v>1807</v>
      </c>
      <c r="Y1555" t="s">
        <v>54</v>
      </c>
      <c r="Z1555" s="12">
        <f>IF(N1555&lt;=1,9,9+0.8*ROUNDUP(N1555-1,0))</f>
        <v>9</v>
      </c>
      <c r="AA1555" s="11">
        <v>-2</v>
      </c>
      <c r="AB1555" s="11">
        <v>0</v>
      </c>
      <c r="AC1555" s="11">
        <v>0</v>
      </c>
      <c r="AD1555" s="11">
        <v>0</v>
      </c>
      <c r="AE1555" s="11">
        <v>0</v>
      </c>
      <c r="AF1555" s="11">
        <f t="shared" si="72"/>
        <v>0.42</v>
      </c>
      <c r="AG1555" s="11">
        <f t="shared" si="73"/>
        <v>7.42</v>
      </c>
      <c r="AH1555" s="11">
        <v>0</v>
      </c>
      <c r="AI1555" s="11">
        <f t="shared" si="74"/>
        <v>7.42</v>
      </c>
      <c r="AJ1555" t="s">
        <v>62</v>
      </c>
    </row>
    <row r="1556" spans="1:36" ht="15" customHeight="1" x14ac:dyDescent="0.35">
      <c r="A1556">
        <v>10428918</v>
      </c>
      <c r="B1556" t="s">
        <v>36</v>
      </c>
      <c r="C1556" t="s">
        <v>37</v>
      </c>
      <c r="D1556" s="6" t="s">
        <v>38</v>
      </c>
      <c r="E1556" t="s">
        <v>4625</v>
      </c>
      <c r="F1556" t="s">
        <v>40</v>
      </c>
      <c r="G1556" t="s">
        <v>41</v>
      </c>
      <c r="H1556" t="s">
        <v>4626</v>
      </c>
      <c r="I1556" t="s">
        <v>43</v>
      </c>
      <c r="J1556">
        <v>2</v>
      </c>
      <c r="K1556" t="s">
        <v>44</v>
      </c>
      <c r="L1556" t="s">
        <v>45</v>
      </c>
      <c r="M1556" t="s">
        <v>46</v>
      </c>
      <c r="N1556" s="7">
        <v>1</v>
      </c>
      <c r="O1556" s="8">
        <v>45637.419293981482</v>
      </c>
      <c r="P1556" s="9">
        <v>45638</v>
      </c>
      <c r="Q1556" t="s">
        <v>74</v>
      </c>
      <c r="R1556" t="s">
        <v>48</v>
      </c>
      <c r="S1556" t="s">
        <v>49</v>
      </c>
      <c r="T1556" t="s">
        <v>117</v>
      </c>
      <c r="U1556" t="s">
        <v>4627</v>
      </c>
      <c r="V1556">
        <v>43650</v>
      </c>
      <c r="W1556" t="s">
        <v>48</v>
      </c>
      <c r="X1556" t="s">
        <v>191</v>
      </c>
      <c r="Y1556" t="s">
        <v>54</v>
      </c>
      <c r="Z1556" s="12">
        <f>IF(N1556&lt;=1,9,9+0.8*ROUNDUP(N1556-1,0))</f>
        <v>9</v>
      </c>
      <c r="AA1556" s="11">
        <v>-2</v>
      </c>
      <c r="AB1556" s="11">
        <v>0</v>
      </c>
      <c r="AC1556" s="11">
        <v>0</v>
      </c>
      <c r="AD1556" s="11">
        <v>0</v>
      </c>
      <c r="AE1556" s="11">
        <v>0</v>
      </c>
      <c r="AF1556" s="11">
        <f t="shared" si="72"/>
        <v>0.42</v>
      </c>
      <c r="AG1556" s="11">
        <f t="shared" si="73"/>
        <v>7.42</v>
      </c>
      <c r="AH1556" s="11">
        <v>0</v>
      </c>
      <c r="AI1556" s="11">
        <f t="shared" si="74"/>
        <v>7.42</v>
      </c>
      <c r="AJ1556" t="s">
        <v>62</v>
      </c>
    </row>
    <row r="1557" spans="1:36" ht="15" customHeight="1" x14ac:dyDescent="0.35">
      <c r="A1557">
        <v>10428918</v>
      </c>
      <c r="B1557" t="s">
        <v>36</v>
      </c>
      <c r="C1557" t="s">
        <v>37</v>
      </c>
      <c r="D1557" s="6" t="s">
        <v>38</v>
      </c>
      <c r="E1557" t="s">
        <v>4628</v>
      </c>
      <c r="F1557" t="s">
        <v>40</v>
      </c>
      <c r="G1557" t="s">
        <v>41</v>
      </c>
      <c r="H1557" t="s">
        <v>4629</v>
      </c>
      <c r="I1557" t="s">
        <v>43</v>
      </c>
      <c r="J1557">
        <v>2</v>
      </c>
      <c r="K1557" t="s">
        <v>44</v>
      </c>
      <c r="L1557" t="s">
        <v>45</v>
      </c>
      <c r="M1557" t="s">
        <v>46</v>
      </c>
      <c r="N1557" s="7">
        <v>18</v>
      </c>
      <c r="O1557" s="8">
        <v>45636.458645833336</v>
      </c>
      <c r="P1557" s="9">
        <v>45638</v>
      </c>
      <c r="Q1557" t="s">
        <v>74</v>
      </c>
      <c r="R1557" t="s">
        <v>48</v>
      </c>
      <c r="S1557" t="s">
        <v>49</v>
      </c>
      <c r="T1557" t="s">
        <v>69</v>
      </c>
      <c r="U1557" t="s">
        <v>4630</v>
      </c>
      <c r="V1557">
        <v>81100</v>
      </c>
      <c r="W1557" t="s">
        <v>48</v>
      </c>
      <c r="X1557" t="s">
        <v>771</v>
      </c>
      <c r="Y1557" t="s">
        <v>54</v>
      </c>
      <c r="Z1557" s="12">
        <f>IF(N1557&lt;=1,9,9+0.8*ROUNDUP(N1557-1,0))</f>
        <v>22.6</v>
      </c>
      <c r="AA1557" s="11">
        <v>-2</v>
      </c>
      <c r="AB1557" s="11">
        <v>0</v>
      </c>
      <c r="AC1557" s="11">
        <v>0</v>
      </c>
      <c r="AD1557" s="11">
        <v>0</v>
      </c>
      <c r="AE1557" s="11">
        <v>0</v>
      </c>
      <c r="AF1557" s="11">
        <f t="shared" si="72"/>
        <v>1.236</v>
      </c>
      <c r="AG1557" s="11">
        <f t="shared" si="73"/>
        <v>21.836000000000002</v>
      </c>
      <c r="AH1557" s="11">
        <v>0</v>
      </c>
      <c r="AI1557" s="11">
        <f t="shared" si="74"/>
        <v>21.836000000000002</v>
      </c>
      <c r="AJ1557" t="s">
        <v>62</v>
      </c>
    </row>
    <row r="1558" spans="1:36" ht="15" customHeight="1" x14ac:dyDescent="0.35">
      <c r="A1558">
        <v>10428918</v>
      </c>
      <c r="B1558" t="s">
        <v>36</v>
      </c>
      <c r="C1558" t="s">
        <v>37</v>
      </c>
      <c r="D1558" s="6" t="s">
        <v>38</v>
      </c>
      <c r="E1558" t="s">
        <v>4631</v>
      </c>
      <c r="F1558" t="s">
        <v>40</v>
      </c>
      <c r="G1558" t="s">
        <v>41</v>
      </c>
      <c r="H1558" t="s">
        <v>4632</v>
      </c>
      <c r="I1558" t="s">
        <v>43</v>
      </c>
      <c r="J1558">
        <v>2</v>
      </c>
      <c r="K1558" t="s">
        <v>44</v>
      </c>
      <c r="L1558" t="s">
        <v>45</v>
      </c>
      <c r="M1558" t="s">
        <v>46</v>
      </c>
      <c r="N1558" s="7">
        <v>2</v>
      </c>
      <c r="O1558" s="8">
        <v>45637.765763888892</v>
      </c>
      <c r="P1558" s="9">
        <v>45638</v>
      </c>
      <c r="Q1558" t="s">
        <v>74</v>
      </c>
      <c r="R1558" t="s">
        <v>48</v>
      </c>
      <c r="S1558" t="s">
        <v>49</v>
      </c>
      <c r="T1558" t="s">
        <v>59</v>
      </c>
      <c r="U1558" t="s">
        <v>4633</v>
      </c>
      <c r="V1558">
        <v>16450</v>
      </c>
      <c r="W1558" t="s">
        <v>48</v>
      </c>
      <c r="X1558" t="s">
        <v>61</v>
      </c>
      <c r="Y1558" t="s">
        <v>54</v>
      </c>
      <c r="Z1558" s="12">
        <f>IF(N1558&lt;=1,9,9+0.8*ROUNDUP(N1558-1,0))</f>
        <v>9.8000000000000007</v>
      </c>
      <c r="AA1558" s="11">
        <v>-2</v>
      </c>
      <c r="AB1558" s="11">
        <v>0</v>
      </c>
      <c r="AC1558" s="11">
        <v>0</v>
      </c>
      <c r="AD1558" s="11">
        <v>0</v>
      </c>
      <c r="AE1558" s="11">
        <v>0</v>
      </c>
      <c r="AF1558" s="11">
        <f t="shared" si="72"/>
        <v>0.46800000000000003</v>
      </c>
      <c r="AG1558" s="11">
        <f t="shared" si="73"/>
        <v>8.2680000000000007</v>
      </c>
      <c r="AH1558" s="11">
        <v>0</v>
      </c>
      <c r="AI1558" s="11">
        <f t="shared" si="74"/>
        <v>8.2680000000000007</v>
      </c>
      <c r="AJ1558" t="s">
        <v>62</v>
      </c>
    </row>
    <row r="1559" spans="1:36" ht="15" customHeight="1" x14ac:dyDescent="0.35">
      <c r="A1559">
        <v>10428918</v>
      </c>
      <c r="B1559" t="s">
        <v>36</v>
      </c>
      <c r="C1559" t="s">
        <v>37</v>
      </c>
      <c r="D1559" s="6" t="s">
        <v>38</v>
      </c>
      <c r="E1559" t="s">
        <v>4634</v>
      </c>
      <c r="F1559" t="s">
        <v>40</v>
      </c>
      <c r="G1559" t="s">
        <v>41</v>
      </c>
      <c r="H1559" t="s">
        <v>4635</v>
      </c>
      <c r="I1559" t="s">
        <v>43</v>
      </c>
      <c r="J1559">
        <v>2</v>
      </c>
      <c r="K1559" t="s">
        <v>44</v>
      </c>
      <c r="L1559" t="s">
        <v>45</v>
      </c>
      <c r="M1559" t="s">
        <v>46</v>
      </c>
      <c r="N1559" s="7">
        <v>2</v>
      </c>
      <c r="O1559" s="8">
        <v>45636.871458333335</v>
      </c>
      <c r="P1559" s="9">
        <v>45638</v>
      </c>
      <c r="Q1559" t="s">
        <v>74</v>
      </c>
      <c r="R1559" t="s">
        <v>48</v>
      </c>
      <c r="S1559" t="s">
        <v>49</v>
      </c>
      <c r="T1559" t="s">
        <v>90</v>
      </c>
      <c r="U1559" t="s">
        <v>4636</v>
      </c>
      <c r="V1559">
        <v>21060</v>
      </c>
      <c r="W1559" t="s">
        <v>48</v>
      </c>
      <c r="X1559" t="s">
        <v>92</v>
      </c>
      <c r="Y1559" t="s">
        <v>54</v>
      </c>
      <c r="Z1559" s="12">
        <f>IF(N1559&lt;=1,9,9+0.8*ROUNDUP(N1559-1,0))</f>
        <v>9.8000000000000007</v>
      </c>
      <c r="AA1559" s="11">
        <v>-2</v>
      </c>
      <c r="AB1559" s="11">
        <v>0</v>
      </c>
      <c r="AC1559" s="11">
        <v>0</v>
      </c>
      <c r="AD1559" s="11">
        <v>0</v>
      </c>
      <c r="AE1559" s="11">
        <v>0</v>
      </c>
      <c r="AF1559" s="11">
        <f t="shared" si="72"/>
        <v>0.46800000000000003</v>
      </c>
      <c r="AG1559" s="11">
        <f t="shared" si="73"/>
        <v>8.2680000000000007</v>
      </c>
      <c r="AH1559" s="11">
        <v>0</v>
      </c>
      <c r="AI1559" s="11">
        <f t="shared" si="74"/>
        <v>8.2680000000000007</v>
      </c>
      <c r="AJ1559" t="s">
        <v>62</v>
      </c>
    </row>
    <row r="1560" spans="1:36" ht="15" customHeight="1" x14ac:dyDescent="0.35">
      <c r="A1560">
        <v>10428918</v>
      </c>
      <c r="B1560" t="s">
        <v>36</v>
      </c>
      <c r="C1560" t="s">
        <v>37</v>
      </c>
      <c r="D1560" s="6" t="s">
        <v>38</v>
      </c>
      <c r="E1560" t="s">
        <v>4637</v>
      </c>
      <c r="F1560" t="s">
        <v>40</v>
      </c>
      <c r="G1560" t="s">
        <v>41</v>
      </c>
      <c r="H1560" t="s">
        <v>4638</v>
      </c>
      <c r="I1560" t="s">
        <v>43</v>
      </c>
      <c r="J1560">
        <v>2</v>
      </c>
      <c r="K1560" t="s">
        <v>44</v>
      </c>
      <c r="L1560" t="s">
        <v>45</v>
      </c>
      <c r="M1560" t="s">
        <v>46</v>
      </c>
      <c r="N1560" s="7">
        <v>1</v>
      </c>
      <c r="O1560" s="8">
        <v>45635.77306712963</v>
      </c>
      <c r="P1560" s="9">
        <v>45638</v>
      </c>
      <c r="Q1560" t="s">
        <v>74</v>
      </c>
      <c r="R1560" t="s">
        <v>48</v>
      </c>
      <c r="S1560" t="s">
        <v>49</v>
      </c>
      <c r="T1560" t="s">
        <v>117</v>
      </c>
      <c r="U1560" t="s">
        <v>4639</v>
      </c>
      <c r="V1560">
        <v>42600</v>
      </c>
      <c r="W1560" t="s">
        <v>48</v>
      </c>
      <c r="X1560" t="s">
        <v>455</v>
      </c>
      <c r="Y1560" t="s">
        <v>54</v>
      </c>
      <c r="Z1560" s="12">
        <f>IF(N1560&lt;=1,9,9+0.8*ROUNDUP(N1560-1,0))</f>
        <v>9</v>
      </c>
      <c r="AA1560" s="11">
        <v>-2</v>
      </c>
      <c r="AB1560" s="11">
        <v>0</v>
      </c>
      <c r="AC1560" s="11">
        <v>0</v>
      </c>
      <c r="AD1560" s="11">
        <v>0</v>
      </c>
      <c r="AE1560" s="11">
        <v>0</v>
      </c>
      <c r="AF1560" s="11">
        <f t="shared" si="72"/>
        <v>0.42</v>
      </c>
      <c r="AG1560" s="11">
        <f t="shared" si="73"/>
        <v>7.42</v>
      </c>
      <c r="AH1560" s="11">
        <v>0</v>
      </c>
      <c r="AI1560" s="11">
        <f t="shared" si="74"/>
        <v>7.42</v>
      </c>
      <c r="AJ1560" t="s">
        <v>62</v>
      </c>
    </row>
    <row r="1561" spans="1:36" ht="15" customHeight="1" x14ac:dyDescent="0.35">
      <c r="A1561">
        <v>10428918</v>
      </c>
      <c r="B1561" t="s">
        <v>36</v>
      </c>
      <c r="C1561" t="s">
        <v>37</v>
      </c>
      <c r="D1561" s="6" t="s">
        <v>38</v>
      </c>
      <c r="E1561" t="s">
        <v>4640</v>
      </c>
      <c r="F1561" t="s">
        <v>40</v>
      </c>
      <c r="G1561" t="s">
        <v>41</v>
      </c>
      <c r="H1561" t="s">
        <v>4629</v>
      </c>
      <c r="I1561" t="s">
        <v>43</v>
      </c>
      <c r="J1561">
        <v>2</v>
      </c>
      <c r="K1561" t="s">
        <v>44</v>
      </c>
      <c r="L1561" t="s">
        <v>45</v>
      </c>
      <c r="M1561" t="s">
        <v>46</v>
      </c>
      <c r="N1561" s="7">
        <v>18</v>
      </c>
      <c r="O1561" s="8">
        <v>45636.458657407406</v>
      </c>
      <c r="P1561" s="9">
        <v>45638</v>
      </c>
      <c r="Q1561" t="s">
        <v>74</v>
      </c>
      <c r="R1561" t="s">
        <v>48</v>
      </c>
      <c r="S1561" t="s">
        <v>49</v>
      </c>
      <c r="T1561" t="s">
        <v>69</v>
      </c>
      <c r="U1561" t="s">
        <v>4630</v>
      </c>
      <c r="V1561">
        <v>81100</v>
      </c>
      <c r="W1561" t="s">
        <v>48</v>
      </c>
      <c r="X1561" t="s">
        <v>771</v>
      </c>
      <c r="Y1561" t="s">
        <v>54</v>
      </c>
      <c r="Z1561" s="12">
        <f>IF(N1561&lt;=1,9,9+0.8*ROUNDUP(N1561-1,0))</f>
        <v>22.6</v>
      </c>
      <c r="AA1561" s="11">
        <v>-2</v>
      </c>
      <c r="AB1561" s="11">
        <v>0</v>
      </c>
      <c r="AC1561" s="11">
        <v>0</v>
      </c>
      <c r="AD1561" s="11">
        <v>0</v>
      </c>
      <c r="AE1561" s="11">
        <v>0</v>
      </c>
      <c r="AF1561" s="11">
        <f t="shared" si="72"/>
        <v>1.236</v>
      </c>
      <c r="AG1561" s="11">
        <f t="shared" si="73"/>
        <v>21.836000000000002</v>
      </c>
      <c r="AH1561" s="11">
        <v>0</v>
      </c>
      <c r="AI1561" s="11">
        <f t="shared" si="74"/>
        <v>21.836000000000002</v>
      </c>
      <c r="AJ1561" t="s">
        <v>62</v>
      </c>
    </row>
    <row r="1562" spans="1:36" ht="15" customHeight="1" x14ac:dyDescent="0.35">
      <c r="A1562">
        <v>10428918</v>
      </c>
      <c r="B1562" t="s">
        <v>36</v>
      </c>
      <c r="C1562" t="s">
        <v>37</v>
      </c>
      <c r="D1562" s="6" t="s">
        <v>38</v>
      </c>
      <c r="E1562" t="s">
        <v>4641</v>
      </c>
      <c r="F1562" t="s">
        <v>40</v>
      </c>
      <c r="G1562" t="s">
        <v>41</v>
      </c>
      <c r="H1562" t="s">
        <v>570</v>
      </c>
      <c r="I1562" t="s">
        <v>43</v>
      </c>
      <c r="J1562">
        <v>2</v>
      </c>
      <c r="K1562" t="s">
        <v>44</v>
      </c>
      <c r="L1562" t="s">
        <v>45</v>
      </c>
      <c r="M1562" t="s">
        <v>46</v>
      </c>
      <c r="N1562" s="7">
        <v>7</v>
      </c>
      <c r="O1562" s="8">
        <v>45638.655810185184</v>
      </c>
      <c r="P1562" s="9">
        <v>45639</v>
      </c>
      <c r="Q1562" t="s">
        <v>74</v>
      </c>
      <c r="R1562" t="s">
        <v>48</v>
      </c>
      <c r="S1562" t="s">
        <v>49</v>
      </c>
      <c r="T1562" t="s">
        <v>117</v>
      </c>
      <c r="U1562" t="s">
        <v>571</v>
      </c>
      <c r="V1562">
        <v>40000</v>
      </c>
      <c r="W1562" t="s">
        <v>48</v>
      </c>
      <c r="X1562" t="s">
        <v>53</v>
      </c>
      <c r="Y1562" t="s">
        <v>54</v>
      </c>
      <c r="Z1562" s="12">
        <f>IF(N1562&lt;=1,9,9+0.8*ROUNDUP(N1562-1,0))</f>
        <v>13.8</v>
      </c>
      <c r="AA1562" s="11">
        <v>-2</v>
      </c>
      <c r="AB1562" s="11">
        <v>0</v>
      </c>
      <c r="AC1562" s="11">
        <v>0</v>
      </c>
      <c r="AD1562" s="11">
        <v>0</v>
      </c>
      <c r="AE1562" s="11">
        <v>0</v>
      </c>
      <c r="AF1562" s="11">
        <f t="shared" si="72"/>
        <v>0.70799999999999996</v>
      </c>
      <c r="AG1562" s="11">
        <f t="shared" si="73"/>
        <v>12.508000000000001</v>
      </c>
      <c r="AH1562" s="11">
        <v>0</v>
      </c>
      <c r="AI1562" s="11">
        <f t="shared" si="74"/>
        <v>12.508000000000001</v>
      </c>
      <c r="AJ1562" t="s">
        <v>62</v>
      </c>
    </row>
    <row r="1563" spans="1:36" ht="15" customHeight="1" x14ac:dyDescent="0.35">
      <c r="A1563">
        <v>10428918</v>
      </c>
      <c r="B1563" t="s">
        <v>36</v>
      </c>
      <c r="C1563" t="s">
        <v>37</v>
      </c>
      <c r="D1563" s="6" t="s">
        <v>38</v>
      </c>
      <c r="E1563" t="s">
        <v>4642</v>
      </c>
      <c r="F1563" t="s">
        <v>40</v>
      </c>
      <c r="G1563" t="s">
        <v>41</v>
      </c>
      <c r="H1563" t="s">
        <v>2717</v>
      </c>
      <c r="I1563" t="s">
        <v>43</v>
      </c>
      <c r="J1563">
        <v>2</v>
      </c>
      <c r="K1563" t="s">
        <v>44</v>
      </c>
      <c r="L1563" t="s">
        <v>45</v>
      </c>
      <c r="M1563" t="s">
        <v>46</v>
      </c>
      <c r="N1563" s="7">
        <v>2</v>
      </c>
      <c r="O1563" s="8">
        <v>45637.654976851853</v>
      </c>
      <c r="P1563" s="9">
        <v>45639</v>
      </c>
      <c r="Q1563" t="s">
        <v>74</v>
      </c>
      <c r="R1563" t="s">
        <v>48</v>
      </c>
      <c r="S1563" t="s">
        <v>49</v>
      </c>
      <c r="T1563" t="s">
        <v>161</v>
      </c>
      <c r="U1563" t="s">
        <v>2718</v>
      </c>
      <c r="V1563">
        <v>13700</v>
      </c>
      <c r="W1563" t="s">
        <v>48</v>
      </c>
      <c r="X1563" t="s">
        <v>418</v>
      </c>
      <c r="Y1563" t="s">
        <v>54</v>
      </c>
      <c r="Z1563" s="12">
        <f>IF(N1563&lt;=1,9,9+0.8*ROUNDUP(N1563-1,0))</f>
        <v>9.8000000000000007</v>
      </c>
      <c r="AA1563" s="11">
        <v>-2</v>
      </c>
      <c r="AB1563" s="11">
        <v>0</v>
      </c>
      <c r="AC1563" s="11">
        <v>0</v>
      </c>
      <c r="AD1563" s="11">
        <v>0</v>
      </c>
      <c r="AE1563" s="11">
        <v>0</v>
      </c>
      <c r="AF1563" s="11">
        <f t="shared" si="72"/>
        <v>0.46800000000000003</v>
      </c>
      <c r="AG1563" s="11">
        <f t="shared" si="73"/>
        <v>8.2680000000000007</v>
      </c>
      <c r="AH1563" s="11">
        <v>0</v>
      </c>
      <c r="AI1563" s="11">
        <f t="shared" si="74"/>
        <v>8.2680000000000007</v>
      </c>
      <c r="AJ1563" t="s">
        <v>62</v>
      </c>
    </row>
    <row r="1564" spans="1:36" ht="15" customHeight="1" x14ac:dyDescent="0.35">
      <c r="A1564">
        <v>10428918</v>
      </c>
      <c r="B1564" t="s">
        <v>36</v>
      </c>
      <c r="C1564" t="s">
        <v>37</v>
      </c>
      <c r="D1564" s="6" t="s">
        <v>38</v>
      </c>
      <c r="E1564" t="s">
        <v>4643</v>
      </c>
      <c r="F1564" t="s">
        <v>40</v>
      </c>
      <c r="G1564" t="s">
        <v>41</v>
      </c>
      <c r="H1564" t="s">
        <v>4644</v>
      </c>
      <c r="I1564" t="s">
        <v>43</v>
      </c>
      <c r="J1564">
        <v>2</v>
      </c>
      <c r="K1564" t="s">
        <v>44</v>
      </c>
      <c r="L1564" t="s">
        <v>45</v>
      </c>
      <c r="M1564" t="s">
        <v>46</v>
      </c>
      <c r="N1564" s="7">
        <v>1</v>
      </c>
      <c r="O1564" s="8">
        <v>45636.440370370372</v>
      </c>
      <c r="P1564" s="9">
        <v>45639</v>
      </c>
      <c r="Q1564" t="s">
        <v>74</v>
      </c>
      <c r="R1564" t="s">
        <v>48</v>
      </c>
      <c r="S1564" t="s">
        <v>49</v>
      </c>
      <c r="T1564" t="s">
        <v>69</v>
      </c>
      <c r="U1564" t="s">
        <v>4645</v>
      </c>
      <c r="V1564">
        <v>81750</v>
      </c>
      <c r="W1564" t="s">
        <v>48</v>
      </c>
      <c r="X1564" t="s">
        <v>2125</v>
      </c>
      <c r="Y1564" t="s">
        <v>54</v>
      </c>
      <c r="Z1564" s="12">
        <f>IF(N1564&lt;=1,9,9+0.8*ROUNDUP(N1564-1,0))</f>
        <v>9</v>
      </c>
      <c r="AA1564" s="11">
        <v>-2</v>
      </c>
      <c r="AB1564" s="11">
        <v>0</v>
      </c>
      <c r="AC1564" s="11">
        <v>0</v>
      </c>
      <c r="AD1564" s="11">
        <v>0</v>
      </c>
      <c r="AE1564" s="11">
        <v>0</v>
      </c>
      <c r="AF1564" s="11">
        <f t="shared" si="72"/>
        <v>0.42</v>
      </c>
      <c r="AG1564" s="11">
        <f t="shared" si="73"/>
        <v>7.42</v>
      </c>
      <c r="AH1564" s="11">
        <v>0</v>
      </c>
      <c r="AI1564" s="11">
        <f t="shared" si="74"/>
        <v>7.42</v>
      </c>
      <c r="AJ1564" t="s">
        <v>62</v>
      </c>
    </row>
    <row r="1565" spans="1:36" ht="15" customHeight="1" x14ac:dyDescent="0.35">
      <c r="A1565">
        <v>10428918</v>
      </c>
      <c r="B1565" t="s">
        <v>36</v>
      </c>
      <c r="C1565" t="s">
        <v>37</v>
      </c>
      <c r="D1565" s="6" t="s">
        <v>38</v>
      </c>
      <c r="E1565" t="s">
        <v>4646</v>
      </c>
      <c r="F1565" t="s">
        <v>40</v>
      </c>
      <c r="G1565" t="s">
        <v>41</v>
      </c>
      <c r="H1565" t="s">
        <v>4647</v>
      </c>
      <c r="I1565" t="s">
        <v>43</v>
      </c>
      <c r="J1565">
        <v>2</v>
      </c>
      <c r="K1565" t="s">
        <v>44</v>
      </c>
      <c r="L1565" t="s">
        <v>45</v>
      </c>
      <c r="M1565" t="s">
        <v>46</v>
      </c>
      <c r="N1565" s="7">
        <v>1</v>
      </c>
      <c r="O1565" s="8">
        <v>45638.40415509259</v>
      </c>
      <c r="P1565" s="9">
        <v>45639</v>
      </c>
      <c r="Q1565" t="s">
        <v>47</v>
      </c>
      <c r="R1565" t="s">
        <v>48</v>
      </c>
      <c r="S1565" t="s">
        <v>49</v>
      </c>
      <c r="T1565" t="s">
        <v>117</v>
      </c>
      <c r="U1565" t="s">
        <v>4648</v>
      </c>
      <c r="V1565">
        <v>47820</v>
      </c>
      <c r="W1565" t="s">
        <v>48</v>
      </c>
      <c r="X1565" t="s">
        <v>179</v>
      </c>
      <c r="Y1565" t="s">
        <v>54</v>
      </c>
      <c r="Z1565" s="12">
        <f>IF(N1565&lt;=1,9,9+0.8*ROUNDUP(N1565-1,0))</f>
        <v>9</v>
      </c>
      <c r="AA1565" s="11">
        <v>-2</v>
      </c>
      <c r="AB1565" s="11">
        <v>0</v>
      </c>
      <c r="AC1565" s="11">
        <v>0</v>
      </c>
      <c r="AD1565" s="11">
        <v>0</v>
      </c>
      <c r="AE1565" s="11">
        <v>0</v>
      </c>
      <c r="AF1565" s="11">
        <f t="shared" si="72"/>
        <v>0.42</v>
      </c>
      <c r="AG1565" s="11">
        <f t="shared" si="73"/>
        <v>7.42</v>
      </c>
      <c r="AH1565" s="11">
        <v>0</v>
      </c>
      <c r="AI1565" s="11">
        <f t="shared" si="74"/>
        <v>7.42</v>
      </c>
      <c r="AJ1565" t="s">
        <v>62</v>
      </c>
    </row>
    <row r="1566" spans="1:36" ht="15" customHeight="1" x14ac:dyDescent="0.35">
      <c r="A1566">
        <v>10428918</v>
      </c>
      <c r="B1566" t="s">
        <v>36</v>
      </c>
      <c r="C1566" t="s">
        <v>37</v>
      </c>
      <c r="D1566" s="6" t="s">
        <v>38</v>
      </c>
      <c r="E1566" t="s">
        <v>4649</v>
      </c>
      <c r="F1566" t="s">
        <v>40</v>
      </c>
      <c r="G1566" t="s">
        <v>41</v>
      </c>
      <c r="H1566" t="s">
        <v>4650</v>
      </c>
      <c r="I1566" t="s">
        <v>43</v>
      </c>
      <c r="J1566">
        <v>2</v>
      </c>
      <c r="K1566" t="s">
        <v>44</v>
      </c>
      <c r="L1566" t="s">
        <v>45</v>
      </c>
      <c r="M1566" t="s">
        <v>46</v>
      </c>
      <c r="N1566" s="7">
        <v>1</v>
      </c>
      <c r="O1566" s="8">
        <v>45636.440370370372</v>
      </c>
      <c r="P1566" s="9">
        <v>45639</v>
      </c>
      <c r="Q1566" t="s">
        <v>74</v>
      </c>
      <c r="R1566" t="s">
        <v>48</v>
      </c>
      <c r="S1566" t="s">
        <v>49</v>
      </c>
      <c r="T1566" t="s">
        <v>101</v>
      </c>
      <c r="U1566" t="s">
        <v>4651</v>
      </c>
      <c r="V1566">
        <v>31400</v>
      </c>
      <c r="W1566" t="s">
        <v>48</v>
      </c>
      <c r="X1566" t="s">
        <v>1401</v>
      </c>
      <c r="Y1566" t="s">
        <v>54</v>
      </c>
      <c r="Z1566" s="12">
        <f>IF(N1566&lt;=1,9,9+0.8*ROUNDUP(N1566-1,0))</f>
        <v>9</v>
      </c>
      <c r="AA1566" s="11">
        <v>-2</v>
      </c>
      <c r="AB1566" s="11">
        <v>0</v>
      </c>
      <c r="AC1566" s="11">
        <v>0</v>
      </c>
      <c r="AD1566" s="11">
        <v>0</v>
      </c>
      <c r="AE1566" s="11">
        <v>0</v>
      </c>
      <c r="AF1566" s="11">
        <f t="shared" si="72"/>
        <v>0.42</v>
      </c>
      <c r="AG1566" s="11">
        <f t="shared" si="73"/>
        <v>7.42</v>
      </c>
      <c r="AH1566" s="11">
        <v>0</v>
      </c>
      <c r="AI1566" s="11">
        <f t="shared" si="74"/>
        <v>7.42</v>
      </c>
      <c r="AJ1566" t="s">
        <v>62</v>
      </c>
    </row>
    <row r="1567" spans="1:36" ht="15" customHeight="1" x14ac:dyDescent="0.35">
      <c r="A1567">
        <v>10428918</v>
      </c>
      <c r="B1567" t="s">
        <v>36</v>
      </c>
      <c r="C1567" t="s">
        <v>37</v>
      </c>
      <c r="D1567" s="6" t="s">
        <v>38</v>
      </c>
      <c r="E1567" t="s">
        <v>4652</v>
      </c>
      <c r="F1567" t="s">
        <v>40</v>
      </c>
      <c r="G1567" t="s">
        <v>41</v>
      </c>
      <c r="H1567" t="s">
        <v>4653</v>
      </c>
      <c r="I1567" t="s">
        <v>43</v>
      </c>
      <c r="J1567">
        <v>2</v>
      </c>
      <c r="K1567" t="s">
        <v>44</v>
      </c>
      <c r="L1567" t="s">
        <v>45</v>
      </c>
      <c r="M1567" t="s">
        <v>46</v>
      </c>
      <c r="N1567" s="7">
        <v>1</v>
      </c>
      <c r="O1567" s="8">
        <v>45638.511284722219</v>
      </c>
      <c r="P1567" s="9">
        <v>45639</v>
      </c>
      <c r="Q1567" t="s">
        <v>47</v>
      </c>
      <c r="R1567" t="s">
        <v>48</v>
      </c>
      <c r="S1567" t="s">
        <v>49</v>
      </c>
      <c r="T1567" t="s">
        <v>117</v>
      </c>
      <c r="U1567" t="s">
        <v>4654</v>
      </c>
      <c r="V1567">
        <v>40400</v>
      </c>
      <c r="W1567" t="s">
        <v>48</v>
      </c>
      <c r="X1567" t="s">
        <v>943</v>
      </c>
      <c r="Y1567" t="s">
        <v>54</v>
      </c>
      <c r="Z1567" s="12">
        <f>IF(N1567&lt;=1,9,9+0.8*ROUNDUP(N1567-1,0))</f>
        <v>9</v>
      </c>
      <c r="AA1567" s="11">
        <v>-2</v>
      </c>
      <c r="AB1567" s="11">
        <v>0</v>
      </c>
      <c r="AC1567" s="11">
        <v>0</v>
      </c>
      <c r="AD1567" s="11">
        <v>0</v>
      </c>
      <c r="AE1567" s="11">
        <v>0</v>
      </c>
      <c r="AF1567" s="11">
        <f t="shared" si="72"/>
        <v>0.42</v>
      </c>
      <c r="AG1567" s="11">
        <f t="shared" si="73"/>
        <v>7.42</v>
      </c>
      <c r="AH1567" s="11">
        <v>0</v>
      </c>
      <c r="AI1567" s="11">
        <f t="shared" si="74"/>
        <v>7.42</v>
      </c>
      <c r="AJ1567" t="s">
        <v>62</v>
      </c>
    </row>
    <row r="1568" spans="1:36" ht="15" customHeight="1" x14ac:dyDescent="0.35">
      <c r="A1568">
        <v>10428918</v>
      </c>
      <c r="B1568" t="s">
        <v>36</v>
      </c>
      <c r="C1568" t="s">
        <v>37</v>
      </c>
      <c r="D1568" s="6" t="s">
        <v>38</v>
      </c>
      <c r="E1568" t="s">
        <v>4655</v>
      </c>
      <c r="F1568" t="s">
        <v>40</v>
      </c>
      <c r="G1568" t="s">
        <v>41</v>
      </c>
      <c r="H1568" t="s">
        <v>412</v>
      </c>
      <c r="I1568" t="s">
        <v>43</v>
      </c>
      <c r="J1568">
        <v>2</v>
      </c>
      <c r="K1568" t="s">
        <v>44</v>
      </c>
      <c r="L1568" t="s">
        <v>45</v>
      </c>
      <c r="M1568" t="s">
        <v>46</v>
      </c>
      <c r="N1568" s="7">
        <v>1</v>
      </c>
      <c r="O1568" s="8">
        <v>45636.864803240744</v>
      </c>
      <c r="P1568" s="9">
        <v>45639</v>
      </c>
      <c r="Q1568" t="s">
        <v>74</v>
      </c>
      <c r="R1568" t="s">
        <v>48</v>
      </c>
      <c r="S1568" t="s">
        <v>49</v>
      </c>
      <c r="T1568" t="s">
        <v>101</v>
      </c>
      <c r="U1568" t="s">
        <v>413</v>
      </c>
      <c r="V1568">
        <v>32610</v>
      </c>
      <c r="W1568" t="s">
        <v>48</v>
      </c>
      <c r="X1568" t="s">
        <v>414</v>
      </c>
      <c r="Y1568" t="s">
        <v>54</v>
      </c>
      <c r="Z1568" s="12">
        <f>IF(N1568&lt;=1,9,9+0.8*ROUNDUP(N1568-1,0))</f>
        <v>9</v>
      </c>
      <c r="AA1568" s="11">
        <v>-2</v>
      </c>
      <c r="AB1568" s="11">
        <v>0</v>
      </c>
      <c r="AC1568" s="11">
        <v>0</v>
      </c>
      <c r="AD1568" s="11">
        <v>0</v>
      </c>
      <c r="AE1568" s="11">
        <v>0</v>
      </c>
      <c r="AF1568" s="11">
        <f t="shared" si="72"/>
        <v>0.42</v>
      </c>
      <c r="AG1568" s="11">
        <f t="shared" si="73"/>
        <v>7.42</v>
      </c>
      <c r="AH1568" s="11">
        <v>0</v>
      </c>
      <c r="AI1568" s="11">
        <f t="shared" si="74"/>
        <v>7.42</v>
      </c>
      <c r="AJ1568" t="s">
        <v>62</v>
      </c>
    </row>
    <row r="1569" spans="1:36" ht="15" customHeight="1" x14ac:dyDescent="0.35">
      <c r="A1569">
        <v>10428918</v>
      </c>
      <c r="B1569" t="s">
        <v>36</v>
      </c>
      <c r="C1569" t="s">
        <v>37</v>
      </c>
      <c r="D1569" s="6" t="s">
        <v>38</v>
      </c>
      <c r="E1569" t="s">
        <v>4656</v>
      </c>
      <c r="F1569" t="s">
        <v>40</v>
      </c>
      <c r="G1569" t="s">
        <v>41</v>
      </c>
      <c r="H1569" t="s">
        <v>4657</v>
      </c>
      <c r="I1569" t="s">
        <v>43</v>
      </c>
      <c r="J1569">
        <v>2</v>
      </c>
      <c r="K1569" t="s">
        <v>44</v>
      </c>
      <c r="L1569" t="s">
        <v>45</v>
      </c>
      <c r="M1569" t="s">
        <v>46</v>
      </c>
      <c r="N1569" s="7">
        <v>1</v>
      </c>
      <c r="O1569" s="8">
        <v>45637.405555555553</v>
      </c>
      <c r="P1569" s="9">
        <v>45639</v>
      </c>
      <c r="Q1569" t="s">
        <v>74</v>
      </c>
      <c r="R1569" t="s">
        <v>48</v>
      </c>
      <c r="S1569" t="s">
        <v>49</v>
      </c>
      <c r="T1569" t="s">
        <v>161</v>
      </c>
      <c r="U1569" t="s">
        <v>4658</v>
      </c>
      <c r="V1569">
        <v>13200</v>
      </c>
      <c r="W1569" t="s">
        <v>48</v>
      </c>
      <c r="X1569" t="s">
        <v>812</v>
      </c>
      <c r="Y1569" t="s">
        <v>54</v>
      </c>
      <c r="Z1569" s="12">
        <f>IF(N1569&lt;=1,9,9+0.8*ROUNDUP(N1569-1,0))</f>
        <v>9</v>
      </c>
      <c r="AA1569" s="11">
        <v>-2</v>
      </c>
      <c r="AB1569" s="11">
        <v>0</v>
      </c>
      <c r="AC1569" s="11">
        <v>0</v>
      </c>
      <c r="AD1569" s="11">
        <v>0</v>
      </c>
      <c r="AE1569" s="11">
        <v>0</v>
      </c>
      <c r="AF1569" s="11">
        <f t="shared" si="72"/>
        <v>0.42</v>
      </c>
      <c r="AG1569" s="11">
        <f t="shared" si="73"/>
        <v>7.42</v>
      </c>
      <c r="AH1569" s="11">
        <v>0</v>
      </c>
      <c r="AI1569" s="11">
        <f t="shared" si="74"/>
        <v>7.42</v>
      </c>
      <c r="AJ1569" t="s">
        <v>62</v>
      </c>
    </row>
    <row r="1570" spans="1:36" ht="15" customHeight="1" x14ac:dyDescent="0.35">
      <c r="A1570">
        <v>10428918</v>
      </c>
      <c r="B1570" t="s">
        <v>36</v>
      </c>
      <c r="C1570" t="s">
        <v>37</v>
      </c>
      <c r="D1570" s="6" t="s">
        <v>38</v>
      </c>
      <c r="E1570" t="s">
        <v>4659</v>
      </c>
      <c r="F1570" t="s">
        <v>40</v>
      </c>
      <c r="G1570" t="s">
        <v>41</v>
      </c>
      <c r="H1570" t="s">
        <v>4660</v>
      </c>
      <c r="I1570" t="s">
        <v>43</v>
      </c>
      <c r="J1570">
        <v>2</v>
      </c>
      <c r="K1570" t="s">
        <v>44</v>
      </c>
      <c r="L1570" t="s">
        <v>45</v>
      </c>
      <c r="M1570" t="s">
        <v>46</v>
      </c>
      <c r="N1570" s="7">
        <v>1</v>
      </c>
      <c r="O1570" s="8">
        <v>45637.765763888892</v>
      </c>
      <c r="P1570" s="9">
        <v>45639</v>
      </c>
      <c r="Q1570" t="s">
        <v>74</v>
      </c>
      <c r="R1570" t="s">
        <v>48</v>
      </c>
      <c r="S1570" t="s">
        <v>49</v>
      </c>
      <c r="T1570" t="s">
        <v>80</v>
      </c>
      <c r="U1570" t="s">
        <v>4661</v>
      </c>
      <c r="V1570">
        <v>9000</v>
      </c>
      <c r="W1570" t="s">
        <v>48</v>
      </c>
      <c r="X1570" t="s">
        <v>690</v>
      </c>
      <c r="Y1570" t="s">
        <v>54</v>
      </c>
      <c r="Z1570" s="12">
        <f>IF(N1570&lt;=1,9,9+0.8*ROUNDUP(N1570-1,0))</f>
        <v>9</v>
      </c>
      <c r="AA1570" s="11">
        <v>-2</v>
      </c>
      <c r="AB1570" s="11">
        <v>0</v>
      </c>
      <c r="AC1570" s="11">
        <v>0</v>
      </c>
      <c r="AD1570" s="11">
        <v>0</v>
      </c>
      <c r="AE1570" s="11">
        <v>0</v>
      </c>
      <c r="AF1570" s="11">
        <f t="shared" si="72"/>
        <v>0.42</v>
      </c>
      <c r="AG1570" s="11">
        <f t="shared" si="73"/>
        <v>7.42</v>
      </c>
      <c r="AH1570" s="11">
        <v>0</v>
      </c>
      <c r="AI1570" s="11">
        <f t="shared" si="74"/>
        <v>7.42</v>
      </c>
      <c r="AJ1570" t="s">
        <v>62</v>
      </c>
    </row>
    <row r="1571" spans="1:36" ht="15" customHeight="1" x14ac:dyDescent="0.35">
      <c r="A1571">
        <v>10428918</v>
      </c>
      <c r="B1571" t="s">
        <v>36</v>
      </c>
      <c r="C1571" t="s">
        <v>37</v>
      </c>
      <c r="D1571" s="6" t="s">
        <v>38</v>
      </c>
      <c r="E1571" t="s">
        <v>4662</v>
      </c>
      <c r="F1571" t="s">
        <v>40</v>
      </c>
      <c r="G1571" t="s">
        <v>41</v>
      </c>
      <c r="H1571" t="s">
        <v>4663</v>
      </c>
      <c r="I1571" t="s">
        <v>43</v>
      </c>
      <c r="J1571">
        <v>2</v>
      </c>
      <c r="K1571" t="s">
        <v>44</v>
      </c>
      <c r="L1571" t="s">
        <v>45</v>
      </c>
      <c r="M1571" t="s">
        <v>46</v>
      </c>
      <c r="N1571" s="7">
        <v>1</v>
      </c>
      <c r="O1571" s="8">
        <v>45637.426724537036</v>
      </c>
      <c r="P1571" s="9">
        <v>45639</v>
      </c>
      <c r="Q1571" t="s">
        <v>74</v>
      </c>
      <c r="R1571" t="s">
        <v>48</v>
      </c>
      <c r="S1571" t="s">
        <v>49</v>
      </c>
      <c r="T1571" t="s">
        <v>50</v>
      </c>
      <c r="U1571" t="s">
        <v>4664</v>
      </c>
      <c r="V1571">
        <v>88000</v>
      </c>
      <c r="W1571" t="s">
        <v>52</v>
      </c>
      <c r="X1571" t="s">
        <v>53</v>
      </c>
      <c r="Y1571" t="s">
        <v>54</v>
      </c>
      <c r="Z1571" s="10">
        <f>IF(N1571&lt;=1,13,IF(N1571&lt;=2,23,IF(N1571&lt;=3,35,IF(N1571&lt;=4,43,IF(N1571&lt;=5,53,IF(N1571&lt;=6,63,IF(N1571&lt;=7,71,IF(N1571&lt;=8,79,IF(N1571&lt;=9,87,IF(N1571&lt;=10,95,IF(N1571&lt;=11,105,IF(N1571&lt;=12,114,IF(N1571&lt;=13,119,IF(N1571&lt;=14,127,IF(N1571&lt;=15,135,IF(N1571&lt;=16,143,IF(N1571&lt;=17,153,IF(N1571&lt;=18,163,IF(N1571&lt;=19,171,IF(N1571&lt;=20,185,IF(N1571&lt;=21,193,IF(N1571&lt;=22,201,IF(N1571&lt;=23,210,IF(N1571&lt;=24,220,IF(N1571&lt;=25,230,IF(N1571&lt;=26,240,IF(N1571&lt;=27,250,IF(N1571&lt;=28,260,IF(N1571&lt;=29,270,IF(N1571&lt;=30,280,280+10*ROUNDUP(N1571-30,0)))))))))))))))))))))))))))))))</f>
        <v>13</v>
      </c>
      <c r="AA1571" s="11">
        <v>0</v>
      </c>
      <c r="AB1571" s="11">
        <v>0</v>
      </c>
      <c r="AC1571" s="11">
        <v>0</v>
      </c>
      <c r="AD1571" s="11">
        <v>0</v>
      </c>
      <c r="AE1571" s="11">
        <v>0</v>
      </c>
      <c r="AF1571" s="11">
        <f t="shared" si="72"/>
        <v>0.78</v>
      </c>
      <c r="AG1571" s="11">
        <f t="shared" si="73"/>
        <v>13.78</v>
      </c>
      <c r="AH1571" s="11">
        <v>0</v>
      </c>
      <c r="AI1571" s="11">
        <f t="shared" si="74"/>
        <v>13.78</v>
      </c>
      <c r="AJ1571" t="s">
        <v>55</v>
      </c>
    </row>
    <row r="1572" spans="1:36" ht="15" customHeight="1" x14ac:dyDescent="0.35">
      <c r="A1572">
        <v>10428918</v>
      </c>
      <c r="B1572" t="s">
        <v>36</v>
      </c>
      <c r="C1572" t="s">
        <v>37</v>
      </c>
      <c r="D1572" s="6" t="s">
        <v>38</v>
      </c>
      <c r="E1572" t="s">
        <v>4665</v>
      </c>
      <c r="F1572" t="s">
        <v>40</v>
      </c>
      <c r="G1572" t="s">
        <v>41</v>
      </c>
      <c r="H1572" t="s">
        <v>4666</v>
      </c>
      <c r="I1572" t="s">
        <v>43</v>
      </c>
      <c r="J1572">
        <v>2</v>
      </c>
      <c r="K1572" t="s">
        <v>44</v>
      </c>
      <c r="L1572" t="s">
        <v>45</v>
      </c>
      <c r="M1572" t="s">
        <v>46</v>
      </c>
      <c r="N1572" s="7">
        <v>1</v>
      </c>
      <c r="O1572" s="8">
        <v>45638.504374999997</v>
      </c>
      <c r="P1572" s="9">
        <v>45639</v>
      </c>
      <c r="Q1572" t="s">
        <v>47</v>
      </c>
      <c r="R1572" t="s">
        <v>48</v>
      </c>
      <c r="S1572" t="s">
        <v>49</v>
      </c>
      <c r="T1572" t="s">
        <v>117</v>
      </c>
      <c r="U1572" t="s">
        <v>4667</v>
      </c>
      <c r="V1572">
        <v>43500</v>
      </c>
      <c r="W1572" t="s">
        <v>48</v>
      </c>
      <c r="X1572" t="s">
        <v>398</v>
      </c>
      <c r="Y1572" t="s">
        <v>54</v>
      </c>
      <c r="Z1572" s="12">
        <f>IF(N1572&lt;=1,9,9+0.8*ROUNDUP(N1572-1,0))</f>
        <v>9</v>
      </c>
      <c r="AA1572" s="11">
        <v>-2</v>
      </c>
      <c r="AB1572" s="11">
        <v>0</v>
      </c>
      <c r="AC1572" s="11">
        <v>0</v>
      </c>
      <c r="AD1572" s="11">
        <v>0</v>
      </c>
      <c r="AE1572" s="11">
        <v>0</v>
      </c>
      <c r="AF1572" s="11">
        <f t="shared" si="72"/>
        <v>0.42</v>
      </c>
      <c r="AG1572" s="11">
        <f t="shared" si="73"/>
        <v>7.42</v>
      </c>
      <c r="AH1572" s="11">
        <v>0</v>
      </c>
      <c r="AI1572" s="11">
        <f t="shared" si="74"/>
        <v>7.42</v>
      </c>
      <c r="AJ1572" t="s">
        <v>62</v>
      </c>
    </row>
    <row r="1573" spans="1:36" ht="15" customHeight="1" x14ac:dyDescent="0.35">
      <c r="A1573">
        <v>10428918</v>
      </c>
      <c r="B1573" t="s">
        <v>36</v>
      </c>
      <c r="C1573" t="s">
        <v>37</v>
      </c>
      <c r="D1573" s="6" t="s">
        <v>38</v>
      </c>
      <c r="E1573" t="s">
        <v>4668</v>
      </c>
      <c r="F1573" t="s">
        <v>40</v>
      </c>
      <c r="G1573" t="s">
        <v>41</v>
      </c>
      <c r="H1573" t="s">
        <v>4669</v>
      </c>
      <c r="I1573" t="s">
        <v>43</v>
      </c>
      <c r="J1573">
        <v>2</v>
      </c>
      <c r="K1573" t="s">
        <v>44</v>
      </c>
      <c r="L1573" t="s">
        <v>45</v>
      </c>
      <c r="M1573" t="s">
        <v>46</v>
      </c>
      <c r="N1573" s="7">
        <v>3</v>
      </c>
      <c r="O1573" s="8">
        <v>45636.862002314818</v>
      </c>
      <c r="P1573" s="9">
        <v>45639</v>
      </c>
      <c r="Q1573" t="s">
        <v>74</v>
      </c>
      <c r="R1573" t="s">
        <v>48</v>
      </c>
      <c r="S1573" t="s">
        <v>49</v>
      </c>
      <c r="T1573" t="s">
        <v>101</v>
      </c>
      <c r="U1573" t="s">
        <v>4670</v>
      </c>
      <c r="V1573">
        <v>31400</v>
      </c>
      <c r="W1573" t="s">
        <v>48</v>
      </c>
      <c r="X1573" t="s">
        <v>1401</v>
      </c>
      <c r="Y1573" t="s">
        <v>54</v>
      </c>
      <c r="Z1573" s="12">
        <f>IF(N1573&lt;=1,9,9+0.8*ROUNDUP(N1573-1,0))</f>
        <v>10.6</v>
      </c>
      <c r="AA1573" s="11">
        <v>-2</v>
      </c>
      <c r="AB1573" s="11">
        <v>0</v>
      </c>
      <c r="AC1573" s="11">
        <v>0</v>
      </c>
      <c r="AD1573" s="11">
        <v>0</v>
      </c>
      <c r="AE1573" s="11">
        <v>0</v>
      </c>
      <c r="AF1573" s="11">
        <f t="shared" si="72"/>
        <v>0.51600000000000001</v>
      </c>
      <c r="AG1573" s="11">
        <f t="shared" si="73"/>
        <v>9.1159999999999997</v>
      </c>
      <c r="AH1573" s="11">
        <v>0</v>
      </c>
      <c r="AI1573" s="11">
        <f t="shared" si="74"/>
        <v>9.1159999999999997</v>
      </c>
      <c r="AJ1573" t="s">
        <v>62</v>
      </c>
    </row>
    <row r="1574" spans="1:36" ht="15" customHeight="1" x14ac:dyDescent="0.35">
      <c r="A1574">
        <v>10428918</v>
      </c>
      <c r="B1574" t="s">
        <v>36</v>
      </c>
      <c r="C1574" t="s">
        <v>37</v>
      </c>
      <c r="D1574" s="6" t="s">
        <v>38</v>
      </c>
      <c r="E1574" t="s">
        <v>4671</v>
      </c>
      <c r="F1574" t="s">
        <v>40</v>
      </c>
      <c r="G1574" t="s">
        <v>41</v>
      </c>
      <c r="H1574" t="s">
        <v>4672</v>
      </c>
      <c r="I1574" t="s">
        <v>43</v>
      </c>
      <c r="J1574">
        <v>2</v>
      </c>
      <c r="K1574" t="s">
        <v>44</v>
      </c>
      <c r="L1574" t="s">
        <v>45</v>
      </c>
      <c r="M1574" t="s">
        <v>46</v>
      </c>
      <c r="N1574" s="7">
        <v>1</v>
      </c>
      <c r="O1574" s="8">
        <v>45636.440370370372</v>
      </c>
      <c r="P1574" s="9">
        <v>45639</v>
      </c>
      <c r="Q1574" t="s">
        <v>74</v>
      </c>
      <c r="R1574" t="s">
        <v>48</v>
      </c>
      <c r="S1574" t="s">
        <v>49</v>
      </c>
      <c r="T1574" t="s">
        <v>69</v>
      </c>
      <c r="U1574" t="s">
        <v>4673</v>
      </c>
      <c r="V1574">
        <v>83000</v>
      </c>
      <c r="W1574" t="s">
        <v>48</v>
      </c>
      <c r="X1574" t="s">
        <v>71</v>
      </c>
      <c r="Y1574" t="s">
        <v>54</v>
      </c>
      <c r="Z1574" s="12">
        <f>IF(N1574&lt;=1,9,9+0.8*ROUNDUP(N1574-1,0))</f>
        <v>9</v>
      </c>
      <c r="AA1574" s="11">
        <v>-2</v>
      </c>
      <c r="AB1574" s="11">
        <v>0</v>
      </c>
      <c r="AC1574" s="11">
        <v>0</v>
      </c>
      <c r="AD1574" s="11">
        <v>0</v>
      </c>
      <c r="AE1574" s="11">
        <v>0</v>
      </c>
      <c r="AF1574" s="11">
        <f t="shared" si="72"/>
        <v>0.42</v>
      </c>
      <c r="AG1574" s="11">
        <f t="shared" si="73"/>
        <v>7.42</v>
      </c>
      <c r="AH1574" s="11">
        <v>0</v>
      </c>
      <c r="AI1574" s="11">
        <f t="shared" si="74"/>
        <v>7.42</v>
      </c>
      <c r="AJ1574" t="s">
        <v>62</v>
      </c>
    </row>
    <row r="1575" spans="1:36" ht="15" customHeight="1" x14ac:dyDescent="0.35">
      <c r="A1575">
        <v>10428918</v>
      </c>
      <c r="B1575" t="s">
        <v>36</v>
      </c>
      <c r="C1575" t="s">
        <v>37</v>
      </c>
      <c r="D1575" s="6" t="s">
        <v>38</v>
      </c>
      <c r="E1575" t="s">
        <v>4674</v>
      </c>
      <c r="F1575" t="s">
        <v>40</v>
      </c>
      <c r="G1575" t="s">
        <v>41</v>
      </c>
      <c r="H1575" t="s">
        <v>4675</v>
      </c>
      <c r="I1575" t="s">
        <v>43</v>
      </c>
      <c r="J1575">
        <v>2</v>
      </c>
      <c r="K1575" t="s">
        <v>44</v>
      </c>
      <c r="L1575" t="s">
        <v>45</v>
      </c>
      <c r="M1575" t="s">
        <v>46</v>
      </c>
      <c r="N1575" s="7">
        <v>1</v>
      </c>
      <c r="O1575" s="8">
        <v>45637.609155092592</v>
      </c>
      <c r="P1575" s="9">
        <v>45639</v>
      </c>
      <c r="Q1575" t="s">
        <v>74</v>
      </c>
      <c r="R1575" t="s">
        <v>48</v>
      </c>
      <c r="S1575" t="s">
        <v>49</v>
      </c>
      <c r="T1575" t="s">
        <v>693</v>
      </c>
      <c r="U1575" t="s">
        <v>4676</v>
      </c>
      <c r="V1575">
        <v>1000</v>
      </c>
      <c r="W1575" t="s">
        <v>48</v>
      </c>
      <c r="X1575" t="s">
        <v>53</v>
      </c>
      <c r="Y1575" t="s">
        <v>54</v>
      </c>
      <c r="Z1575" s="12">
        <f>IF(N1575&lt;=1,9,9+0.8*ROUNDUP(N1575-1,0))</f>
        <v>9</v>
      </c>
      <c r="AA1575" s="11">
        <v>-2</v>
      </c>
      <c r="AB1575" s="11">
        <v>0</v>
      </c>
      <c r="AC1575" s="11">
        <v>0</v>
      </c>
      <c r="AD1575" s="11">
        <v>0</v>
      </c>
      <c r="AE1575" s="11">
        <v>0</v>
      </c>
      <c r="AF1575" s="11">
        <f t="shared" si="72"/>
        <v>0.42</v>
      </c>
      <c r="AG1575" s="11">
        <f t="shared" si="73"/>
        <v>7.42</v>
      </c>
      <c r="AH1575" s="11">
        <v>0</v>
      </c>
      <c r="AI1575" s="11">
        <f t="shared" si="74"/>
        <v>7.42</v>
      </c>
      <c r="AJ1575" t="s">
        <v>62</v>
      </c>
    </row>
    <row r="1576" spans="1:36" ht="15" customHeight="1" x14ac:dyDescent="0.35">
      <c r="A1576">
        <v>10428918</v>
      </c>
      <c r="B1576" t="s">
        <v>36</v>
      </c>
      <c r="C1576" t="s">
        <v>37</v>
      </c>
      <c r="D1576" s="6" t="s">
        <v>38</v>
      </c>
      <c r="E1576" t="s">
        <v>4677</v>
      </c>
      <c r="F1576" t="s">
        <v>40</v>
      </c>
      <c r="G1576" t="s">
        <v>41</v>
      </c>
      <c r="H1576" t="s">
        <v>4678</v>
      </c>
      <c r="I1576" t="s">
        <v>43</v>
      </c>
      <c r="J1576">
        <v>2</v>
      </c>
      <c r="K1576" t="s">
        <v>44</v>
      </c>
      <c r="L1576" t="s">
        <v>45</v>
      </c>
      <c r="M1576" t="s">
        <v>46</v>
      </c>
      <c r="N1576" s="7">
        <v>1</v>
      </c>
      <c r="O1576" s="8">
        <v>45636.440370370372</v>
      </c>
      <c r="P1576" s="9">
        <v>45639</v>
      </c>
      <c r="Q1576" t="s">
        <v>74</v>
      </c>
      <c r="R1576" t="s">
        <v>48</v>
      </c>
      <c r="S1576" t="s">
        <v>49</v>
      </c>
      <c r="T1576" t="s">
        <v>80</v>
      </c>
      <c r="U1576" t="s">
        <v>4679</v>
      </c>
      <c r="V1576">
        <v>6000</v>
      </c>
      <c r="W1576" t="s">
        <v>48</v>
      </c>
      <c r="X1576" t="s">
        <v>522</v>
      </c>
      <c r="Y1576" t="s">
        <v>54</v>
      </c>
      <c r="Z1576" s="12">
        <f>IF(N1576&lt;=1,9,9+0.8*ROUNDUP(N1576-1,0))</f>
        <v>9</v>
      </c>
      <c r="AA1576" s="11">
        <v>-2</v>
      </c>
      <c r="AB1576" s="11">
        <v>0</v>
      </c>
      <c r="AC1576" s="11">
        <v>0</v>
      </c>
      <c r="AD1576" s="11">
        <v>0</v>
      </c>
      <c r="AE1576" s="11">
        <v>0</v>
      </c>
      <c r="AF1576" s="11">
        <f t="shared" si="72"/>
        <v>0.42</v>
      </c>
      <c r="AG1576" s="11">
        <f t="shared" si="73"/>
        <v>7.42</v>
      </c>
      <c r="AH1576" s="11">
        <v>0</v>
      </c>
      <c r="AI1576" s="11">
        <f t="shared" si="74"/>
        <v>7.42</v>
      </c>
      <c r="AJ1576" t="s">
        <v>62</v>
      </c>
    </row>
    <row r="1577" spans="1:36" ht="15" customHeight="1" x14ac:dyDescent="0.35">
      <c r="A1577">
        <v>10428918</v>
      </c>
      <c r="B1577" t="s">
        <v>36</v>
      </c>
      <c r="C1577" t="s">
        <v>37</v>
      </c>
      <c r="D1577" s="6" t="s">
        <v>38</v>
      </c>
      <c r="E1577" t="s">
        <v>4680</v>
      </c>
      <c r="F1577" t="s">
        <v>40</v>
      </c>
      <c r="G1577" t="s">
        <v>41</v>
      </c>
      <c r="H1577" t="s">
        <v>4681</v>
      </c>
      <c r="I1577" t="s">
        <v>43</v>
      </c>
      <c r="J1577">
        <v>2</v>
      </c>
      <c r="K1577" t="s">
        <v>44</v>
      </c>
      <c r="L1577" t="s">
        <v>45</v>
      </c>
      <c r="M1577" t="s">
        <v>46</v>
      </c>
      <c r="N1577" s="7">
        <v>2</v>
      </c>
      <c r="O1577" s="8">
        <v>45636.440381944441</v>
      </c>
      <c r="P1577" s="9">
        <v>45639</v>
      </c>
      <c r="Q1577" t="s">
        <v>74</v>
      </c>
      <c r="R1577" t="s">
        <v>48</v>
      </c>
      <c r="S1577" t="s">
        <v>49</v>
      </c>
      <c r="T1577" t="s">
        <v>69</v>
      </c>
      <c r="U1577" t="s">
        <v>4682</v>
      </c>
      <c r="V1577">
        <v>83700</v>
      </c>
      <c r="W1577" t="s">
        <v>48</v>
      </c>
      <c r="X1577" t="s">
        <v>53</v>
      </c>
      <c r="Y1577" t="s">
        <v>54</v>
      </c>
      <c r="Z1577" s="12">
        <f>IF(N1577&lt;=1,9,9+0.8*ROUNDUP(N1577-1,0))</f>
        <v>9.8000000000000007</v>
      </c>
      <c r="AA1577" s="11">
        <v>-2</v>
      </c>
      <c r="AB1577" s="11">
        <v>0</v>
      </c>
      <c r="AC1577" s="11">
        <v>0</v>
      </c>
      <c r="AD1577" s="11">
        <v>0</v>
      </c>
      <c r="AE1577" s="11">
        <v>0</v>
      </c>
      <c r="AF1577" s="11">
        <f t="shared" si="72"/>
        <v>0.46800000000000003</v>
      </c>
      <c r="AG1577" s="11">
        <f t="shared" si="73"/>
        <v>8.2680000000000007</v>
      </c>
      <c r="AH1577" s="11">
        <v>0</v>
      </c>
      <c r="AI1577" s="11">
        <f t="shared" si="74"/>
        <v>8.2680000000000007</v>
      </c>
      <c r="AJ1577" t="s">
        <v>62</v>
      </c>
    </row>
    <row r="1578" spans="1:36" ht="15" customHeight="1" x14ac:dyDescent="0.35">
      <c r="A1578">
        <v>10428918</v>
      </c>
      <c r="B1578" t="s">
        <v>36</v>
      </c>
      <c r="C1578" t="s">
        <v>37</v>
      </c>
      <c r="D1578" s="6" t="s">
        <v>38</v>
      </c>
      <c r="E1578" t="s">
        <v>4683</v>
      </c>
      <c r="F1578" t="s">
        <v>40</v>
      </c>
      <c r="G1578" t="s">
        <v>41</v>
      </c>
      <c r="H1578" t="s">
        <v>4684</v>
      </c>
      <c r="I1578" t="s">
        <v>43</v>
      </c>
      <c r="J1578">
        <v>2</v>
      </c>
      <c r="K1578" t="s">
        <v>44</v>
      </c>
      <c r="L1578" t="s">
        <v>45</v>
      </c>
      <c r="M1578" t="s">
        <v>46</v>
      </c>
      <c r="N1578" s="7">
        <v>1</v>
      </c>
      <c r="O1578" s="8">
        <v>45637.67701388889</v>
      </c>
      <c r="P1578" s="9">
        <v>45639</v>
      </c>
      <c r="Q1578" t="s">
        <v>74</v>
      </c>
      <c r="R1578" t="s">
        <v>48</v>
      </c>
      <c r="S1578" t="s">
        <v>49</v>
      </c>
      <c r="T1578" t="s">
        <v>101</v>
      </c>
      <c r="U1578" t="s">
        <v>4685</v>
      </c>
      <c r="V1578">
        <v>33000</v>
      </c>
      <c r="W1578" t="s">
        <v>48</v>
      </c>
      <c r="X1578" t="s">
        <v>465</v>
      </c>
      <c r="Y1578" t="s">
        <v>54</v>
      </c>
      <c r="Z1578" s="12">
        <f>IF(N1578&lt;=1,9,9+0.8*ROUNDUP(N1578-1,0))</f>
        <v>9</v>
      </c>
      <c r="AA1578" s="11">
        <v>-2</v>
      </c>
      <c r="AB1578" s="11">
        <v>0</v>
      </c>
      <c r="AC1578" s="11">
        <v>0</v>
      </c>
      <c r="AD1578" s="11">
        <v>0</v>
      </c>
      <c r="AE1578" s="11">
        <v>0</v>
      </c>
      <c r="AF1578" s="11">
        <f t="shared" si="72"/>
        <v>0.42</v>
      </c>
      <c r="AG1578" s="11">
        <f t="shared" si="73"/>
        <v>7.42</v>
      </c>
      <c r="AH1578" s="11">
        <v>0</v>
      </c>
      <c r="AI1578" s="11">
        <f t="shared" si="74"/>
        <v>7.42</v>
      </c>
      <c r="AJ1578" t="s">
        <v>62</v>
      </c>
    </row>
    <row r="1579" spans="1:36" ht="15" customHeight="1" x14ac:dyDescent="0.35">
      <c r="A1579">
        <v>10428918</v>
      </c>
      <c r="B1579" t="s">
        <v>36</v>
      </c>
      <c r="C1579" t="s">
        <v>37</v>
      </c>
      <c r="D1579" s="6" t="s">
        <v>38</v>
      </c>
      <c r="E1579" t="s">
        <v>4686</v>
      </c>
      <c r="F1579" t="s">
        <v>40</v>
      </c>
      <c r="G1579" t="s">
        <v>41</v>
      </c>
      <c r="H1579" t="s">
        <v>4687</v>
      </c>
      <c r="I1579" t="s">
        <v>43</v>
      </c>
      <c r="J1579">
        <v>2</v>
      </c>
      <c r="K1579" t="s">
        <v>44</v>
      </c>
      <c r="L1579" t="s">
        <v>45</v>
      </c>
      <c r="M1579" t="s">
        <v>46</v>
      </c>
      <c r="N1579" s="7">
        <v>1</v>
      </c>
      <c r="O1579" s="8">
        <v>45638.511284722219</v>
      </c>
      <c r="P1579" s="9">
        <v>45639</v>
      </c>
      <c r="Q1579" t="s">
        <v>47</v>
      </c>
      <c r="R1579" t="s">
        <v>48</v>
      </c>
      <c r="S1579" t="s">
        <v>49</v>
      </c>
      <c r="T1579" t="s">
        <v>117</v>
      </c>
      <c r="U1579" t="s">
        <v>4688</v>
      </c>
      <c r="V1579">
        <v>48050</v>
      </c>
      <c r="W1579" t="s">
        <v>48</v>
      </c>
      <c r="X1579" t="s">
        <v>556</v>
      </c>
      <c r="Y1579" t="s">
        <v>54</v>
      </c>
      <c r="Z1579" s="12">
        <f>IF(N1579&lt;=1,9,9+0.8*ROUNDUP(N1579-1,0))</f>
        <v>9</v>
      </c>
      <c r="AA1579" s="11">
        <v>-2</v>
      </c>
      <c r="AB1579" s="11">
        <v>0</v>
      </c>
      <c r="AC1579" s="11">
        <v>0</v>
      </c>
      <c r="AD1579" s="11">
        <v>0</v>
      </c>
      <c r="AE1579" s="11">
        <v>0</v>
      </c>
      <c r="AF1579" s="11">
        <f t="shared" si="72"/>
        <v>0.42</v>
      </c>
      <c r="AG1579" s="11">
        <f t="shared" si="73"/>
        <v>7.42</v>
      </c>
      <c r="AH1579" s="11">
        <v>0</v>
      </c>
      <c r="AI1579" s="11">
        <f t="shared" si="74"/>
        <v>7.42</v>
      </c>
      <c r="AJ1579" t="s">
        <v>62</v>
      </c>
    </row>
    <row r="1580" spans="1:36" ht="15" customHeight="1" x14ac:dyDescent="0.35">
      <c r="A1580">
        <v>10428918</v>
      </c>
      <c r="B1580" t="s">
        <v>36</v>
      </c>
      <c r="C1580" t="s">
        <v>37</v>
      </c>
      <c r="D1580" s="6" t="s">
        <v>38</v>
      </c>
      <c r="E1580" t="s">
        <v>4689</v>
      </c>
      <c r="F1580" t="s">
        <v>40</v>
      </c>
      <c r="G1580" t="s">
        <v>41</v>
      </c>
      <c r="H1580" t="s">
        <v>4690</v>
      </c>
      <c r="I1580" t="s">
        <v>43</v>
      </c>
      <c r="J1580">
        <v>2</v>
      </c>
      <c r="K1580" t="s">
        <v>44</v>
      </c>
      <c r="L1580" t="s">
        <v>45</v>
      </c>
      <c r="M1580" t="s">
        <v>46</v>
      </c>
      <c r="N1580" s="7">
        <v>1</v>
      </c>
      <c r="O1580" s="8">
        <v>45636.848738425928</v>
      </c>
      <c r="P1580" s="9">
        <v>45639</v>
      </c>
      <c r="Q1580" t="s">
        <v>74</v>
      </c>
      <c r="R1580" t="s">
        <v>48</v>
      </c>
      <c r="S1580" t="s">
        <v>49</v>
      </c>
      <c r="T1580" t="s">
        <v>693</v>
      </c>
      <c r="U1580" t="s">
        <v>4691</v>
      </c>
      <c r="V1580">
        <v>2400</v>
      </c>
      <c r="W1580" t="s">
        <v>48</v>
      </c>
      <c r="X1580" t="s">
        <v>1874</v>
      </c>
      <c r="Y1580" t="s">
        <v>54</v>
      </c>
      <c r="Z1580" s="12">
        <f>IF(N1580&lt;=1,9,9+0.8*ROUNDUP(N1580-1,0))</f>
        <v>9</v>
      </c>
      <c r="AA1580" s="11">
        <v>-2</v>
      </c>
      <c r="AB1580" s="11">
        <v>0</v>
      </c>
      <c r="AC1580" s="11">
        <v>0</v>
      </c>
      <c r="AD1580" s="11">
        <v>0</v>
      </c>
      <c r="AE1580" s="11">
        <v>0</v>
      </c>
      <c r="AF1580" s="11">
        <f t="shared" si="72"/>
        <v>0.42</v>
      </c>
      <c r="AG1580" s="11">
        <f t="shared" si="73"/>
        <v>7.42</v>
      </c>
      <c r="AH1580" s="11">
        <v>0</v>
      </c>
      <c r="AI1580" s="11">
        <f t="shared" si="74"/>
        <v>7.42</v>
      </c>
      <c r="AJ1580" t="s">
        <v>62</v>
      </c>
    </row>
    <row r="1581" spans="1:36" ht="15" customHeight="1" x14ac:dyDescent="0.35">
      <c r="A1581">
        <v>10428918</v>
      </c>
      <c r="B1581" t="s">
        <v>36</v>
      </c>
      <c r="C1581" t="s">
        <v>37</v>
      </c>
      <c r="D1581" s="6" t="s">
        <v>38</v>
      </c>
      <c r="E1581" t="s">
        <v>4692</v>
      </c>
      <c r="F1581" t="s">
        <v>40</v>
      </c>
      <c r="G1581" t="s">
        <v>41</v>
      </c>
      <c r="H1581" t="s">
        <v>4693</v>
      </c>
      <c r="I1581" t="s">
        <v>43</v>
      </c>
      <c r="J1581">
        <v>2</v>
      </c>
      <c r="K1581" t="s">
        <v>44</v>
      </c>
      <c r="L1581" t="s">
        <v>45</v>
      </c>
      <c r="M1581" t="s">
        <v>46</v>
      </c>
      <c r="N1581" s="7">
        <v>1</v>
      </c>
      <c r="O1581" s="8">
        <v>45637.714166666665</v>
      </c>
      <c r="P1581" s="9">
        <v>45639</v>
      </c>
      <c r="Q1581" t="s">
        <v>74</v>
      </c>
      <c r="R1581" t="s">
        <v>48</v>
      </c>
      <c r="S1581" t="s">
        <v>49</v>
      </c>
      <c r="T1581" t="s">
        <v>161</v>
      </c>
      <c r="U1581" t="s">
        <v>4694</v>
      </c>
      <c r="V1581">
        <v>11900</v>
      </c>
      <c r="W1581" t="s">
        <v>48</v>
      </c>
      <c r="X1581" t="s">
        <v>820</v>
      </c>
      <c r="Y1581" t="s">
        <v>54</v>
      </c>
      <c r="Z1581" s="12">
        <f>IF(N1581&lt;=1,9,9+0.8*ROUNDUP(N1581-1,0))</f>
        <v>9</v>
      </c>
      <c r="AA1581" s="11">
        <v>-2</v>
      </c>
      <c r="AB1581" s="11">
        <v>0</v>
      </c>
      <c r="AC1581" s="11">
        <v>0</v>
      </c>
      <c r="AD1581" s="11">
        <v>0</v>
      </c>
      <c r="AE1581" s="11">
        <v>0</v>
      </c>
      <c r="AF1581" s="11">
        <f t="shared" si="72"/>
        <v>0.42</v>
      </c>
      <c r="AG1581" s="11">
        <f t="shared" si="73"/>
        <v>7.42</v>
      </c>
      <c r="AH1581" s="11">
        <v>0</v>
      </c>
      <c r="AI1581" s="11">
        <f t="shared" si="74"/>
        <v>7.42</v>
      </c>
      <c r="AJ1581" t="s">
        <v>62</v>
      </c>
    </row>
    <row r="1582" spans="1:36" ht="15" customHeight="1" x14ac:dyDescent="0.35">
      <c r="A1582">
        <v>10428918</v>
      </c>
      <c r="B1582" t="s">
        <v>36</v>
      </c>
      <c r="C1582" t="s">
        <v>37</v>
      </c>
      <c r="D1582" s="6" t="s">
        <v>38</v>
      </c>
      <c r="E1582" t="s">
        <v>4695</v>
      </c>
      <c r="F1582" t="s">
        <v>40</v>
      </c>
      <c r="G1582" t="s">
        <v>41</v>
      </c>
      <c r="H1582" t="s">
        <v>4696</v>
      </c>
      <c r="I1582" t="s">
        <v>43</v>
      </c>
      <c r="J1582">
        <v>2</v>
      </c>
      <c r="K1582" t="s">
        <v>44</v>
      </c>
      <c r="L1582" t="s">
        <v>45</v>
      </c>
      <c r="M1582" t="s">
        <v>46</v>
      </c>
      <c r="N1582" s="7">
        <v>1</v>
      </c>
      <c r="O1582" s="8">
        <v>45637.431793981479</v>
      </c>
      <c r="P1582" s="9">
        <v>45639</v>
      </c>
      <c r="Q1582" t="s">
        <v>74</v>
      </c>
      <c r="R1582" t="s">
        <v>48</v>
      </c>
      <c r="S1582" t="s">
        <v>49</v>
      </c>
      <c r="T1582" t="s">
        <v>90</v>
      </c>
      <c r="U1582" t="s">
        <v>4697</v>
      </c>
      <c r="V1582">
        <v>21010</v>
      </c>
      <c r="W1582" t="s">
        <v>48</v>
      </c>
      <c r="X1582" t="s">
        <v>92</v>
      </c>
      <c r="Y1582" t="s">
        <v>54</v>
      </c>
      <c r="Z1582" s="12">
        <f>IF(N1582&lt;=1,9,9+0.8*ROUNDUP(N1582-1,0))</f>
        <v>9</v>
      </c>
      <c r="AA1582" s="11">
        <v>-2</v>
      </c>
      <c r="AB1582" s="11">
        <v>0</v>
      </c>
      <c r="AC1582" s="11">
        <v>0</v>
      </c>
      <c r="AD1582" s="11">
        <v>0</v>
      </c>
      <c r="AE1582" s="11">
        <v>0</v>
      </c>
      <c r="AF1582" s="11">
        <f t="shared" si="72"/>
        <v>0.42</v>
      </c>
      <c r="AG1582" s="11">
        <f t="shared" si="73"/>
        <v>7.42</v>
      </c>
      <c r="AH1582" s="11">
        <v>0</v>
      </c>
      <c r="AI1582" s="11">
        <f t="shared" si="74"/>
        <v>7.42</v>
      </c>
      <c r="AJ1582" t="s">
        <v>62</v>
      </c>
    </row>
    <row r="1583" spans="1:36" ht="15" customHeight="1" x14ac:dyDescent="0.35">
      <c r="A1583">
        <v>10428918</v>
      </c>
      <c r="B1583" t="s">
        <v>36</v>
      </c>
      <c r="C1583" t="s">
        <v>37</v>
      </c>
      <c r="D1583" s="6" t="s">
        <v>38</v>
      </c>
      <c r="E1583" t="s">
        <v>4698</v>
      </c>
      <c r="F1583" t="s">
        <v>40</v>
      </c>
      <c r="G1583" t="s">
        <v>41</v>
      </c>
      <c r="H1583" t="s">
        <v>4699</v>
      </c>
      <c r="I1583" t="s">
        <v>43</v>
      </c>
      <c r="J1583">
        <v>2</v>
      </c>
      <c r="K1583" t="s">
        <v>44</v>
      </c>
      <c r="L1583" t="s">
        <v>45</v>
      </c>
      <c r="M1583" t="s">
        <v>46</v>
      </c>
      <c r="N1583" s="7">
        <v>3</v>
      </c>
      <c r="O1583" s="8">
        <v>45636.862002314818</v>
      </c>
      <c r="P1583" s="9">
        <v>45639</v>
      </c>
      <c r="Q1583" t="s">
        <v>74</v>
      </c>
      <c r="R1583" t="s">
        <v>48</v>
      </c>
      <c r="S1583" t="s">
        <v>49</v>
      </c>
      <c r="T1583" t="s">
        <v>69</v>
      </c>
      <c r="U1583" t="s">
        <v>4700</v>
      </c>
      <c r="V1583">
        <v>86000</v>
      </c>
      <c r="W1583" t="s">
        <v>48</v>
      </c>
      <c r="X1583" t="s">
        <v>613</v>
      </c>
      <c r="Y1583" t="s">
        <v>54</v>
      </c>
      <c r="Z1583" s="12">
        <f>IF(N1583&lt;=1,9,9+0.8*ROUNDUP(N1583-1,0))</f>
        <v>10.6</v>
      </c>
      <c r="AA1583" s="11">
        <v>-2</v>
      </c>
      <c r="AB1583" s="11">
        <v>0</v>
      </c>
      <c r="AC1583" s="11">
        <v>0</v>
      </c>
      <c r="AD1583" s="11">
        <v>0</v>
      </c>
      <c r="AE1583" s="11">
        <v>0</v>
      </c>
      <c r="AF1583" s="11">
        <f t="shared" si="72"/>
        <v>0.51600000000000001</v>
      </c>
      <c r="AG1583" s="11">
        <f t="shared" si="73"/>
        <v>9.1159999999999997</v>
      </c>
      <c r="AH1583" s="11">
        <v>0</v>
      </c>
      <c r="AI1583" s="11">
        <f t="shared" si="74"/>
        <v>9.1159999999999997</v>
      </c>
      <c r="AJ1583" t="s">
        <v>62</v>
      </c>
    </row>
    <row r="1584" spans="1:36" ht="15" customHeight="1" x14ac:dyDescent="0.35">
      <c r="A1584">
        <v>10428918</v>
      </c>
      <c r="B1584" t="s">
        <v>36</v>
      </c>
      <c r="C1584" t="s">
        <v>37</v>
      </c>
      <c r="D1584" s="6" t="s">
        <v>38</v>
      </c>
      <c r="E1584" t="s">
        <v>4701</v>
      </c>
      <c r="F1584" t="s">
        <v>40</v>
      </c>
      <c r="G1584" t="s">
        <v>41</v>
      </c>
      <c r="H1584" t="s">
        <v>4702</v>
      </c>
      <c r="I1584" t="s">
        <v>43</v>
      </c>
      <c r="J1584">
        <v>2</v>
      </c>
      <c r="K1584" t="s">
        <v>44</v>
      </c>
      <c r="L1584" t="s">
        <v>45</v>
      </c>
      <c r="M1584" t="s">
        <v>46</v>
      </c>
      <c r="N1584" s="7">
        <v>1</v>
      </c>
      <c r="O1584" s="8">
        <v>45637.426736111112</v>
      </c>
      <c r="P1584" s="9">
        <v>45639</v>
      </c>
      <c r="Q1584" t="s">
        <v>74</v>
      </c>
      <c r="R1584" t="s">
        <v>48</v>
      </c>
      <c r="S1584" t="s">
        <v>49</v>
      </c>
      <c r="T1584" t="s">
        <v>69</v>
      </c>
      <c r="U1584" t="s">
        <v>4703</v>
      </c>
      <c r="V1584">
        <v>81700</v>
      </c>
      <c r="W1584" t="s">
        <v>48</v>
      </c>
      <c r="X1584" t="s">
        <v>841</v>
      </c>
      <c r="Y1584" t="s">
        <v>54</v>
      </c>
      <c r="Z1584" s="12">
        <f>IF(N1584&lt;=1,9,9+0.8*ROUNDUP(N1584-1,0))</f>
        <v>9</v>
      </c>
      <c r="AA1584" s="11">
        <v>-2</v>
      </c>
      <c r="AB1584" s="11">
        <v>0</v>
      </c>
      <c r="AC1584" s="11">
        <v>0</v>
      </c>
      <c r="AD1584" s="11">
        <v>0</v>
      </c>
      <c r="AE1584" s="11">
        <v>0</v>
      </c>
      <c r="AF1584" s="11">
        <f t="shared" si="72"/>
        <v>0.42</v>
      </c>
      <c r="AG1584" s="11">
        <f t="shared" si="73"/>
        <v>7.42</v>
      </c>
      <c r="AH1584" s="11">
        <v>0</v>
      </c>
      <c r="AI1584" s="11">
        <f t="shared" si="74"/>
        <v>7.42</v>
      </c>
      <c r="AJ1584" t="s">
        <v>62</v>
      </c>
    </row>
    <row r="1585" spans="1:36" ht="15" customHeight="1" x14ac:dyDescent="0.35">
      <c r="A1585">
        <v>10428918</v>
      </c>
      <c r="B1585" t="s">
        <v>36</v>
      </c>
      <c r="C1585" t="s">
        <v>37</v>
      </c>
      <c r="D1585" s="6" t="s">
        <v>38</v>
      </c>
      <c r="E1585" t="s">
        <v>4704</v>
      </c>
      <c r="F1585" t="s">
        <v>40</v>
      </c>
      <c r="G1585" t="s">
        <v>41</v>
      </c>
      <c r="H1585" t="s">
        <v>4705</v>
      </c>
      <c r="I1585" t="s">
        <v>43</v>
      </c>
      <c r="J1585">
        <v>2</v>
      </c>
      <c r="K1585" t="s">
        <v>44</v>
      </c>
      <c r="L1585" t="s">
        <v>45</v>
      </c>
      <c r="M1585" t="s">
        <v>46</v>
      </c>
      <c r="N1585" s="7">
        <v>1</v>
      </c>
      <c r="O1585" s="8">
        <v>45638.59269675926</v>
      </c>
      <c r="P1585" s="9">
        <v>45639</v>
      </c>
      <c r="Q1585" t="s">
        <v>47</v>
      </c>
      <c r="R1585" t="s">
        <v>48</v>
      </c>
      <c r="S1585" t="s">
        <v>49</v>
      </c>
      <c r="T1585" t="s">
        <v>117</v>
      </c>
      <c r="U1585" t="s">
        <v>4706</v>
      </c>
      <c r="V1585">
        <v>68100</v>
      </c>
      <c r="W1585" t="s">
        <v>48</v>
      </c>
      <c r="X1585" t="s">
        <v>490</v>
      </c>
      <c r="Y1585" t="s">
        <v>54</v>
      </c>
      <c r="Z1585" s="12">
        <f>IF(N1585&lt;=1,9,9+0.8*ROUNDUP(N1585-1,0))</f>
        <v>9</v>
      </c>
      <c r="AA1585" s="11">
        <v>-2</v>
      </c>
      <c r="AB1585" s="11">
        <v>0</v>
      </c>
      <c r="AC1585" s="11">
        <v>0</v>
      </c>
      <c r="AD1585" s="11">
        <v>0</v>
      </c>
      <c r="AE1585" s="11">
        <v>0</v>
      </c>
      <c r="AF1585" s="11">
        <f t="shared" si="72"/>
        <v>0.42</v>
      </c>
      <c r="AG1585" s="11">
        <f t="shared" si="73"/>
        <v>7.42</v>
      </c>
      <c r="AH1585" s="11">
        <v>0</v>
      </c>
      <c r="AI1585" s="11">
        <f t="shared" si="74"/>
        <v>7.42</v>
      </c>
      <c r="AJ1585" t="s">
        <v>62</v>
      </c>
    </row>
    <row r="1586" spans="1:36" ht="15" customHeight="1" x14ac:dyDescent="0.35">
      <c r="A1586">
        <v>10428918</v>
      </c>
      <c r="B1586" t="s">
        <v>36</v>
      </c>
      <c r="C1586" t="s">
        <v>37</v>
      </c>
      <c r="D1586" s="6" t="s">
        <v>38</v>
      </c>
      <c r="E1586" t="s">
        <v>4707</v>
      </c>
      <c r="F1586" t="s">
        <v>40</v>
      </c>
      <c r="G1586" t="s">
        <v>41</v>
      </c>
      <c r="H1586" t="s">
        <v>4708</v>
      </c>
      <c r="I1586" t="s">
        <v>43</v>
      </c>
      <c r="J1586">
        <v>2</v>
      </c>
      <c r="K1586" t="s">
        <v>44</v>
      </c>
      <c r="L1586" t="s">
        <v>45</v>
      </c>
      <c r="M1586" t="s">
        <v>46</v>
      </c>
      <c r="N1586" s="7">
        <v>1</v>
      </c>
      <c r="O1586" s="8">
        <v>45636.864814814813</v>
      </c>
      <c r="P1586" s="9">
        <v>45639</v>
      </c>
      <c r="Q1586" t="s">
        <v>74</v>
      </c>
      <c r="R1586" t="s">
        <v>48</v>
      </c>
      <c r="S1586" t="s">
        <v>49</v>
      </c>
      <c r="T1586" t="s">
        <v>80</v>
      </c>
      <c r="U1586" t="s">
        <v>4709</v>
      </c>
      <c r="V1586">
        <v>9410</v>
      </c>
      <c r="W1586" t="s">
        <v>48</v>
      </c>
      <c r="X1586" t="s">
        <v>690</v>
      </c>
      <c r="Y1586" t="s">
        <v>54</v>
      </c>
      <c r="Z1586" s="12">
        <f>IF(N1586&lt;=1,9,9+0.8*ROUNDUP(N1586-1,0))</f>
        <v>9</v>
      </c>
      <c r="AA1586" s="11">
        <v>-2</v>
      </c>
      <c r="AB1586" s="11">
        <v>0</v>
      </c>
      <c r="AC1586" s="11">
        <v>0</v>
      </c>
      <c r="AD1586" s="11">
        <v>0</v>
      </c>
      <c r="AE1586" s="11">
        <v>0</v>
      </c>
      <c r="AF1586" s="11">
        <f t="shared" si="72"/>
        <v>0.42</v>
      </c>
      <c r="AG1586" s="11">
        <f t="shared" si="73"/>
        <v>7.42</v>
      </c>
      <c r="AH1586" s="11">
        <v>0</v>
      </c>
      <c r="AI1586" s="11">
        <f t="shared" si="74"/>
        <v>7.42</v>
      </c>
      <c r="AJ1586" t="s">
        <v>62</v>
      </c>
    </row>
    <row r="1587" spans="1:36" ht="15" customHeight="1" x14ac:dyDescent="0.35">
      <c r="A1587">
        <v>10428918</v>
      </c>
      <c r="B1587" t="s">
        <v>36</v>
      </c>
      <c r="C1587" t="s">
        <v>37</v>
      </c>
      <c r="D1587" s="6" t="s">
        <v>38</v>
      </c>
      <c r="E1587" t="s">
        <v>4710</v>
      </c>
      <c r="F1587" t="s">
        <v>40</v>
      </c>
      <c r="G1587" t="s">
        <v>41</v>
      </c>
      <c r="H1587" t="s">
        <v>4711</v>
      </c>
      <c r="I1587" t="s">
        <v>43</v>
      </c>
      <c r="J1587">
        <v>2</v>
      </c>
      <c r="K1587" t="s">
        <v>44</v>
      </c>
      <c r="L1587" t="s">
        <v>45</v>
      </c>
      <c r="M1587" t="s">
        <v>46</v>
      </c>
      <c r="N1587" s="7">
        <v>1</v>
      </c>
      <c r="O1587" s="8">
        <v>45636.845393518517</v>
      </c>
      <c r="P1587" s="9">
        <v>45639</v>
      </c>
      <c r="Q1587" t="s">
        <v>74</v>
      </c>
      <c r="R1587" t="s">
        <v>48</v>
      </c>
      <c r="S1587" t="s">
        <v>49</v>
      </c>
      <c r="T1587" t="s">
        <v>80</v>
      </c>
      <c r="U1587" t="s">
        <v>4712</v>
      </c>
      <c r="V1587">
        <v>5400</v>
      </c>
      <c r="W1587" t="s">
        <v>48</v>
      </c>
      <c r="X1587" t="s">
        <v>137</v>
      </c>
      <c r="Y1587" t="s">
        <v>54</v>
      </c>
      <c r="Z1587" s="12">
        <f>IF(N1587&lt;=1,9,9+0.8*ROUNDUP(N1587-1,0))</f>
        <v>9</v>
      </c>
      <c r="AA1587" s="11">
        <v>-2</v>
      </c>
      <c r="AB1587" s="11">
        <v>0</v>
      </c>
      <c r="AC1587" s="11">
        <v>0</v>
      </c>
      <c r="AD1587" s="11">
        <v>0</v>
      </c>
      <c r="AE1587" s="11">
        <v>0</v>
      </c>
      <c r="AF1587" s="11">
        <f t="shared" si="72"/>
        <v>0.42</v>
      </c>
      <c r="AG1587" s="11">
        <f t="shared" si="73"/>
        <v>7.42</v>
      </c>
      <c r="AH1587" s="11">
        <v>0</v>
      </c>
      <c r="AI1587" s="11">
        <f t="shared" si="74"/>
        <v>7.42</v>
      </c>
      <c r="AJ1587" t="s">
        <v>62</v>
      </c>
    </row>
    <row r="1588" spans="1:36" ht="15" customHeight="1" x14ac:dyDescent="0.35">
      <c r="A1588">
        <v>10428918</v>
      </c>
      <c r="B1588" t="s">
        <v>36</v>
      </c>
      <c r="C1588" t="s">
        <v>37</v>
      </c>
      <c r="D1588" s="6" t="s">
        <v>38</v>
      </c>
      <c r="E1588" t="s">
        <v>4713</v>
      </c>
      <c r="F1588" t="s">
        <v>40</v>
      </c>
      <c r="G1588" t="s">
        <v>41</v>
      </c>
      <c r="H1588" t="s">
        <v>4714</v>
      </c>
      <c r="I1588" t="s">
        <v>43</v>
      </c>
      <c r="J1588">
        <v>2</v>
      </c>
      <c r="K1588" t="s">
        <v>44</v>
      </c>
      <c r="L1588" t="s">
        <v>45</v>
      </c>
      <c r="M1588" t="s">
        <v>46</v>
      </c>
      <c r="N1588" s="7">
        <v>3</v>
      </c>
      <c r="O1588" s="8">
        <v>45636.864803240744</v>
      </c>
      <c r="P1588" s="9">
        <v>45639</v>
      </c>
      <c r="Q1588" t="s">
        <v>74</v>
      </c>
      <c r="R1588" t="s">
        <v>48</v>
      </c>
      <c r="S1588" t="s">
        <v>49</v>
      </c>
      <c r="T1588" t="s">
        <v>69</v>
      </c>
      <c r="U1588" t="s">
        <v>4715</v>
      </c>
      <c r="V1588">
        <v>81100</v>
      </c>
      <c r="W1588" t="s">
        <v>48</v>
      </c>
      <c r="X1588" t="s">
        <v>183</v>
      </c>
      <c r="Y1588" t="s">
        <v>54</v>
      </c>
      <c r="Z1588" s="12">
        <f>IF(N1588&lt;=1,9,9+0.8*ROUNDUP(N1588-1,0))</f>
        <v>10.6</v>
      </c>
      <c r="AA1588" s="11">
        <v>-2</v>
      </c>
      <c r="AB1588" s="11">
        <v>0</v>
      </c>
      <c r="AC1588" s="11">
        <v>0</v>
      </c>
      <c r="AD1588" s="11">
        <v>0</v>
      </c>
      <c r="AE1588" s="11">
        <v>0</v>
      </c>
      <c r="AF1588" s="11">
        <f t="shared" si="72"/>
        <v>0.51600000000000001</v>
      </c>
      <c r="AG1588" s="11">
        <f t="shared" si="73"/>
        <v>9.1159999999999997</v>
      </c>
      <c r="AH1588" s="11">
        <v>0</v>
      </c>
      <c r="AI1588" s="11">
        <f t="shared" si="74"/>
        <v>9.1159999999999997</v>
      </c>
      <c r="AJ1588" t="s">
        <v>62</v>
      </c>
    </row>
    <row r="1589" spans="1:36" ht="15" customHeight="1" x14ac:dyDescent="0.35">
      <c r="A1589">
        <v>10428918</v>
      </c>
      <c r="B1589" t="s">
        <v>36</v>
      </c>
      <c r="C1589" t="s">
        <v>37</v>
      </c>
      <c r="D1589" s="6" t="s">
        <v>38</v>
      </c>
      <c r="E1589" t="s">
        <v>4716</v>
      </c>
      <c r="F1589" t="s">
        <v>40</v>
      </c>
      <c r="G1589" t="s">
        <v>41</v>
      </c>
      <c r="H1589" t="s">
        <v>4717</v>
      </c>
      <c r="I1589" t="s">
        <v>43</v>
      </c>
      <c r="J1589">
        <v>2</v>
      </c>
      <c r="K1589" t="s">
        <v>44</v>
      </c>
      <c r="L1589" t="s">
        <v>45</v>
      </c>
      <c r="M1589" t="s">
        <v>46</v>
      </c>
      <c r="N1589" s="7">
        <v>2</v>
      </c>
      <c r="O1589" s="8">
        <v>45637.426736111112</v>
      </c>
      <c r="P1589" s="9">
        <v>45639</v>
      </c>
      <c r="Q1589" t="s">
        <v>74</v>
      </c>
      <c r="R1589" t="s">
        <v>48</v>
      </c>
      <c r="S1589" t="s">
        <v>49</v>
      </c>
      <c r="T1589" t="s">
        <v>69</v>
      </c>
      <c r="U1589" t="s">
        <v>4718</v>
      </c>
      <c r="V1589">
        <v>82000</v>
      </c>
      <c r="W1589" t="s">
        <v>48</v>
      </c>
      <c r="X1589" t="s">
        <v>295</v>
      </c>
      <c r="Y1589" t="s">
        <v>54</v>
      </c>
      <c r="Z1589" s="12">
        <f>IF(N1589&lt;=1,9,9+0.8*ROUNDUP(N1589-1,0))</f>
        <v>9.8000000000000007</v>
      </c>
      <c r="AA1589" s="11">
        <v>-2</v>
      </c>
      <c r="AB1589" s="11">
        <v>0</v>
      </c>
      <c r="AC1589" s="11">
        <v>0</v>
      </c>
      <c r="AD1589" s="11">
        <v>0</v>
      </c>
      <c r="AE1589" s="11">
        <v>0</v>
      </c>
      <c r="AF1589" s="11">
        <f t="shared" si="72"/>
        <v>0.46800000000000003</v>
      </c>
      <c r="AG1589" s="11">
        <f t="shared" si="73"/>
        <v>8.2680000000000007</v>
      </c>
      <c r="AH1589" s="11">
        <v>0</v>
      </c>
      <c r="AI1589" s="11">
        <f t="shared" si="74"/>
        <v>8.2680000000000007</v>
      </c>
      <c r="AJ1589" t="s">
        <v>62</v>
      </c>
    </row>
    <row r="1590" spans="1:36" ht="15" customHeight="1" x14ac:dyDescent="0.35">
      <c r="A1590">
        <v>10428918</v>
      </c>
      <c r="B1590" t="s">
        <v>36</v>
      </c>
      <c r="C1590" t="s">
        <v>37</v>
      </c>
      <c r="D1590" s="6" t="s">
        <v>38</v>
      </c>
      <c r="E1590" t="s">
        <v>4719</v>
      </c>
      <c r="F1590" t="s">
        <v>40</v>
      </c>
      <c r="G1590" t="s">
        <v>41</v>
      </c>
      <c r="H1590" t="s">
        <v>4720</v>
      </c>
      <c r="I1590" t="s">
        <v>43</v>
      </c>
      <c r="J1590">
        <v>2</v>
      </c>
      <c r="K1590" t="s">
        <v>44</v>
      </c>
      <c r="L1590" t="s">
        <v>45</v>
      </c>
      <c r="M1590" t="s">
        <v>46</v>
      </c>
      <c r="N1590" s="7">
        <v>1</v>
      </c>
      <c r="O1590" s="8">
        <v>45637.419305555559</v>
      </c>
      <c r="P1590" s="9">
        <v>45639</v>
      </c>
      <c r="Q1590" t="s">
        <v>74</v>
      </c>
      <c r="R1590" t="s">
        <v>48</v>
      </c>
      <c r="S1590" t="s">
        <v>49</v>
      </c>
      <c r="T1590" t="s">
        <v>69</v>
      </c>
      <c r="U1590" t="s">
        <v>4721</v>
      </c>
      <c r="V1590">
        <v>86400</v>
      </c>
      <c r="W1590" t="s">
        <v>48</v>
      </c>
      <c r="X1590" t="s">
        <v>410</v>
      </c>
      <c r="Y1590" t="s">
        <v>54</v>
      </c>
      <c r="Z1590" s="12">
        <f>IF(N1590&lt;=1,9,9+0.8*ROUNDUP(N1590-1,0))</f>
        <v>9</v>
      </c>
      <c r="AA1590" s="11">
        <v>-2</v>
      </c>
      <c r="AB1590" s="11">
        <v>0</v>
      </c>
      <c r="AC1590" s="11">
        <v>0</v>
      </c>
      <c r="AD1590" s="11">
        <v>0</v>
      </c>
      <c r="AE1590" s="11">
        <v>0</v>
      </c>
      <c r="AF1590" s="11">
        <f t="shared" si="72"/>
        <v>0.42</v>
      </c>
      <c r="AG1590" s="11">
        <f t="shared" si="73"/>
        <v>7.42</v>
      </c>
      <c r="AH1590" s="11">
        <v>0</v>
      </c>
      <c r="AI1590" s="11">
        <f t="shared" si="74"/>
        <v>7.42</v>
      </c>
      <c r="AJ1590" t="s">
        <v>62</v>
      </c>
    </row>
    <row r="1591" spans="1:36" ht="15" customHeight="1" x14ac:dyDescent="0.35">
      <c r="A1591">
        <v>10428918</v>
      </c>
      <c r="B1591" t="s">
        <v>36</v>
      </c>
      <c r="C1591" t="s">
        <v>37</v>
      </c>
      <c r="D1591" s="6" t="s">
        <v>38</v>
      </c>
      <c r="E1591" t="s">
        <v>4722</v>
      </c>
      <c r="F1591" t="s">
        <v>40</v>
      </c>
      <c r="G1591" t="s">
        <v>41</v>
      </c>
      <c r="H1591" t="s">
        <v>4723</v>
      </c>
      <c r="I1591" t="s">
        <v>43</v>
      </c>
      <c r="J1591">
        <v>2</v>
      </c>
      <c r="K1591" t="s">
        <v>44</v>
      </c>
      <c r="L1591" t="s">
        <v>45</v>
      </c>
      <c r="M1591" t="s">
        <v>46</v>
      </c>
      <c r="N1591" s="7">
        <v>1</v>
      </c>
      <c r="O1591" s="8">
        <v>45637.419305555559</v>
      </c>
      <c r="P1591" s="9">
        <v>45639</v>
      </c>
      <c r="Q1591" t="s">
        <v>74</v>
      </c>
      <c r="R1591" t="s">
        <v>48</v>
      </c>
      <c r="S1591" t="s">
        <v>49</v>
      </c>
      <c r="T1591" t="s">
        <v>69</v>
      </c>
      <c r="U1591" t="s">
        <v>4724</v>
      </c>
      <c r="V1591">
        <v>81100</v>
      </c>
      <c r="W1591" t="s">
        <v>48</v>
      </c>
      <c r="X1591" t="s">
        <v>552</v>
      </c>
      <c r="Y1591" t="s">
        <v>54</v>
      </c>
      <c r="Z1591" s="12">
        <f>IF(N1591&lt;=1,9,9+0.8*ROUNDUP(N1591-1,0))</f>
        <v>9</v>
      </c>
      <c r="AA1591" s="11">
        <v>-2</v>
      </c>
      <c r="AB1591" s="11">
        <v>0</v>
      </c>
      <c r="AC1591" s="11">
        <v>0</v>
      </c>
      <c r="AD1591" s="11">
        <v>0</v>
      </c>
      <c r="AE1591" s="11">
        <v>0</v>
      </c>
      <c r="AF1591" s="11">
        <f t="shared" si="72"/>
        <v>0.42</v>
      </c>
      <c r="AG1591" s="11">
        <f t="shared" si="73"/>
        <v>7.42</v>
      </c>
      <c r="AH1591" s="11">
        <v>0</v>
      </c>
      <c r="AI1591" s="11">
        <f t="shared" si="74"/>
        <v>7.42</v>
      </c>
      <c r="AJ1591" t="s">
        <v>62</v>
      </c>
    </row>
    <row r="1592" spans="1:36" ht="15" customHeight="1" x14ac:dyDescent="0.35">
      <c r="A1592">
        <v>10428918</v>
      </c>
      <c r="B1592" t="s">
        <v>36</v>
      </c>
      <c r="C1592" t="s">
        <v>37</v>
      </c>
      <c r="D1592" s="6" t="s">
        <v>38</v>
      </c>
      <c r="E1592" t="s">
        <v>4725</v>
      </c>
      <c r="F1592" t="s">
        <v>40</v>
      </c>
      <c r="G1592" t="s">
        <v>41</v>
      </c>
      <c r="H1592" t="s">
        <v>4726</v>
      </c>
      <c r="I1592" t="s">
        <v>43</v>
      </c>
      <c r="J1592">
        <v>2</v>
      </c>
      <c r="K1592" t="s">
        <v>44</v>
      </c>
      <c r="L1592" t="s">
        <v>45</v>
      </c>
      <c r="M1592" t="s">
        <v>46</v>
      </c>
      <c r="N1592" s="7">
        <v>1</v>
      </c>
      <c r="O1592" s="8">
        <v>45638.511284722219</v>
      </c>
      <c r="P1592" s="9">
        <v>45639</v>
      </c>
      <c r="Q1592" t="s">
        <v>47</v>
      </c>
      <c r="R1592" t="s">
        <v>48</v>
      </c>
      <c r="S1592" t="s">
        <v>49</v>
      </c>
      <c r="T1592" t="s">
        <v>117</v>
      </c>
      <c r="U1592" t="s">
        <v>4727</v>
      </c>
      <c r="V1592">
        <v>42700</v>
      </c>
      <c r="W1592" t="s">
        <v>48</v>
      </c>
      <c r="X1592" t="s">
        <v>901</v>
      </c>
      <c r="Y1592" t="s">
        <v>54</v>
      </c>
      <c r="Z1592" s="12">
        <f>IF(N1592&lt;=1,9,9+0.8*ROUNDUP(N1592-1,0))</f>
        <v>9</v>
      </c>
      <c r="AA1592" s="11">
        <v>-2</v>
      </c>
      <c r="AB1592" s="11">
        <v>0</v>
      </c>
      <c r="AC1592" s="11">
        <v>0</v>
      </c>
      <c r="AD1592" s="11">
        <v>0</v>
      </c>
      <c r="AE1592" s="11">
        <v>0</v>
      </c>
      <c r="AF1592" s="11">
        <f t="shared" si="72"/>
        <v>0.42</v>
      </c>
      <c r="AG1592" s="11">
        <f t="shared" si="73"/>
        <v>7.42</v>
      </c>
      <c r="AH1592" s="11">
        <v>0</v>
      </c>
      <c r="AI1592" s="11">
        <f t="shared" si="74"/>
        <v>7.42</v>
      </c>
      <c r="AJ1592" t="s">
        <v>62</v>
      </c>
    </row>
    <row r="1593" spans="1:36" ht="15" customHeight="1" x14ac:dyDescent="0.35">
      <c r="A1593">
        <v>10428918</v>
      </c>
      <c r="B1593" t="s">
        <v>36</v>
      </c>
      <c r="C1593" t="s">
        <v>37</v>
      </c>
      <c r="D1593" s="6" t="s">
        <v>38</v>
      </c>
      <c r="E1593" t="s">
        <v>4728</v>
      </c>
      <c r="F1593" t="s">
        <v>40</v>
      </c>
      <c r="G1593" t="s">
        <v>41</v>
      </c>
      <c r="H1593" t="s">
        <v>4729</v>
      </c>
      <c r="I1593" t="s">
        <v>43</v>
      </c>
      <c r="J1593">
        <v>2</v>
      </c>
      <c r="K1593" t="s">
        <v>44</v>
      </c>
      <c r="L1593" t="s">
        <v>45</v>
      </c>
      <c r="M1593" t="s">
        <v>46</v>
      </c>
      <c r="N1593" s="7">
        <v>1</v>
      </c>
      <c r="O1593" s="8">
        <v>45636.867002314815</v>
      </c>
      <c r="P1593" s="9">
        <v>45639</v>
      </c>
      <c r="Q1593" t="s">
        <v>74</v>
      </c>
      <c r="R1593" t="s">
        <v>48</v>
      </c>
      <c r="S1593" t="s">
        <v>49</v>
      </c>
      <c r="T1593" t="s">
        <v>80</v>
      </c>
      <c r="U1593" t="s">
        <v>4730</v>
      </c>
      <c r="V1593">
        <v>9600</v>
      </c>
      <c r="W1593" t="s">
        <v>48</v>
      </c>
      <c r="X1593" t="s">
        <v>690</v>
      </c>
      <c r="Y1593" t="s">
        <v>54</v>
      </c>
      <c r="Z1593" s="12">
        <f>IF(N1593&lt;=1,9,9+0.8*ROUNDUP(N1593-1,0))</f>
        <v>9</v>
      </c>
      <c r="AA1593" s="11">
        <v>-2</v>
      </c>
      <c r="AB1593" s="11">
        <v>0</v>
      </c>
      <c r="AC1593" s="11">
        <v>0</v>
      </c>
      <c r="AD1593" s="11">
        <v>0</v>
      </c>
      <c r="AE1593" s="11">
        <v>0</v>
      </c>
      <c r="AF1593" s="11">
        <f t="shared" si="72"/>
        <v>0.42</v>
      </c>
      <c r="AG1593" s="11">
        <f t="shared" si="73"/>
        <v>7.42</v>
      </c>
      <c r="AH1593" s="11">
        <v>0</v>
      </c>
      <c r="AI1593" s="11">
        <f t="shared" si="74"/>
        <v>7.42</v>
      </c>
      <c r="AJ1593" t="s">
        <v>62</v>
      </c>
    </row>
    <row r="1594" spans="1:36" ht="15" customHeight="1" x14ac:dyDescent="0.35">
      <c r="A1594">
        <v>10428918</v>
      </c>
      <c r="B1594" t="s">
        <v>36</v>
      </c>
      <c r="C1594" t="s">
        <v>37</v>
      </c>
      <c r="D1594" s="6" t="s">
        <v>38</v>
      </c>
      <c r="E1594" t="s">
        <v>4731</v>
      </c>
      <c r="F1594" t="s">
        <v>40</v>
      </c>
      <c r="G1594" t="s">
        <v>41</v>
      </c>
      <c r="H1594" t="s">
        <v>4732</v>
      </c>
      <c r="I1594" t="s">
        <v>43</v>
      </c>
      <c r="J1594">
        <v>2</v>
      </c>
      <c r="K1594" t="s">
        <v>44</v>
      </c>
      <c r="L1594" t="s">
        <v>45</v>
      </c>
      <c r="M1594" t="s">
        <v>46</v>
      </c>
      <c r="N1594" s="7">
        <v>2</v>
      </c>
      <c r="O1594" s="8">
        <v>45636.440370370372</v>
      </c>
      <c r="P1594" s="9">
        <v>45639</v>
      </c>
      <c r="Q1594" t="s">
        <v>74</v>
      </c>
      <c r="R1594" t="s">
        <v>48</v>
      </c>
      <c r="S1594" t="s">
        <v>49</v>
      </c>
      <c r="T1594" t="s">
        <v>69</v>
      </c>
      <c r="U1594" t="s">
        <v>4733</v>
      </c>
      <c r="V1594">
        <v>81100</v>
      </c>
      <c r="W1594" t="s">
        <v>48</v>
      </c>
      <c r="X1594" t="s">
        <v>552</v>
      </c>
      <c r="Y1594" t="s">
        <v>54</v>
      </c>
      <c r="Z1594" s="12">
        <f>IF(N1594&lt;=1,9,9+0.8*ROUNDUP(N1594-1,0))</f>
        <v>9.8000000000000007</v>
      </c>
      <c r="AA1594" s="11">
        <v>-2</v>
      </c>
      <c r="AB1594" s="11">
        <v>0</v>
      </c>
      <c r="AC1594" s="11">
        <v>0</v>
      </c>
      <c r="AD1594" s="11">
        <v>0</v>
      </c>
      <c r="AE1594" s="11">
        <v>0</v>
      </c>
      <c r="AF1594" s="11">
        <f t="shared" si="72"/>
        <v>0.46800000000000003</v>
      </c>
      <c r="AG1594" s="11">
        <f t="shared" si="73"/>
        <v>8.2680000000000007</v>
      </c>
      <c r="AH1594" s="11">
        <v>0</v>
      </c>
      <c r="AI1594" s="11">
        <f t="shared" si="74"/>
        <v>8.2680000000000007</v>
      </c>
      <c r="AJ1594" t="s">
        <v>62</v>
      </c>
    </row>
    <row r="1595" spans="1:36" ht="15" customHeight="1" x14ac:dyDescent="0.35">
      <c r="A1595">
        <v>10428918</v>
      </c>
      <c r="B1595" t="s">
        <v>36</v>
      </c>
      <c r="C1595" t="s">
        <v>37</v>
      </c>
      <c r="D1595" s="6" t="s">
        <v>38</v>
      </c>
      <c r="E1595" t="s">
        <v>4734</v>
      </c>
      <c r="F1595" t="s">
        <v>40</v>
      </c>
      <c r="G1595" t="s">
        <v>41</v>
      </c>
      <c r="H1595" t="s">
        <v>4735</v>
      </c>
      <c r="I1595" t="s">
        <v>43</v>
      </c>
      <c r="J1595">
        <v>2</v>
      </c>
      <c r="K1595" t="s">
        <v>44</v>
      </c>
      <c r="L1595" t="s">
        <v>45</v>
      </c>
      <c r="M1595" t="s">
        <v>46</v>
      </c>
      <c r="N1595" s="7">
        <v>3</v>
      </c>
      <c r="O1595" s="8">
        <v>45636.863483796296</v>
      </c>
      <c r="P1595" s="9">
        <v>45639</v>
      </c>
      <c r="Q1595" t="s">
        <v>74</v>
      </c>
      <c r="R1595" t="s">
        <v>48</v>
      </c>
      <c r="S1595" t="s">
        <v>49</v>
      </c>
      <c r="T1595" t="s">
        <v>80</v>
      </c>
      <c r="U1595" t="s">
        <v>4736</v>
      </c>
      <c r="V1595">
        <v>8300</v>
      </c>
      <c r="W1595" t="s">
        <v>48</v>
      </c>
      <c r="X1595" t="s">
        <v>53</v>
      </c>
      <c r="Y1595" t="s">
        <v>54</v>
      </c>
      <c r="Z1595" s="12">
        <f>IF(N1595&lt;=1,9,9+0.8*ROUNDUP(N1595-1,0))</f>
        <v>10.6</v>
      </c>
      <c r="AA1595" s="11">
        <v>-2</v>
      </c>
      <c r="AB1595" s="11">
        <v>0</v>
      </c>
      <c r="AC1595" s="11">
        <v>0</v>
      </c>
      <c r="AD1595" s="11">
        <v>0</v>
      </c>
      <c r="AE1595" s="11">
        <v>0</v>
      </c>
      <c r="AF1595" s="11">
        <f t="shared" si="72"/>
        <v>0.51600000000000001</v>
      </c>
      <c r="AG1595" s="11">
        <f t="shared" si="73"/>
        <v>9.1159999999999997</v>
      </c>
      <c r="AH1595" s="11">
        <v>0</v>
      </c>
      <c r="AI1595" s="11">
        <f t="shared" si="74"/>
        <v>9.1159999999999997</v>
      </c>
      <c r="AJ1595" t="s">
        <v>62</v>
      </c>
    </row>
    <row r="1596" spans="1:36" ht="15" customHeight="1" x14ac:dyDescent="0.35">
      <c r="A1596">
        <v>10428918</v>
      </c>
      <c r="B1596" t="s">
        <v>36</v>
      </c>
      <c r="C1596" t="s">
        <v>37</v>
      </c>
      <c r="D1596" s="6" t="s">
        <v>38</v>
      </c>
      <c r="E1596" t="s">
        <v>4737</v>
      </c>
      <c r="F1596" t="s">
        <v>40</v>
      </c>
      <c r="G1596" t="s">
        <v>41</v>
      </c>
      <c r="H1596" t="s">
        <v>4738</v>
      </c>
      <c r="I1596" t="s">
        <v>43</v>
      </c>
      <c r="J1596">
        <v>2</v>
      </c>
      <c r="K1596" t="s">
        <v>44</v>
      </c>
      <c r="L1596" t="s">
        <v>45</v>
      </c>
      <c r="M1596" t="s">
        <v>46</v>
      </c>
      <c r="N1596" s="7">
        <v>2</v>
      </c>
      <c r="O1596" s="8">
        <v>45637.431793981479</v>
      </c>
      <c r="P1596" s="9">
        <v>45639</v>
      </c>
      <c r="Q1596" t="s">
        <v>74</v>
      </c>
      <c r="R1596" t="s">
        <v>48</v>
      </c>
      <c r="S1596" t="s">
        <v>49</v>
      </c>
      <c r="T1596" t="s">
        <v>69</v>
      </c>
      <c r="U1596" t="s">
        <v>4739</v>
      </c>
      <c r="V1596">
        <v>86000</v>
      </c>
      <c r="W1596" t="s">
        <v>48</v>
      </c>
      <c r="X1596" t="s">
        <v>613</v>
      </c>
      <c r="Y1596" t="s">
        <v>54</v>
      </c>
      <c r="Z1596" s="12">
        <f>IF(N1596&lt;=1,9,9+0.8*ROUNDUP(N1596-1,0))</f>
        <v>9.8000000000000007</v>
      </c>
      <c r="AA1596" s="11">
        <v>-2</v>
      </c>
      <c r="AB1596" s="11">
        <v>0</v>
      </c>
      <c r="AC1596" s="11">
        <v>0</v>
      </c>
      <c r="AD1596" s="11">
        <v>0</v>
      </c>
      <c r="AE1596" s="11">
        <v>0</v>
      </c>
      <c r="AF1596" s="11">
        <f t="shared" si="72"/>
        <v>0.46800000000000003</v>
      </c>
      <c r="AG1596" s="11">
        <f t="shared" si="73"/>
        <v>8.2680000000000007</v>
      </c>
      <c r="AH1596" s="11">
        <v>0</v>
      </c>
      <c r="AI1596" s="11">
        <f t="shared" si="74"/>
        <v>8.2680000000000007</v>
      </c>
      <c r="AJ1596" t="s">
        <v>62</v>
      </c>
    </row>
    <row r="1597" spans="1:36" ht="15" customHeight="1" x14ac:dyDescent="0.35">
      <c r="A1597">
        <v>10428918</v>
      </c>
      <c r="B1597" t="s">
        <v>36</v>
      </c>
      <c r="C1597" t="s">
        <v>37</v>
      </c>
      <c r="D1597" s="6" t="s">
        <v>38</v>
      </c>
      <c r="E1597" t="s">
        <v>4740</v>
      </c>
      <c r="F1597" t="s">
        <v>40</v>
      </c>
      <c r="G1597" t="s">
        <v>41</v>
      </c>
      <c r="H1597" t="s">
        <v>4741</v>
      </c>
      <c r="I1597" t="s">
        <v>43</v>
      </c>
      <c r="J1597">
        <v>2</v>
      </c>
      <c r="K1597" t="s">
        <v>44</v>
      </c>
      <c r="L1597" t="s">
        <v>45</v>
      </c>
      <c r="M1597" t="s">
        <v>46</v>
      </c>
      <c r="N1597" s="7">
        <v>2</v>
      </c>
      <c r="O1597" s="8">
        <v>45638.6249537037</v>
      </c>
      <c r="P1597" s="9">
        <v>45639</v>
      </c>
      <c r="Q1597" t="s">
        <v>47</v>
      </c>
      <c r="R1597" t="s">
        <v>48</v>
      </c>
      <c r="S1597" t="s">
        <v>49</v>
      </c>
      <c r="T1597" t="s">
        <v>117</v>
      </c>
      <c r="U1597" t="s">
        <v>4742</v>
      </c>
      <c r="V1597">
        <v>43500</v>
      </c>
      <c r="W1597" t="s">
        <v>48</v>
      </c>
      <c r="X1597" t="s">
        <v>228</v>
      </c>
      <c r="Y1597" t="s">
        <v>54</v>
      </c>
      <c r="Z1597" s="12">
        <f>IF(N1597&lt;=1,9,9+0.8*ROUNDUP(N1597-1,0))</f>
        <v>9.8000000000000007</v>
      </c>
      <c r="AA1597" s="11">
        <v>-2</v>
      </c>
      <c r="AB1597" s="11">
        <v>0</v>
      </c>
      <c r="AC1597" s="11">
        <v>0</v>
      </c>
      <c r="AD1597" s="11">
        <v>0</v>
      </c>
      <c r="AE1597" s="11">
        <v>0</v>
      </c>
      <c r="AF1597" s="11">
        <f t="shared" si="72"/>
        <v>0.46800000000000003</v>
      </c>
      <c r="AG1597" s="11">
        <f t="shared" si="73"/>
        <v>8.2680000000000007</v>
      </c>
      <c r="AH1597" s="11">
        <v>0</v>
      </c>
      <c r="AI1597" s="11">
        <f t="shared" si="74"/>
        <v>8.2680000000000007</v>
      </c>
      <c r="AJ1597" t="s">
        <v>62</v>
      </c>
    </row>
    <row r="1598" spans="1:36" ht="15" customHeight="1" x14ac:dyDescent="0.35">
      <c r="A1598">
        <v>10428918</v>
      </c>
      <c r="B1598" t="s">
        <v>36</v>
      </c>
      <c r="C1598" t="s">
        <v>37</v>
      </c>
      <c r="D1598" s="6" t="s">
        <v>38</v>
      </c>
      <c r="E1598" t="s">
        <v>4743</v>
      </c>
      <c r="F1598" t="s">
        <v>40</v>
      </c>
      <c r="G1598" t="s">
        <v>41</v>
      </c>
      <c r="H1598" t="s">
        <v>1950</v>
      </c>
      <c r="I1598" t="s">
        <v>43</v>
      </c>
      <c r="J1598">
        <v>2</v>
      </c>
      <c r="K1598" t="s">
        <v>44</v>
      </c>
      <c r="L1598" t="s">
        <v>45</v>
      </c>
      <c r="M1598" t="s">
        <v>46</v>
      </c>
      <c r="N1598" s="7">
        <v>1</v>
      </c>
      <c r="O1598" s="8">
        <v>45638.511284722219</v>
      </c>
      <c r="P1598" s="9">
        <v>45639</v>
      </c>
      <c r="Q1598" t="s">
        <v>47</v>
      </c>
      <c r="R1598" t="s">
        <v>48</v>
      </c>
      <c r="S1598" t="s">
        <v>49</v>
      </c>
      <c r="T1598" t="s">
        <v>117</v>
      </c>
      <c r="U1598" t="s">
        <v>1951</v>
      </c>
      <c r="V1598">
        <v>43500</v>
      </c>
      <c r="W1598" t="s">
        <v>48</v>
      </c>
      <c r="X1598" t="s">
        <v>398</v>
      </c>
      <c r="Y1598" t="s">
        <v>54</v>
      </c>
      <c r="Z1598" s="12">
        <f>IF(N1598&lt;=1,9,9+0.8*ROUNDUP(N1598-1,0))</f>
        <v>9</v>
      </c>
      <c r="AA1598" s="11">
        <v>-2</v>
      </c>
      <c r="AB1598" s="11">
        <v>0</v>
      </c>
      <c r="AC1598" s="11">
        <v>0</v>
      </c>
      <c r="AD1598" s="11">
        <v>0</v>
      </c>
      <c r="AE1598" s="11">
        <v>0</v>
      </c>
      <c r="AF1598" s="11">
        <f t="shared" si="72"/>
        <v>0.42</v>
      </c>
      <c r="AG1598" s="11">
        <f t="shared" si="73"/>
        <v>7.42</v>
      </c>
      <c r="AH1598" s="11">
        <v>0</v>
      </c>
      <c r="AI1598" s="11">
        <f t="shared" si="74"/>
        <v>7.42</v>
      </c>
      <c r="AJ1598" t="s">
        <v>62</v>
      </c>
    </row>
    <row r="1599" spans="1:36" ht="15" customHeight="1" x14ac:dyDescent="0.35">
      <c r="A1599">
        <v>10428918</v>
      </c>
      <c r="B1599" t="s">
        <v>36</v>
      </c>
      <c r="C1599" t="s">
        <v>37</v>
      </c>
      <c r="D1599" s="6" t="s">
        <v>38</v>
      </c>
      <c r="E1599" t="s">
        <v>4744</v>
      </c>
      <c r="F1599" t="s">
        <v>40</v>
      </c>
      <c r="G1599" t="s">
        <v>41</v>
      </c>
      <c r="H1599" t="s">
        <v>4745</v>
      </c>
      <c r="I1599" t="s">
        <v>43</v>
      </c>
      <c r="J1599">
        <v>2</v>
      </c>
      <c r="K1599" t="s">
        <v>44</v>
      </c>
      <c r="L1599" t="s">
        <v>45</v>
      </c>
      <c r="M1599" t="s">
        <v>46</v>
      </c>
      <c r="N1599" s="7">
        <v>2</v>
      </c>
      <c r="O1599" s="8">
        <v>45637.654976851853</v>
      </c>
      <c r="P1599" s="9">
        <v>45639</v>
      </c>
      <c r="Q1599" t="s">
        <v>74</v>
      </c>
      <c r="R1599" t="s">
        <v>48</v>
      </c>
      <c r="S1599" t="s">
        <v>49</v>
      </c>
      <c r="T1599" t="s">
        <v>80</v>
      </c>
      <c r="U1599" t="s">
        <v>4746</v>
      </c>
      <c r="V1599">
        <v>9100</v>
      </c>
      <c r="W1599" t="s">
        <v>48</v>
      </c>
      <c r="X1599" t="s">
        <v>1388</v>
      </c>
      <c r="Y1599" t="s">
        <v>54</v>
      </c>
      <c r="Z1599" s="12">
        <f>IF(N1599&lt;=1,9,9+0.8*ROUNDUP(N1599-1,0))</f>
        <v>9.8000000000000007</v>
      </c>
      <c r="AA1599" s="11">
        <v>-2</v>
      </c>
      <c r="AB1599" s="11">
        <v>0</v>
      </c>
      <c r="AC1599" s="11">
        <v>0</v>
      </c>
      <c r="AD1599" s="11">
        <v>0</v>
      </c>
      <c r="AE1599" s="11">
        <v>0</v>
      </c>
      <c r="AF1599" s="11">
        <f t="shared" si="72"/>
        <v>0.46800000000000003</v>
      </c>
      <c r="AG1599" s="11">
        <f t="shared" si="73"/>
        <v>8.2680000000000007</v>
      </c>
      <c r="AH1599" s="11">
        <v>0</v>
      </c>
      <c r="AI1599" s="11">
        <f t="shared" si="74"/>
        <v>8.2680000000000007</v>
      </c>
      <c r="AJ1599" t="s">
        <v>62</v>
      </c>
    </row>
    <row r="1600" spans="1:36" ht="15" customHeight="1" x14ac:dyDescent="0.35">
      <c r="A1600">
        <v>10428918</v>
      </c>
      <c r="B1600" t="s">
        <v>36</v>
      </c>
      <c r="C1600" t="s">
        <v>37</v>
      </c>
      <c r="D1600" s="6" t="s">
        <v>38</v>
      </c>
      <c r="E1600" t="s">
        <v>4747</v>
      </c>
      <c r="F1600" t="s">
        <v>40</v>
      </c>
      <c r="G1600" t="s">
        <v>41</v>
      </c>
      <c r="H1600" t="s">
        <v>3847</v>
      </c>
      <c r="I1600" t="s">
        <v>43</v>
      </c>
      <c r="J1600">
        <v>2</v>
      </c>
      <c r="K1600" t="s">
        <v>44</v>
      </c>
      <c r="L1600" t="s">
        <v>45</v>
      </c>
      <c r="M1600" t="s">
        <v>46</v>
      </c>
      <c r="N1600" s="7">
        <v>1</v>
      </c>
      <c r="O1600" s="8">
        <v>45637.426736111112</v>
      </c>
      <c r="P1600" s="9">
        <v>45639</v>
      </c>
      <c r="Q1600" t="s">
        <v>74</v>
      </c>
      <c r="R1600" t="s">
        <v>48</v>
      </c>
      <c r="S1600" t="s">
        <v>49</v>
      </c>
      <c r="T1600" t="s">
        <v>69</v>
      </c>
      <c r="U1600" t="s">
        <v>3848</v>
      </c>
      <c r="V1600">
        <v>81300</v>
      </c>
      <c r="W1600" t="s">
        <v>48</v>
      </c>
      <c r="X1600" t="s">
        <v>394</v>
      </c>
      <c r="Y1600" t="s">
        <v>54</v>
      </c>
      <c r="Z1600" s="12">
        <f>IF(N1600&lt;=1,9,9+0.8*ROUNDUP(N1600-1,0))</f>
        <v>9</v>
      </c>
      <c r="AA1600" s="11">
        <v>-2</v>
      </c>
      <c r="AB1600" s="11">
        <v>0</v>
      </c>
      <c r="AC1600" s="11">
        <v>0</v>
      </c>
      <c r="AD1600" s="11">
        <v>0</v>
      </c>
      <c r="AE1600" s="11">
        <v>0</v>
      </c>
      <c r="AF1600" s="11">
        <f t="shared" si="72"/>
        <v>0.42</v>
      </c>
      <c r="AG1600" s="11">
        <f t="shared" si="73"/>
        <v>7.42</v>
      </c>
      <c r="AH1600" s="11">
        <v>0</v>
      </c>
      <c r="AI1600" s="11">
        <f t="shared" si="74"/>
        <v>7.42</v>
      </c>
      <c r="AJ1600" t="s">
        <v>62</v>
      </c>
    </row>
    <row r="1601" spans="1:36" ht="15" customHeight="1" x14ac:dyDescent="0.35">
      <c r="A1601">
        <v>10428918</v>
      </c>
      <c r="B1601" t="s">
        <v>36</v>
      </c>
      <c r="C1601" t="s">
        <v>37</v>
      </c>
      <c r="D1601" s="6" t="s">
        <v>38</v>
      </c>
      <c r="E1601" t="s">
        <v>4748</v>
      </c>
      <c r="F1601" t="s">
        <v>40</v>
      </c>
      <c r="G1601" t="s">
        <v>41</v>
      </c>
      <c r="H1601" t="s">
        <v>4749</v>
      </c>
      <c r="I1601" t="s">
        <v>43</v>
      </c>
      <c r="J1601">
        <v>2</v>
      </c>
      <c r="K1601" t="s">
        <v>44</v>
      </c>
      <c r="L1601" t="s">
        <v>45</v>
      </c>
      <c r="M1601" t="s">
        <v>46</v>
      </c>
      <c r="N1601" s="7">
        <v>2</v>
      </c>
      <c r="O1601" s="8">
        <v>45636.845393518517</v>
      </c>
      <c r="P1601" s="9">
        <v>45639</v>
      </c>
      <c r="Q1601" t="s">
        <v>74</v>
      </c>
      <c r="R1601" t="s">
        <v>48</v>
      </c>
      <c r="S1601" t="s">
        <v>49</v>
      </c>
      <c r="T1601" t="s">
        <v>69</v>
      </c>
      <c r="U1601" t="s">
        <v>4750</v>
      </c>
      <c r="V1601">
        <v>81300</v>
      </c>
      <c r="W1601" t="s">
        <v>48</v>
      </c>
      <c r="X1601" t="s">
        <v>53</v>
      </c>
      <c r="Y1601" t="s">
        <v>54</v>
      </c>
      <c r="Z1601" s="12">
        <f>IF(N1601&lt;=1,9,9+0.8*ROUNDUP(N1601-1,0))</f>
        <v>9.8000000000000007</v>
      </c>
      <c r="AA1601" s="11">
        <v>-2</v>
      </c>
      <c r="AB1601" s="11">
        <v>0</v>
      </c>
      <c r="AC1601" s="11">
        <v>0</v>
      </c>
      <c r="AD1601" s="11">
        <v>0</v>
      </c>
      <c r="AE1601" s="11">
        <v>0</v>
      </c>
      <c r="AF1601" s="11">
        <f t="shared" si="72"/>
        <v>0.46800000000000003</v>
      </c>
      <c r="AG1601" s="11">
        <f t="shared" si="73"/>
        <v>8.2680000000000007</v>
      </c>
      <c r="AH1601" s="11">
        <v>0</v>
      </c>
      <c r="AI1601" s="11">
        <f t="shared" si="74"/>
        <v>8.2680000000000007</v>
      </c>
      <c r="AJ1601" t="s">
        <v>62</v>
      </c>
    </row>
    <row r="1602" spans="1:36" ht="15" customHeight="1" x14ac:dyDescent="0.35">
      <c r="A1602">
        <v>10428918</v>
      </c>
      <c r="B1602" t="s">
        <v>36</v>
      </c>
      <c r="C1602" t="s">
        <v>37</v>
      </c>
      <c r="D1602" s="6" t="s">
        <v>38</v>
      </c>
      <c r="E1602" t="s">
        <v>4751</v>
      </c>
      <c r="F1602" t="s">
        <v>40</v>
      </c>
      <c r="G1602" t="s">
        <v>41</v>
      </c>
      <c r="H1602" t="s">
        <v>4752</v>
      </c>
      <c r="I1602" t="s">
        <v>43</v>
      </c>
      <c r="J1602">
        <v>2</v>
      </c>
      <c r="K1602" t="s">
        <v>44</v>
      </c>
      <c r="L1602" t="s">
        <v>45</v>
      </c>
      <c r="M1602" t="s">
        <v>46</v>
      </c>
      <c r="N1602" s="7">
        <v>1</v>
      </c>
      <c r="O1602" s="8">
        <v>45637.431793981479</v>
      </c>
      <c r="P1602" s="9">
        <v>45639</v>
      </c>
      <c r="Q1602" t="s">
        <v>74</v>
      </c>
      <c r="R1602" t="s">
        <v>48</v>
      </c>
      <c r="S1602" t="s">
        <v>49</v>
      </c>
      <c r="T1602" t="s">
        <v>69</v>
      </c>
      <c r="U1602" t="s">
        <v>4753</v>
      </c>
      <c r="V1602">
        <v>79100</v>
      </c>
      <c r="W1602" t="s">
        <v>48</v>
      </c>
      <c r="X1602" t="s">
        <v>53</v>
      </c>
      <c r="Y1602" t="s">
        <v>54</v>
      </c>
      <c r="Z1602" s="12">
        <f>IF(N1602&lt;=1,9,9+0.8*ROUNDUP(N1602-1,0))</f>
        <v>9</v>
      </c>
      <c r="AA1602" s="11">
        <v>-2</v>
      </c>
      <c r="AB1602" s="11">
        <v>0</v>
      </c>
      <c r="AC1602" s="11">
        <v>0</v>
      </c>
      <c r="AD1602" s="11">
        <v>0</v>
      </c>
      <c r="AE1602" s="11">
        <v>0</v>
      </c>
      <c r="AF1602" s="11">
        <f t="shared" ref="AF1602:AF1665" si="75">(Z1602+AA1602+AC1602+AE1602)*6%</f>
        <v>0.42</v>
      </c>
      <c r="AG1602" s="11">
        <f t="shared" ref="AG1602:AG1665" si="76">Z1602+AA1602+AC1602+AE1602+AF1602</f>
        <v>7.42</v>
      </c>
      <c r="AH1602" s="11">
        <v>0</v>
      </c>
      <c r="AI1602" s="11">
        <f t="shared" ref="AI1602:AI1665" si="77">AG1602+AH1602</f>
        <v>7.42</v>
      </c>
      <c r="AJ1602" t="s">
        <v>62</v>
      </c>
    </row>
    <row r="1603" spans="1:36" ht="15" customHeight="1" x14ac:dyDescent="0.35">
      <c r="A1603">
        <v>10428918</v>
      </c>
      <c r="B1603" t="s">
        <v>36</v>
      </c>
      <c r="C1603" t="s">
        <v>37</v>
      </c>
      <c r="D1603" s="6" t="s">
        <v>38</v>
      </c>
      <c r="E1603" t="s">
        <v>4754</v>
      </c>
      <c r="F1603" t="s">
        <v>40</v>
      </c>
      <c r="G1603" t="s">
        <v>41</v>
      </c>
      <c r="H1603" t="s">
        <v>4755</v>
      </c>
      <c r="I1603" t="s">
        <v>43</v>
      </c>
      <c r="J1603">
        <v>2</v>
      </c>
      <c r="K1603" t="s">
        <v>44</v>
      </c>
      <c r="L1603" t="s">
        <v>45</v>
      </c>
      <c r="M1603" t="s">
        <v>46</v>
      </c>
      <c r="N1603" s="7">
        <v>1</v>
      </c>
      <c r="O1603" s="8">
        <v>45636.440381944441</v>
      </c>
      <c r="P1603" s="9">
        <v>45639</v>
      </c>
      <c r="Q1603" t="s">
        <v>74</v>
      </c>
      <c r="R1603" t="s">
        <v>48</v>
      </c>
      <c r="S1603" t="s">
        <v>49</v>
      </c>
      <c r="T1603" t="s">
        <v>80</v>
      </c>
      <c r="U1603" t="s">
        <v>4756</v>
      </c>
      <c r="V1603">
        <v>6010</v>
      </c>
      <c r="W1603" t="s">
        <v>48</v>
      </c>
      <c r="X1603" t="s">
        <v>522</v>
      </c>
      <c r="Y1603" t="s">
        <v>54</v>
      </c>
      <c r="Z1603" s="12">
        <f>IF(N1603&lt;=1,9,9+0.8*ROUNDUP(N1603-1,0))</f>
        <v>9</v>
      </c>
      <c r="AA1603" s="11">
        <v>-2</v>
      </c>
      <c r="AB1603" s="11">
        <v>0</v>
      </c>
      <c r="AC1603" s="11">
        <v>0</v>
      </c>
      <c r="AD1603" s="11">
        <v>0</v>
      </c>
      <c r="AE1603" s="11">
        <v>0</v>
      </c>
      <c r="AF1603" s="11">
        <f t="shared" si="75"/>
        <v>0.42</v>
      </c>
      <c r="AG1603" s="11">
        <f t="shared" si="76"/>
        <v>7.42</v>
      </c>
      <c r="AH1603" s="11">
        <v>0</v>
      </c>
      <c r="AI1603" s="11">
        <f t="shared" si="77"/>
        <v>7.42</v>
      </c>
      <c r="AJ1603" t="s">
        <v>62</v>
      </c>
    </row>
    <row r="1604" spans="1:36" ht="15" customHeight="1" x14ac:dyDescent="0.35">
      <c r="A1604">
        <v>10428918</v>
      </c>
      <c r="B1604" t="s">
        <v>36</v>
      </c>
      <c r="C1604" t="s">
        <v>37</v>
      </c>
      <c r="D1604" s="6" t="s">
        <v>38</v>
      </c>
      <c r="E1604" t="s">
        <v>4757</v>
      </c>
      <c r="F1604" t="s">
        <v>40</v>
      </c>
      <c r="G1604" t="s">
        <v>41</v>
      </c>
      <c r="H1604" t="s">
        <v>4629</v>
      </c>
      <c r="I1604" t="s">
        <v>43</v>
      </c>
      <c r="J1604">
        <v>2</v>
      </c>
      <c r="K1604" t="s">
        <v>44</v>
      </c>
      <c r="L1604" t="s">
        <v>45</v>
      </c>
      <c r="M1604" t="s">
        <v>46</v>
      </c>
      <c r="N1604" s="7">
        <v>15</v>
      </c>
      <c r="O1604" s="8">
        <v>45636.458657407406</v>
      </c>
      <c r="P1604" s="9">
        <v>45639</v>
      </c>
      <c r="Q1604" t="s">
        <v>74</v>
      </c>
      <c r="R1604" t="s">
        <v>48</v>
      </c>
      <c r="S1604" t="s">
        <v>49</v>
      </c>
      <c r="T1604" t="s">
        <v>69</v>
      </c>
      <c r="U1604" t="s">
        <v>4630</v>
      </c>
      <c r="V1604">
        <v>81100</v>
      </c>
      <c r="W1604" t="s">
        <v>48</v>
      </c>
      <c r="X1604" t="s">
        <v>771</v>
      </c>
      <c r="Y1604" t="s">
        <v>54</v>
      </c>
      <c r="Z1604" s="12">
        <f>IF(N1604&lt;=1,9,9+0.8*ROUNDUP(N1604-1,0))</f>
        <v>20.200000000000003</v>
      </c>
      <c r="AA1604" s="11">
        <v>-2</v>
      </c>
      <c r="AB1604" s="11">
        <v>0</v>
      </c>
      <c r="AC1604" s="11">
        <v>0</v>
      </c>
      <c r="AD1604" s="11">
        <v>0</v>
      </c>
      <c r="AE1604" s="11">
        <v>0</v>
      </c>
      <c r="AF1604" s="11">
        <f t="shared" si="75"/>
        <v>1.0920000000000001</v>
      </c>
      <c r="AG1604" s="11">
        <f t="shared" si="76"/>
        <v>19.292000000000002</v>
      </c>
      <c r="AH1604" s="11">
        <v>0</v>
      </c>
      <c r="AI1604" s="11">
        <f t="shared" si="77"/>
        <v>19.292000000000002</v>
      </c>
      <c r="AJ1604" t="s">
        <v>62</v>
      </c>
    </row>
    <row r="1605" spans="1:36" ht="15" customHeight="1" x14ac:dyDescent="0.35">
      <c r="A1605">
        <v>10428918</v>
      </c>
      <c r="B1605" t="s">
        <v>36</v>
      </c>
      <c r="C1605" t="s">
        <v>37</v>
      </c>
      <c r="D1605" s="6" t="s">
        <v>38</v>
      </c>
      <c r="E1605" t="s">
        <v>4758</v>
      </c>
      <c r="F1605" t="s">
        <v>40</v>
      </c>
      <c r="G1605" t="s">
        <v>41</v>
      </c>
      <c r="H1605" t="s">
        <v>4759</v>
      </c>
      <c r="I1605" t="s">
        <v>43</v>
      </c>
      <c r="J1605">
        <v>2</v>
      </c>
      <c r="K1605" t="s">
        <v>44</v>
      </c>
      <c r="L1605" t="s">
        <v>45</v>
      </c>
      <c r="M1605" t="s">
        <v>46</v>
      </c>
      <c r="N1605" s="7">
        <v>1</v>
      </c>
      <c r="O1605" s="8">
        <v>45638.504386574074</v>
      </c>
      <c r="P1605" s="9">
        <v>45639</v>
      </c>
      <c r="Q1605" t="s">
        <v>47</v>
      </c>
      <c r="R1605" t="s">
        <v>48</v>
      </c>
      <c r="S1605" t="s">
        <v>49</v>
      </c>
      <c r="T1605" t="s">
        <v>117</v>
      </c>
      <c r="U1605" t="s">
        <v>4760</v>
      </c>
      <c r="V1605">
        <v>42700</v>
      </c>
      <c r="W1605" t="s">
        <v>48</v>
      </c>
      <c r="X1605" t="s">
        <v>53</v>
      </c>
      <c r="Y1605" t="s">
        <v>54</v>
      </c>
      <c r="Z1605" s="12">
        <f>IF(N1605&lt;=1,9,9+0.8*ROUNDUP(N1605-1,0))</f>
        <v>9</v>
      </c>
      <c r="AA1605" s="11">
        <v>-2</v>
      </c>
      <c r="AB1605" s="11">
        <v>0</v>
      </c>
      <c r="AC1605" s="11">
        <v>0</v>
      </c>
      <c r="AD1605" s="11">
        <v>0</v>
      </c>
      <c r="AE1605" s="11">
        <v>0</v>
      </c>
      <c r="AF1605" s="11">
        <f t="shared" si="75"/>
        <v>0.42</v>
      </c>
      <c r="AG1605" s="11">
        <f t="shared" si="76"/>
        <v>7.42</v>
      </c>
      <c r="AH1605" s="11">
        <v>0</v>
      </c>
      <c r="AI1605" s="11">
        <f t="shared" si="77"/>
        <v>7.42</v>
      </c>
      <c r="AJ1605" t="s">
        <v>62</v>
      </c>
    </row>
    <row r="1606" spans="1:36" ht="15" customHeight="1" x14ac:dyDescent="0.35">
      <c r="A1606">
        <v>10428918</v>
      </c>
      <c r="B1606" t="s">
        <v>36</v>
      </c>
      <c r="C1606" t="s">
        <v>37</v>
      </c>
      <c r="D1606" s="6" t="s">
        <v>38</v>
      </c>
      <c r="E1606" t="s">
        <v>4761</v>
      </c>
      <c r="F1606" t="s">
        <v>40</v>
      </c>
      <c r="G1606" t="s">
        <v>41</v>
      </c>
      <c r="H1606" t="s">
        <v>4762</v>
      </c>
      <c r="I1606" t="s">
        <v>43</v>
      </c>
      <c r="J1606">
        <v>2</v>
      </c>
      <c r="K1606" t="s">
        <v>44</v>
      </c>
      <c r="L1606" t="s">
        <v>45</v>
      </c>
      <c r="M1606" t="s">
        <v>46</v>
      </c>
      <c r="N1606" s="7">
        <v>1</v>
      </c>
      <c r="O1606" s="8">
        <v>45637.678842592592</v>
      </c>
      <c r="P1606" s="9">
        <v>45639</v>
      </c>
      <c r="Q1606" t="s">
        <v>74</v>
      </c>
      <c r="R1606" t="s">
        <v>48</v>
      </c>
      <c r="S1606" t="s">
        <v>49</v>
      </c>
      <c r="T1606" t="s">
        <v>161</v>
      </c>
      <c r="U1606" t="s">
        <v>4763</v>
      </c>
      <c r="V1606">
        <v>11600</v>
      </c>
      <c r="W1606" t="s">
        <v>48</v>
      </c>
      <c r="X1606" t="s">
        <v>1973</v>
      </c>
      <c r="Y1606" t="s">
        <v>54</v>
      </c>
      <c r="Z1606" s="12">
        <f>IF(N1606&lt;=1,9,9+0.8*ROUNDUP(N1606-1,0))</f>
        <v>9</v>
      </c>
      <c r="AA1606" s="11">
        <v>-2</v>
      </c>
      <c r="AB1606" s="11">
        <v>0</v>
      </c>
      <c r="AC1606" s="11">
        <v>0</v>
      </c>
      <c r="AD1606" s="11">
        <v>0</v>
      </c>
      <c r="AE1606" s="11">
        <v>0</v>
      </c>
      <c r="AF1606" s="11">
        <f t="shared" si="75"/>
        <v>0.42</v>
      </c>
      <c r="AG1606" s="11">
        <f t="shared" si="76"/>
        <v>7.42</v>
      </c>
      <c r="AH1606" s="11">
        <v>0</v>
      </c>
      <c r="AI1606" s="11">
        <f t="shared" si="77"/>
        <v>7.42</v>
      </c>
      <c r="AJ1606" t="s">
        <v>62</v>
      </c>
    </row>
    <row r="1607" spans="1:36" ht="15" customHeight="1" x14ac:dyDescent="0.35">
      <c r="A1607">
        <v>10428918</v>
      </c>
      <c r="B1607" t="s">
        <v>36</v>
      </c>
      <c r="C1607" t="s">
        <v>37</v>
      </c>
      <c r="D1607" s="6" t="s">
        <v>38</v>
      </c>
      <c r="E1607" t="s">
        <v>4764</v>
      </c>
      <c r="F1607" t="s">
        <v>40</v>
      </c>
      <c r="G1607" t="s">
        <v>41</v>
      </c>
      <c r="H1607" t="s">
        <v>4629</v>
      </c>
      <c r="I1607" t="s">
        <v>43</v>
      </c>
      <c r="J1607">
        <v>2</v>
      </c>
      <c r="K1607" t="s">
        <v>44</v>
      </c>
      <c r="L1607" t="s">
        <v>45</v>
      </c>
      <c r="M1607" t="s">
        <v>46</v>
      </c>
      <c r="N1607" s="7">
        <v>13</v>
      </c>
      <c r="O1607" s="8">
        <v>45636.458657407406</v>
      </c>
      <c r="P1607" s="9">
        <v>45639</v>
      </c>
      <c r="Q1607" t="s">
        <v>74</v>
      </c>
      <c r="R1607" t="s">
        <v>48</v>
      </c>
      <c r="S1607" t="s">
        <v>49</v>
      </c>
      <c r="T1607" t="s">
        <v>69</v>
      </c>
      <c r="U1607" t="s">
        <v>4630</v>
      </c>
      <c r="V1607">
        <v>81100</v>
      </c>
      <c r="W1607" t="s">
        <v>48</v>
      </c>
      <c r="X1607" t="s">
        <v>771</v>
      </c>
      <c r="Y1607" t="s">
        <v>54</v>
      </c>
      <c r="Z1607" s="12">
        <f>IF(N1607&lt;=1,9,9+0.8*ROUNDUP(N1607-1,0))</f>
        <v>18.600000000000001</v>
      </c>
      <c r="AA1607" s="11">
        <v>-2</v>
      </c>
      <c r="AB1607" s="11">
        <v>0</v>
      </c>
      <c r="AC1607" s="11">
        <v>0</v>
      </c>
      <c r="AD1607" s="11">
        <v>0</v>
      </c>
      <c r="AE1607" s="11">
        <v>0</v>
      </c>
      <c r="AF1607" s="11">
        <f t="shared" si="75"/>
        <v>0.996</v>
      </c>
      <c r="AG1607" s="11">
        <f t="shared" si="76"/>
        <v>17.596</v>
      </c>
      <c r="AH1607" s="11">
        <v>0</v>
      </c>
      <c r="AI1607" s="11">
        <f t="shared" si="77"/>
        <v>17.596</v>
      </c>
      <c r="AJ1607" t="s">
        <v>62</v>
      </c>
    </row>
    <row r="1608" spans="1:36" ht="15" customHeight="1" x14ac:dyDescent="0.35">
      <c r="A1608">
        <v>10428918</v>
      </c>
      <c r="B1608" t="s">
        <v>36</v>
      </c>
      <c r="C1608" t="s">
        <v>37</v>
      </c>
      <c r="D1608" s="6" t="s">
        <v>38</v>
      </c>
      <c r="E1608" t="s">
        <v>4765</v>
      </c>
      <c r="F1608" t="s">
        <v>40</v>
      </c>
      <c r="G1608" t="s">
        <v>41</v>
      </c>
      <c r="H1608" t="s">
        <v>4766</v>
      </c>
      <c r="I1608" t="s">
        <v>43</v>
      </c>
      <c r="J1608">
        <v>2</v>
      </c>
      <c r="K1608" t="s">
        <v>44</v>
      </c>
      <c r="L1608" t="s">
        <v>45</v>
      </c>
      <c r="M1608" t="s">
        <v>46</v>
      </c>
      <c r="N1608" s="7">
        <v>1</v>
      </c>
      <c r="O1608" s="8">
        <v>45638.511284722219</v>
      </c>
      <c r="P1608" s="9">
        <v>45639</v>
      </c>
      <c r="Q1608" t="s">
        <v>47</v>
      </c>
      <c r="R1608" t="s">
        <v>48</v>
      </c>
      <c r="S1608" t="s">
        <v>49</v>
      </c>
      <c r="T1608" t="s">
        <v>117</v>
      </c>
      <c r="U1608" t="s">
        <v>4767</v>
      </c>
      <c r="V1608">
        <v>42700</v>
      </c>
      <c r="W1608" t="s">
        <v>48</v>
      </c>
      <c r="X1608" t="s">
        <v>901</v>
      </c>
      <c r="Y1608" t="s">
        <v>54</v>
      </c>
      <c r="Z1608" s="12">
        <f>IF(N1608&lt;=1,9,9+0.8*ROUNDUP(N1608-1,0))</f>
        <v>9</v>
      </c>
      <c r="AA1608" s="11">
        <v>-2</v>
      </c>
      <c r="AB1608" s="11">
        <v>0</v>
      </c>
      <c r="AC1608" s="11">
        <v>0</v>
      </c>
      <c r="AD1608" s="11">
        <v>0</v>
      </c>
      <c r="AE1608" s="11">
        <v>0</v>
      </c>
      <c r="AF1608" s="11">
        <f t="shared" si="75"/>
        <v>0.42</v>
      </c>
      <c r="AG1608" s="11">
        <f t="shared" si="76"/>
        <v>7.42</v>
      </c>
      <c r="AH1608" s="11">
        <v>0</v>
      </c>
      <c r="AI1608" s="11">
        <f t="shared" si="77"/>
        <v>7.42</v>
      </c>
      <c r="AJ1608" t="s">
        <v>62</v>
      </c>
    </row>
    <row r="1609" spans="1:36" ht="15" customHeight="1" x14ac:dyDescent="0.35">
      <c r="A1609">
        <v>10428918</v>
      </c>
      <c r="B1609" t="s">
        <v>36</v>
      </c>
      <c r="C1609" t="s">
        <v>37</v>
      </c>
      <c r="D1609" s="6" t="s">
        <v>38</v>
      </c>
      <c r="E1609" t="s">
        <v>4768</v>
      </c>
      <c r="F1609" t="s">
        <v>40</v>
      </c>
      <c r="G1609" t="s">
        <v>41</v>
      </c>
      <c r="H1609" t="s">
        <v>4769</v>
      </c>
      <c r="I1609" t="s">
        <v>43</v>
      </c>
      <c r="J1609">
        <v>2</v>
      </c>
      <c r="K1609" t="s">
        <v>44</v>
      </c>
      <c r="L1609" t="s">
        <v>45</v>
      </c>
      <c r="M1609" t="s">
        <v>46</v>
      </c>
      <c r="N1609" s="7">
        <v>1</v>
      </c>
      <c r="O1609" s="8">
        <v>45636.864803240744</v>
      </c>
      <c r="P1609" s="9">
        <v>45639</v>
      </c>
      <c r="Q1609" t="s">
        <v>74</v>
      </c>
      <c r="R1609" t="s">
        <v>48</v>
      </c>
      <c r="S1609" t="s">
        <v>49</v>
      </c>
      <c r="T1609" t="s">
        <v>80</v>
      </c>
      <c r="U1609" t="s">
        <v>4770</v>
      </c>
      <c r="V1609">
        <v>9000</v>
      </c>
      <c r="W1609" t="s">
        <v>48</v>
      </c>
      <c r="X1609" t="s">
        <v>690</v>
      </c>
      <c r="Y1609" t="s">
        <v>54</v>
      </c>
      <c r="Z1609" s="12">
        <f>IF(N1609&lt;=1,9,9+0.8*ROUNDUP(N1609-1,0))</f>
        <v>9</v>
      </c>
      <c r="AA1609" s="11">
        <v>-2</v>
      </c>
      <c r="AB1609" s="11">
        <v>0</v>
      </c>
      <c r="AC1609" s="11">
        <v>0</v>
      </c>
      <c r="AD1609" s="11">
        <v>0</v>
      </c>
      <c r="AE1609" s="11">
        <v>0</v>
      </c>
      <c r="AF1609" s="11">
        <f t="shared" si="75"/>
        <v>0.42</v>
      </c>
      <c r="AG1609" s="11">
        <f t="shared" si="76"/>
        <v>7.42</v>
      </c>
      <c r="AH1609" s="11">
        <v>0</v>
      </c>
      <c r="AI1609" s="11">
        <f t="shared" si="77"/>
        <v>7.42</v>
      </c>
      <c r="AJ1609" t="s">
        <v>62</v>
      </c>
    </row>
    <row r="1610" spans="1:36" ht="15" customHeight="1" x14ac:dyDescent="0.35">
      <c r="A1610">
        <v>10428918</v>
      </c>
      <c r="B1610" t="s">
        <v>36</v>
      </c>
      <c r="C1610" t="s">
        <v>37</v>
      </c>
      <c r="D1610" s="6" t="s">
        <v>38</v>
      </c>
      <c r="E1610" t="s">
        <v>4771</v>
      </c>
      <c r="F1610" t="s">
        <v>40</v>
      </c>
      <c r="G1610" t="s">
        <v>41</v>
      </c>
      <c r="H1610" t="s">
        <v>4772</v>
      </c>
      <c r="I1610" t="s">
        <v>43</v>
      </c>
      <c r="J1610">
        <v>2</v>
      </c>
      <c r="K1610" t="s">
        <v>44</v>
      </c>
      <c r="L1610" t="s">
        <v>45</v>
      </c>
      <c r="M1610" t="s">
        <v>46</v>
      </c>
      <c r="N1610" s="7">
        <v>1</v>
      </c>
      <c r="O1610" s="8">
        <v>45638.504386574074</v>
      </c>
      <c r="P1610" s="9">
        <v>45639</v>
      </c>
      <c r="Q1610" t="s">
        <v>47</v>
      </c>
      <c r="R1610" t="s">
        <v>48</v>
      </c>
      <c r="S1610" t="s">
        <v>49</v>
      </c>
      <c r="T1610" t="s">
        <v>170</v>
      </c>
      <c r="U1610" t="s">
        <v>4773</v>
      </c>
      <c r="V1610">
        <v>52000</v>
      </c>
      <c r="W1610" t="s">
        <v>48</v>
      </c>
      <c r="X1610" t="s">
        <v>490</v>
      </c>
      <c r="Y1610" t="s">
        <v>54</v>
      </c>
      <c r="Z1610" s="12">
        <f>IF(N1610&lt;=1,9,9+0.8*ROUNDUP(N1610-1,0))</f>
        <v>9</v>
      </c>
      <c r="AA1610" s="11">
        <v>-2</v>
      </c>
      <c r="AB1610" s="11">
        <v>0</v>
      </c>
      <c r="AC1610" s="11">
        <v>0</v>
      </c>
      <c r="AD1610" s="11">
        <v>0</v>
      </c>
      <c r="AE1610" s="11">
        <v>0</v>
      </c>
      <c r="AF1610" s="11">
        <f t="shared" si="75"/>
        <v>0.42</v>
      </c>
      <c r="AG1610" s="11">
        <f t="shared" si="76"/>
        <v>7.42</v>
      </c>
      <c r="AH1610" s="11">
        <v>0</v>
      </c>
      <c r="AI1610" s="11">
        <f t="shared" si="77"/>
        <v>7.42</v>
      </c>
      <c r="AJ1610" t="s">
        <v>62</v>
      </c>
    </row>
    <row r="1611" spans="1:36" ht="15" customHeight="1" x14ac:dyDescent="0.35">
      <c r="A1611">
        <v>10428918</v>
      </c>
      <c r="B1611" t="s">
        <v>36</v>
      </c>
      <c r="C1611" t="s">
        <v>37</v>
      </c>
      <c r="D1611" s="6" t="s">
        <v>38</v>
      </c>
      <c r="E1611" t="s">
        <v>4774</v>
      </c>
      <c r="F1611" t="s">
        <v>40</v>
      </c>
      <c r="G1611" t="s">
        <v>41</v>
      </c>
      <c r="H1611" t="s">
        <v>4775</v>
      </c>
      <c r="I1611" t="s">
        <v>43</v>
      </c>
      <c r="J1611">
        <v>2</v>
      </c>
      <c r="K1611" t="s">
        <v>44</v>
      </c>
      <c r="L1611" t="s">
        <v>45</v>
      </c>
      <c r="M1611" t="s">
        <v>46</v>
      </c>
      <c r="N1611" s="7">
        <v>1</v>
      </c>
      <c r="O1611" s="8">
        <v>45636.864803240744</v>
      </c>
      <c r="P1611" s="9">
        <v>45639</v>
      </c>
      <c r="Q1611" t="s">
        <v>74</v>
      </c>
      <c r="R1611" t="s">
        <v>48</v>
      </c>
      <c r="S1611" t="s">
        <v>49</v>
      </c>
      <c r="T1611" t="s">
        <v>80</v>
      </c>
      <c r="U1611" t="s">
        <v>4776</v>
      </c>
      <c r="V1611">
        <v>8210</v>
      </c>
      <c r="W1611" t="s">
        <v>48</v>
      </c>
      <c r="X1611" t="s">
        <v>82</v>
      </c>
      <c r="Y1611" t="s">
        <v>54</v>
      </c>
      <c r="Z1611" s="12">
        <f>IF(N1611&lt;=1,9,9+0.8*ROUNDUP(N1611-1,0))</f>
        <v>9</v>
      </c>
      <c r="AA1611" s="11">
        <v>-2</v>
      </c>
      <c r="AB1611" s="11">
        <v>0</v>
      </c>
      <c r="AC1611" s="11">
        <v>0</v>
      </c>
      <c r="AD1611" s="11">
        <v>0</v>
      </c>
      <c r="AE1611" s="11">
        <v>0</v>
      </c>
      <c r="AF1611" s="11">
        <f t="shared" si="75"/>
        <v>0.42</v>
      </c>
      <c r="AG1611" s="11">
        <f t="shared" si="76"/>
        <v>7.42</v>
      </c>
      <c r="AH1611" s="11">
        <v>0</v>
      </c>
      <c r="AI1611" s="11">
        <f t="shared" si="77"/>
        <v>7.42</v>
      </c>
      <c r="AJ1611" t="s">
        <v>62</v>
      </c>
    </row>
    <row r="1612" spans="1:36" ht="15" customHeight="1" x14ac:dyDescent="0.35">
      <c r="A1612">
        <v>10428918</v>
      </c>
      <c r="B1612" t="s">
        <v>36</v>
      </c>
      <c r="C1612" t="s">
        <v>37</v>
      </c>
      <c r="D1612" s="6" t="s">
        <v>38</v>
      </c>
      <c r="E1612" t="s">
        <v>4777</v>
      </c>
      <c r="F1612" t="s">
        <v>40</v>
      </c>
      <c r="G1612" t="s">
        <v>41</v>
      </c>
      <c r="H1612" t="s">
        <v>4778</v>
      </c>
      <c r="I1612" t="s">
        <v>43</v>
      </c>
      <c r="J1612">
        <v>2</v>
      </c>
      <c r="K1612" t="s">
        <v>44</v>
      </c>
      <c r="L1612" t="s">
        <v>45</v>
      </c>
      <c r="M1612" t="s">
        <v>46</v>
      </c>
      <c r="N1612" s="7">
        <v>1</v>
      </c>
      <c r="O1612" s="8">
        <v>45637.40556712963</v>
      </c>
      <c r="P1612" s="9">
        <v>45639</v>
      </c>
      <c r="Q1612" t="s">
        <v>74</v>
      </c>
      <c r="R1612" t="s">
        <v>48</v>
      </c>
      <c r="S1612" t="s">
        <v>49</v>
      </c>
      <c r="T1612" t="s">
        <v>161</v>
      </c>
      <c r="U1612" t="s">
        <v>4779</v>
      </c>
      <c r="V1612">
        <v>10470</v>
      </c>
      <c r="W1612" t="s">
        <v>48</v>
      </c>
      <c r="X1612" t="s">
        <v>163</v>
      </c>
      <c r="Y1612" t="s">
        <v>54</v>
      </c>
      <c r="Z1612" s="12">
        <f>IF(N1612&lt;=1,9,9+0.8*ROUNDUP(N1612-1,0))</f>
        <v>9</v>
      </c>
      <c r="AA1612" s="11">
        <v>-2</v>
      </c>
      <c r="AB1612" s="11">
        <v>0</v>
      </c>
      <c r="AC1612" s="11">
        <v>0</v>
      </c>
      <c r="AD1612" s="11">
        <v>0</v>
      </c>
      <c r="AE1612" s="11">
        <v>0</v>
      </c>
      <c r="AF1612" s="11">
        <f t="shared" si="75"/>
        <v>0.42</v>
      </c>
      <c r="AG1612" s="11">
        <f t="shared" si="76"/>
        <v>7.42</v>
      </c>
      <c r="AH1612" s="11">
        <v>0</v>
      </c>
      <c r="AI1612" s="11">
        <f t="shared" si="77"/>
        <v>7.42</v>
      </c>
      <c r="AJ1612" t="s">
        <v>62</v>
      </c>
    </row>
    <row r="1613" spans="1:36" ht="15" customHeight="1" x14ac:dyDescent="0.35">
      <c r="A1613">
        <v>10428918</v>
      </c>
      <c r="B1613" t="s">
        <v>36</v>
      </c>
      <c r="C1613" t="s">
        <v>37</v>
      </c>
      <c r="D1613" s="6" t="s">
        <v>38</v>
      </c>
      <c r="E1613" t="s">
        <v>4780</v>
      </c>
      <c r="F1613" t="s">
        <v>40</v>
      </c>
      <c r="G1613" t="s">
        <v>41</v>
      </c>
      <c r="H1613" t="s">
        <v>4781</v>
      </c>
      <c r="I1613" t="s">
        <v>43</v>
      </c>
      <c r="J1613">
        <v>2</v>
      </c>
      <c r="K1613" t="s">
        <v>44</v>
      </c>
      <c r="L1613" t="s">
        <v>45</v>
      </c>
      <c r="M1613" t="s">
        <v>46</v>
      </c>
      <c r="N1613" s="7">
        <v>1</v>
      </c>
      <c r="O1613" s="8">
        <v>45637.426736111112</v>
      </c>
      <c r="P1613" s="9">
        <v>45639</v>
      </c>
      <c r="Q1613" t="s">
        <v>74</v>
      </c>
      <c r="R1613" t="s">
        <v>48</v>
      </c>
      <c r="S1613" t="s">
        <v>49</v>
      </c>
      <c r="T1613" t="s">
        <v>69</v>
      </c>
      <c r="U1613" t="s">
        <v>4782</v>
      </c>
      <c r="V1613">
        <v>84150</v>
      </c>
      <c r="W1613" t="s">
        <v>48</v>
      </c>
      <c r="X1613" t="s">
        <v>1714</v>
      </c>
      <c r="Y1613" t="s">
        <v>54</v>
      </c>
      <c r="Z1613" s="12">
        <f>IF(N1613&lt;=1,9,9+0.8*ROUNDUP(N1613-1,0))</f>
        <v>9</v>
      </c>
      <c r="AA1613" s="11">
        <v>-2</v>
      </c>
      <c r="AB1613" s="11">
        <v>0</v>
      </c>
      <c r="AC1613" s="11">
        <v>0</v>
      </c>
      <c r="AD1613" s="11">
        <v>0</v>
      </c>
      <c r="AE1613" s="11">
        <v>0</v>
      </c>
      <c r="AF1613" s="11">
        <f t="shared" si="75"/>
        <v>0.42</v>
      </c>
      <c r="AG1613" s="11">
        <f t="shared" si="76"/>
        <v>7.42</v>
      </c>
      <c r="AH1613" s="11">
        <v>0</v>
      </c>
      <c r="AI1613" s="11">
        <f t="shared" si="77"/>
        <v>7.42</v>
      </c>
      <c r="AJ1613" t="s">
        <v>62</v>
      </c>
    </row>
    <row r="1614" spans="1:36" ht="15" customHeight="1" x14ac:dyDescent="0.35">
      <c r="A1614">
        <v>10428918</v>
      </c>
      <c r="B1614" t="s">
        <v>36</v>
      </c>
      <c r="C1614" t="s">
        <v>37</v>
      </c>
      <c r="D1614" s="6" t="s">
        <v>38</v>
      </c>
      <c r="E1614" t="s">
        <v>4783</v>
      </c>
      <c r="F1614" t="s">
        <v>40</v>
      </c>
      <c r="G1614" t="s">
        <v>41</v>
      </c>
      <c r="H1614" t="s">
        <v>4784</v>
      </c>
      <c r="I1614" t="s">
        <v>43</v>
      </c>
      <c r="J1614">
        <v>2</v>
      </c>
      <c r="K1614" t="s">
        <v>44</v>
      </c>
      <c r="L1614" t="s">
        <v>45</v>
      </c>
      <c r="M1614" t="s">
        <v>46</v>
      </c>
      <c r="N1614" s="7">
        <v>1</v>
      </c>
      <c r="O1614" s="8">
        <v>45638.511273148149</v>
      </c>
      <c r="P1614" s="9">
        <v>45639</v>
      </c>
      <c r="Q1614" t="s">
        <v>47</v>
      </c>
      <c r="R1614" t="s">
        <v>48</v>
      </c>
      <c r="S1614" t="s">
        <v>49</v>
      </c>
      <c r="T1614" t="s">
        <v>117</v>
      </c>
      <c r="U1614" t="s">
        <v>4785</v>
      </c>
      <c r="V1614">
        <v>62000</v>
      </c>
      <c r="W1614" t="s">
        <v>48</v>
      </c>
      <c r="X1614" t="s">
        <v>53</v>
      </c>
      <c r="Y1614" t="s">
        <v>54</v>
      </c>
      <c r="Z1614" s="12">
        <f>IF(N1614&lt;=1,9,9+0.8*ROUNDUP(N1614-1,0))</f>
        <v>9</v>
      </c>
      <c r="AA1614" s="11">
        <v>-2</v>
      </c>
      <c r="AB1614" s="11">
        <v>0</v>
      </c>
      <c r="AC1614" s="11">
        <v>0</v>
      </c>
      <c r="AD1614" s="11">
        <v>0</v>
      </c>
      <c r="AE1614" s="11">
        <v>0</v>
      </c>
      <c r="AF1614" s="11">
        <f t="shared" si="75"/>
        <v>0.42</v>
      </c>
      <c r="AG1614" s="11">
        <f t="shared" si="76"/>
        <v>7.42</v>
      </c>
      <c r="AH1614" s="11">
        <v>0</v>
      </c>
      <c r="AI1614" s="11">
        <f t="shared" si="77"/>
        <v>7.42</v>
      </c>
      <c r="AJ1614" t="s">
        <v>62</v>
      </c>
    </row>
    <row r="1615" spans="1:36" ht="15" customHeight="1" x14ac:dyDescent="0.35">
      <c r="A1615">
        <v>10428918</v>
      </c>
      <c r="B1615" t="s">
        <v>36</v>
      </c>
      <c r="C1615" t="s">
        <v>37</v>
      </c>
      <c r="D1615" s="6" t="s">
        <v>38</v>
      </c>
      <c r="E1615" t="s">
        <v>4786</v>
      </c>
      <c r="F1615" t="s">
        <v>40</v>
      </c>
      <c r="G1615" t="s">
        <v>41</v>
      </c>
      <c r="H1615" t="s">
        <v>4787</v>
      </c>
      <c r="I1615" t="s">
        <v>43</v>
      </c>
      <c r="J1615">
        <v>2</v>
      </c>
      <c r="K1615" t="s">
        <v>44</v>
      </c>
      <c r="L1615" t="s">
        <v>45</v>
      </c>
      <c r="M1615" t="s">
        <v>46</v>
      </c>
      <c r="N1615" s="7">
        <v>1</v>
      </c>
      <c r="O1615" s="8">
        <v>45636.43440972222</v>
      </c>
      <c r="P1615" s="9">
        <v>45639</v>
      </c>
      <c r="Q1615" t="s">
        <v>74</v>
      </c>
      <c r="R1615" t="s">
        <v>48</v>
      </c>
      <c r="S1615" t="s">
        <v>49</v>
      </c>
      <c r="T1615" t="s">
        <v>2200</v>
      </c>
      <c r="U1615" t="s">
        <v>4788</v>
      </c>
      <c r="V1615">
        <v>87000</v>
      </c>
      <c r="W1615" t="s">
        <v>52</v>
      </c>
      <c r="X1615" t="s">
        <v>53</v>
      </c>
      <c r="Y1615" t="s">
        <v>54</v>
      </c>
      <c r="Z1615" s="10">
        <f>IF(N1615&lt;=1,13,IF(N1615&lt;=2,23,IF(N1615&lt;=3,35,IF(N1615&lt;=4,43,IF(N1615&lt;=5,53,IF(N1615&lt;=6,63,IF(N1615&lt;=7,71,IF(N1615&lt;=8,79,IF(N1615&lt;=9,87,IF(N1615&lt;=10,95,IF(N1615&lt;=11,105,IF(N1615&lt;=12,114,IF(N1615&lt;=13,119,IF(N1615&lt;=14,127,IF(N1615&lt;=15,135,IF(N1615&lt;=16,143,IF(N1615&lt;=17,153,IF(N1615&lt;=18,163,IF(N1615&lt;=19,171,IF(N1615&lt;=20,185,IF(N1615&lt;=21,193,IF(N1615&lt;=22,201,IF(N1615&lt;=23,210,IF(N1615&lt;=24,220,IF(N1615&lt;=25,230,IF(N1615&lt;=26,240,IF(N1615&lt;=27,250,IF(N1615&lt;=28,260,IF(N1615&lt;=29,270,IF(N1615&lt;=30,280,280+10*ROUNDUP(N1615-30,0)))))))))))))))))))))))))))))))</f>
        <v>13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f t="shared" si="75"/>
        <v>0.78</v>
      </c>
      <c r="AG1615" s="11">
        <f t="shared" si="76"/>
        <v>13.78</v>
      </c>
      <c r="AH1615" s="11">
        <v>0</v>
      </c>
      <c r="AI1615" s="11">
        <f t="shared" si="77"/>
        <v>13.78</v>
      </c>
      <c r="AJ1615" t="s">
        <v>55</v>
      </c>
    </row>
    <row r="1616" spans="1:36" ht="15" customHeight="1" x14ac:dyDescent="0.35">
      <c r="A1616">
        <v>10428918</v>
      </c>
      <c r="B1616" t="s">
        <v>36</v>
      </c>
      <c r="C1616" t="s">
        <v>37</v>
      </c>
      <c r="D1616" s="6" t="s">
        <v>38</v>
      </c>
      <c r="E1616" t="s">
        <v>4789</v>
      </c>
      <c r="F1616" t="s">
        <v>40</v>
      </c>
      <c r="G1616" t="s">
        <v>41</v>
      </c>
      <c r="H1616" t="s">
        <v>4790</v>
      </c>
      <c r="I1616" t="s">
        <v>43</v>
      </c>
      <c r="J1616">
        <v>2</v>
      </c>
      <c r="K1616" t="s">
        <v>44</v>
      </c>
      <c r="L1616" t="s">
        <v>45</v>
      </c>
      <c r="M1616" t="s">
        <v>46</v>
      </c>
      <c r="N1616" s="7">
        <v>1</v>
      </c>
      <c r="O1616" s="8">
        <v>45637.826539351852</v>
      </c>
      <c r="P1616" s="9">
        <v>45639</v>
      </c>
      <c r="Q1616" t="s">
        <v>47</v>
      </c>
      <c r="R1616" t="s">
        <v>48</v>
      </c>
      <c r="S1616" t="s">
        <v>49</v>
      </c>
      <c r="T1616" t="s">
        <v>170</v>
      </c>
      <c r="U1616" t="s">
        <v>4791</v>
      </c>
      <c r="V1616">
        <v>56000</v>
      </c>
      <c r="W1616" t="s">
        <v>48</v>
      </c>
      <c r="X1616" t="s">
        <v>790</v>
      </c>
      <c r="Y1616" t="s">
        <v>54</v>
      </c>
      <c r="Z1616" s="12">
        <f>IF(N1616&lt;=1,9,9+0.8*ROUNDUP(N1616-1,0))</f>
        <v>9</v>
      </c>
      <c r="AA1616" s="11">
        <v>-2</v>
      </c>
      <c r="AB1616" s="11">
        <v>0</v>
      </c>
      <c r="AC1616" s="11">
        <v>0</v>
      </c>
      <c r="AD1616" s="11">
        <v>0</v>
      </c>
      <c r="AE1616" s="11">
        <v>0</v>
      </c>
      <c r="AF1616" s="11">
        <f t="shared" si="75"/>
        <v>0.42</v>
      </c>
      <c r="AG1616" s="11">
        <f t="shared" si="76"/>
        <v>7.42</v>
      </c>
      <c r="AH1616" s="11">
        <v>0</v>
      </c>
      <c r="AI1616" s="11">
        <f t="shared" si="77"/>
        <v>7.42</v>
      </c>
      <c r="AJ1616" t="s">
        <v>62</v>
      </c>
    </row>
    <row r="1617" spans="1:36" ht="15" customHeight="1" x14ac:dyDescent="0.35">
      <c r="A1617">
        <v>10428918</v>
      </c>
      <c r="B1617" t="s">
        <v>36</v>
      </c>
      <c r="C1617" t="s">
        <v>37</v>
      </c>
      <c r="D1617" s="6" t="s">
        <v>38</v>
      </c>
      <c r="E1617" t="s">
        <v>4792</v>
      </c>
      <c r="F1617" t="s">
        <v>40</v>
      </c>
      <c r="G1617" t="s">
        <v>41</v>
      </c>
      <c r="H1617" t="s">
        <v>4793</v>
      </c>
      <c r="I1617" t="s">
        <v>43</v>
      </c>
      <c r="J1617">
        <v>2</v>
      </c>
      <c r="K1617" t="s">
        <v>44</v>
      </c>
      <c r="L1617" t="s">
        <v>45</v>
      </c>
      <c r="M1617" t="s">
        <v>46</v>
      </c>
      <c r="N1617" s="7">
        <v>2</v>
      </c>
      <c r="O1617" s="8">
        <v>45637.665462962963</v>
      </c>
      <c r="P1617" s="9">
        <v>45639</v>
      </c>
      <c r="Q1617" t="s">
        <v>74</v>
      </c>
      <c r="R1617" t="s">
        <v>48</v>
      </c>
      <c r="S1617" t="s">
        <v>49</v>
      </c>
      <c r="T1617" t="s">
        <v>161</v>
      </c>
      <c r="U1617" t="s">
        <v>4794</v>
      </c>
      <c r="V1617">
        <v>11900</v>
      </c>
      <c r="W1617" t="s">
        <v>48</v>
      </c>
      <c r="X1617" t="s">
        <v>820</v>
      </c>
      <c r="Y1617" t="s">
        <v>54</v>
      </c>
      <c r="Z1617" s="12">
        <f>IF(N1617&lt;=1,9,9+0.8*ROUNDUP(N1617-1,0))</f>
        <v>9.8000000000000007</v>
      </c>
      <c r="AA1617" s="11">
        <v>-2</v>
      </c>
      <c r="AB1617" s="11">
        <v>0</v>
      </c>
      <c r="AC1617" s="11">
        <v>0</v>
      </c>
      <c r="AD1617" s="11">
        <v>0</v>
      </c>
      <c r="AE1617" s="11">
        <v>0</v>
      </c>
      <c r="AF1617" s="11">
        <f t="shared" si="75"/>
        <v>0.46800000000000003</v>
      </c>
      <c r="AG1617" s="11">
        <f t="shared" si="76"/>
        <v>8.2680000000000007</v>
      </c>
      <c r="AH1617" s="11">
        <v>0</v>
      </c>
      <c r="AI1617" s="11">
        <f t="shared" si="77"/>
        <v>8.2680000000000007</v>
      </c>
      <c r="AJ1617" t="s">
        <v>62</v>
      </c>
    </row>
    <row r="1618" spans="1:36" ht="15" customHeight="1" x14ac:dyDescent="0.35">
      <c r="A1618">
        <v>10428918</v>
      </c>
      <c r="B1618" t="s">
        <v>36</v>
      </c>
      <c r="C1618" t="s">
        <v>37</v>
      </c>
      <c r="D1618" s="6" t="s">
        <v>38</v>
      </c>
      <c r="E1618" t="s">
        <v>4795</v>
      </c>
      <c r="F1618" t="s">
        <v>40</v>
      </c>
      <c r="G1618" t="s">
        <v>41</v>
      </c>
      <c r="H1618" t="s">
        <v>4796</v>
      </c>
      <c r="I1618" t="s">
        <v>43</v>
      </c>
      <c r="J1618">
        <v>2</v>
      </c>
      <c r="K1618" t="s">
        <v>44</v>
      </c>
      <c r="L1618" t="s">
        <v>45</v>
      </c>
      <c r="M1618" t="s">
        <v>46</v>
      </c>
      <c r="N1618" s="7">
        <v>2</v>
      </c>
      <c r="O1618" s="8">
        <v>45638.795671296299</v>
      </c>
      <c r="P1618" s="9">
        <v>45640</v>
      </c>
      <c r="Q1618" t="s">
        <v>58</v>
      </c>
      <c r="R1618" t="s">
        <v>48</v>
      </c>
      <c r="S1618" t="s">
        <v>49</v>
      </c>
      <c r="T1618" t="s">
        <v>90</v>
      </c>
      <c r="U1618" t="s">
        <v>4797</v>
      </c>
      <c r="V1618">
        <v>21030</v>
      </c>
      <c r="W1618" t="s">
        <v>48</v>
      </c>
      <c r="X1618" t="s">
        <v>61</v>
      </c>
      <c r="Y1618" t="s">
        <v>54</v>
      </c>
      <c r="Z1618" s="12">
        <f>IF(N1618&lt;=1,9,9+0.8*ROUNDUP(N1618-1,0))</f>
        <v>9.8000000000000007</v>
      </c>
      <c r="AA1618" s="11">
        <v>-2</v>
      </c>
      <c r="AB1618" s="11">
        <v>0</v>
      </c>
      <c r="AC1618" s="11">
        <v>0</v>
      </c>
      <c r="AD1618" s="11">
        <v>0</v>
      </c>
      <c r="AE1618" s="11">
        <v>0</v>
      </c>
      <c r="AF1618" s="11">
        <f t="shared" si="75"/>
        <v>0.46800000000000003</v>
      </c>
      <c r="AG1618" s="11">
        <f t="shared" si="76"/>
        <v>8.2680000000000007</v>
      </c>
      <c r="AH1618" s="11">
        <v>0</v>
      </c>
      <c r="AI1618" s="11">
        <f t="shared" si="77"/>
        <v>8.2680000000000007</v>
      </c>
      <c r="AJ1618" t="s">
        <v>62</v>
      </c>
    </row>
    <row r="1619" spans="1:36" ht="15" customHeight="1" x14ac:dyDescent="0.35">
      <c r="A1619">
        <v>10428918</v>
      </c>
      <c r="B1619" t="s">
        <v>36</v>
      </c>
      <c r="C1619" t="s">
        <v>37</v>
      </c>
      <c r="D1619" s="6" t="s">
        <v>38</v>
      </c>
      <c r="E1619" t="s">
        <v>4798</v>
      </c>
      <c r="F1619" t="s">
        <v>40</v>
      </c>
      <c r="G1619" t="s">
        <v>41</v>
      </c>
      <c r="H1619" t="s">
        <v>4799</v>
      </c>
      <c r="I1619" t="s">
        <v>43</v>
      </c>
      <c r="J1619">
        <v>2</v>
      </c>
      <c r="K1619" t="s">
        <v>44</v>
      </c>
      <c r="L1619" t="s">
        <v>45</v>
      </c>
      <c r="M1619" t="s">
        <v>46</v>
      </c>
      <c r="N1619" s="7">
        <v>1</v>
      </c>
      <c r="O1619" s="8">
        <v>45638.511273148149</v>
      </c>
      <c r="P1619" s="9">
        <v>45640</v>
      </c>
      <c r="Q1619" t="s">
        <v>47</v>
      </c>
      <c r="R1619" t="s">
        <v>48</v>
      </c>
      <c r="S1619" t="s">
        <v>49</v>
      </c>
      <c r="T1619" t="s">
        <v>80</v>
      </c>
      <c r="U1619" t="s">
        <v>4800</v>
      </c>
      <c r="V1619">
        <v>9100</v>
      </c>
      <c r="W1619" t="s">
        <v>48</v>
      </c>
      <c r="X1619" t="s">
        <v>1388</v>
      </c>
      <c r="Y1619" t="s">
        <v>54</v>
      </c>
      <c r="Z1619" s="12">
        <f>IF(N1619&lt;=1,9,9+0.8*ROUNDUP(N1619-1,0))</f>
        <v>9</v>
      </c>
      <c r="AA1619" s="11">
        <v>-2</v>
      </c>
      <c r="AB1619" s="11">
        <v>0</v>
      </c>
      <c r="AC1619" s="11">
        <v>0</v>
      </c>
      <c r="AD1619" s="11">
        <v>0</v>
      </c>
      <c r="AE1619" s="11">
        <v>0</v>
      </c>
      <c r="AF1619" s="11">
        <f t="shared" si="75"/>
        <v>0.42</v>
      </c>
      <c r="AG1619" s="11">
        <f t="shared" si="76"/>
        <v>7.42</v>
      </c>
      <c r="AH1619" s="11">
        <v>0</v>
      </c>
      <c r="AI1619" s="11">
        <f t="shared" si="77"/>
        <v>7.42</v>
      </c>
      <c r="AJ1619" t="s">
        <v>62</v>
      </c>
    </row>
    <row r="1620" spans="1:36" ht="15" customHeight="1" x14ac:dyDescent="0.35">
      <c r="A1620">
        <v>10428918</v>
      </c>
      <c r="B1620" t="s">
        <v>36</v>
      </c>
      <c r="C1620" t="s">
        <v>37</v>
      </c>
      <c r="D1620" s="6" t="s">
        <v>38</v>
      </c>
      <c r="E1620" t="s">
        <v>4801</v>
      </c>
      <c r="F1620" t="s">
        <v>40</v>
      </c>
      <c r="G1620" t="s">
        <v>41</v>
      </c>
      <c r="H1620" t="s">
        <v>4802</v>
      </c>
      <c r="I1620" t="s">
        <v>43</v>
      </c>
      <c r="J1620">
        <v>2</v>
      </c>
      <c r="K1620" t="s">
        <v>44</v>
      </c>
      <c r="L1620" t="s">
        <v>45</v>
      </c>
      <c r="M1620" t="s">
        <v>46</v>
      </c>
      <c r="N1620" s="7">
        <v>2</v>
      </c>
      <c r="O1620" s="8">
        <v>45638.788854166669</v>
      </c>
      <c r="P1620" s="9">
        <v>45640</v>
      </c>
      <c r="Q1620" t="s">
        <v>58</v>
      </c>
      <c r="R1620" t="s">
        <v>48</v>
      </c>
      <c r="S1620" t="s">
        <v>49</v>
      </c>
      <c r="T1620" t="s">
        <v>117</v>
      </c>
      <c r="U1620" t="s">
        <v>4803</v>
      </c>
      <c r="V1620">
        <v>40300</v>
      </c>
      <c r="W1620" t="s">
        <v>48</v>
      </c>
      <c r="X1620" t="s">
        <v>921</v>
      </c>
      <c r="Y1620" t="s">
        <v>54</v>
      </c>
      <c r="Z1620" s="12">
        <f>IF(N1620&lt;=1,9,9+0.8*ROUNDUP(N1620-1,0))</f>
        <v>9.8000000000000007</v>
      </c>
      <c r="AA1620" s="11">
        <v>-2</v>
      </c>
      <c r="AB1620" s="11">
        <v>0</v>
      </c>
      <c r="AC1620" s="11">
        <v>0</v>
      </c>
      <c r="AD1620" s="11">
        <v>0</v>
      </c>
      <c r="AE1620" s="11">
        <v>0</v>
      </c>
      <c r="AF1620" s="11">
        <f t="shared" si="75"/>
        <v>0.46800000000000003</v>
      </c>
      <c r="AG1620" s="11">
        <f t="shared" si="76"/>
        <v>8.2680000000000007</v>
      </c>
      <c r="AH1620" s="11">
        <v>0</v>
      </c>
      <c r="AI1620" s="11">
        <f t="shared" si="77"/>
        <v>8.2680000000000007</v>
      </c>
      <c r="AJ1620" t="s">
        <v>62</v>
      </c>
    </row>
    <row r="1621" spans="1:36" ht="15" customHeight="1" x14ac:dyDescent="0.35">
      <c r="A1621">
        <v>10428918</v>
      </c>
      <c r="B1621" t="s">
        <v>36</v>
      </c>
      <c r="C1621" t="s">
        <v>37</v>
      </c>
      <c r="D1621" s="6" t="s">
        <v>38</v>
      </c>
      <c r="E1621" t="s">
        <v>4804</v>
      </c>
      <c r="F1621" t="s">
        <v>40</v>
      </c>
      <c r="G1621" t="s">
        <v>41</v>
      </c>
      <c r="H1621" t="s">
        <v>4805</v>
      </c>
      <c r="I1621" t="s">
        <v>43</v>
      </c>
      <c r="J1621">
        <v>2</v>
      </c>
      <c r="K1621" t="s">
        <v>44</v>
      </c>
      <c r="L1621" t="s">
        <v>45</v>
      </c>
      <c r="M1621" t="s">
        <v>46</v>
      </c>
      <c r="N1621" s="7">
        <v>2</v>
      </c>
      <c r="O1621" s="8">
        <v>45638.788854166669</v>
      </c>
      <c r="P1621" s="9">
        <v>45640</v>
      </c>
      <c r="Q1621" t="s">
        <v>58</v>
      </c>
      <c r="R1621" t="s">
        <v>48</v>
      </c>
      <c r="S1621" t="s">
        <v>49</v>
      </c>
      <c r="T1621" t="s">
        <v>170</v>
      </c>
      <c r="U1621" t="s">
        <v>4806</v>
      </c>
      <c r="V1621">
        <v>46000</v>
      </c>
      <c r="W1621" t="s">
        <v>48</v>
      </c>
      <c r="X1621" t="s">
        <v>2413</v>
      </c>
      <c r="Y1621" t="s">
        <v>54</v>
      </c>
      <c r="Z1621" s="12">
        <f>IF(N1621&lt;=1,9,9+0.8*ROUNDUP(N1621-1,0))</f>
        <v>9.8000000000000007</v>
      </c>
      <c r="AA1621" s="11">
        <v>-2</v>
      </c>
      <c r="AB1621" s="11">
        <v>0</v>
      </c>
      <c r="AC1621" s="11">
        <v>0</v>
      </c>
      <c r="AD1621" s="11">
        <v>0</v>
      </c>
      <c r="AE1621" s="11">
        <v>0</v>
      </c>
      <c r="AF1621" s="11">
        <f t="shared" si="75"/>
        <v>0.46800000000000003</v>
      </c>
      <c r="AG1621" s="11">
        <f t="shared" si="76"/>
        <v>8.2680000000000007</v>
      </c>
      <c r="AH1621" s="11">
        <v>0</v>
      </c>
      <c r="AI1621" s="11">
        <f t="shared" si="77"/>
        <v>8.2680000000000007</v>
      </c>
      <c r="AJ1621" t="s">
        <v>62</v>
      </c>
    </row>
    <row r="1622" spans="1:36" ht="15" customHeight="1" x14ac:dyDescent="0.35">
      <c r="A1622">
        <v>10428918</v>
      </c>
      <c r="B1622" t="s">
        <v>36</v>
      </c>
      <c r="C1622" t="s">
        <v>37</v>
      </c>
      <c r="D1622" s="6" t="s">
        <v>38</v>
      </c>
      <c r="E1622" t="s">
        <v>4807</v>
      </c>
      <c r="F1622" t="s">
        <v>40</v>
      </c>
      <c r="G1622" t="s">
        <v>41</v>
      </c>
      <c r="H1622" t="s">
        <v>570</v>
      </c>
      <c r="I1622" t="s">
        <v>43</v>
      </c>
      <c r="J1622">
        <v>2</v>
      </c>
      <c r="K1622" t="s">
        <v>44</v>
      </c>
      <c r="L1622" t="s">
        <v>45</v>
      </c>
      <c r="M1622" t="s">
        <v>46</v>
      </c>
      <c r="N1622" s="7">
        <v>9</v>
      </c>
      <c r="O1622" s="8">
        <v>45638.715127314812</v>
      </c>
      <c r="P1622" s="9">
        <v>45640</v>
      </c>
      <c r="Q1622" t="s">
        <v>74</v>
      </c>
      <c r="R1622" t="s">
        <v>48</v>
      </c>
      <c r="S1622" t="s">
        <v>49</v>
      </c>
      <c r="T1622" t="s">
        <v>117</v>
      </c>
      <c r="U1622" t="s">
        <v>571</v>
      </c>
      <c r="V1622">
        <v>40000</v>
      </c>
      <c r="W1622" t="s">
        <v>48</v>
      </c>
      <c r="X1622" t="s">
        <v>473</v>
      </c>
      <c r="Y1622" t="s">
        <v>54</v>
      </c>
      <c r="Z1622" s="12">
        <f>IF(N1622&lt;=1,9,9+0.8*ROUNDUP(N1622-1,0))</f>
        <v>15.4</v>
      </c>
      <c r="AA1622" s="11">
        <v>-2</v>
      </c>
      <c r="AB1622" s="11">
        <v>0</v>
      </c>
      <c r="AC1622" s="11">
        <v>0</v>
      </c>
      <c r="AD1622" s="11">
        <v>0</v>
      </c>
      <c r="AE1622" s="11">
        <v>0</v>
      </c>
      <c r="AF1622" s="11">
        <f t="shared" si="75"/>
        <v>0.80399999999999994</v>
      </c>
      <c r="AG1622" s="11">
        <f t="shared" si="76"/>
        <v>14.204000000000001</v>
      </c>
      <c r="AH1622" s="11">
        <v>0</v>
      </c>
      <c r="AI1622" s="11">
        <f t="shared" si="77"/>
        <v>14.204000000000001</v>
      </c>
      <c r="AJ1622" t="s">
        <v>62</v>
      </c>
    </row>
    <row r="1623" spans="1:36" ht="15" customHeight="1" x14ac:dyDescent="0.35">
      <c r="A1623">
        <v>10428918</v>
      </c>
      <c r="B1623" t="s">
        <v>36</v>
      </c>
      <c r="C1623" t="s">
        <v>37</v>
      </c>
      <c r="D1623" s="6" t="s">
        <v>38</v>
      </c>
      <c r="E1623" t="s">
        <v>4808</v>
      </c>
      <c r="F1623" t="s">
        <v>40</v>
      </c>
      <c r="G1623" t="s">
        <v>41</v>
      </c>
      <c r="H1623" t="s">
        <v>570</v>
      </c>
      <c r="I1623" t="s">
        <v>43</v>
      </c>
      <c r="J1623">
        <v>2</v>
      </c>
      <c r="K1623" t="s">
        <v>44</v>
      </c>
      <c r="L1623" t="s">
        <v>45</v>
      </c>
      <c r="M1623" t="s">
        <v>46</v>
      </c>
      <c r="N1623" s="7">
        <v>7</v>
      </c>
      <c r="O1623" s="8">
        <v>45638.673773148148</v>
      </c>
      <c r="P1623" s="9">
        <v>45640</v>
      </c>
      <c r="Q1623" t="s">
        <v>74</v>
      </c>
      <c r="R1623" t="s">
        <v>48</v>
      </c>
      <c r="S1623" t="s">
        <v>49</v>
      </c>
      <c r="T1623" t="s">
        <v>117</v>
      </c>
      <c r="U1623" t="s">
        <v>571</v>
      </c>
      <c r="V1623">
        <v>40000</v>
      </c>
      <c r="W1623" t="s">
        <v>48</v>
      </c>
      <c r="X1623" t="s">
        <v>473</v>
      </c>
      <c r="Y1623" t="s">
        <v>54</v>
      </c>
      <c r="Z1623" s="12">
        <f>IF(N1623&lt;=1,9,9+0.8*ROUNDUP(N1623-1,0))</f>
        <v>13.8</v>
      </c>
      <c r="AA1623" s="11">
        <v>-2</v>
      </c>
      <c r="AB1623" s="11">
        <v>0</v>
      </c>
      <c r="AC1623" s="11">
        <v>0</v>
      </c>
      <c r="AD1623" s="11">
        <v>0</v>
      </c>
      <c r="AE1623" s="11">
        <v>0</v>
      </c>
      <c r="AF1623" s="11">
        <f t="shared" si="75"/>
        <v>0.70799999999999996</v>
      </c>
      <c r="AG1623" s="11">
        <f t="shared" si="76"/>
        <v>12.508000000000001</v>
      </c>
      <c r="AH1623" s="11">
        <v>0</v>
      </c>
      <c r="AI1623" s="11">
        <f t="shared" si="77"/>
        <v>12.508000000000001</v>
      </c>
      <c r="AJ1623" t="s">
        <v>62</v>
      </c>
    </row>
    <row r="1624" spans="1:36" ht="15" customHeight="1" x14ac:dyDescent="0.35">
      <c r="A1624">
        <v>10428918</v>
      </c>
      <c r="B1624" t="s">
        <v>36</v>
      </c>
      <c r="C1624" t="s">
        <v>37</v>
      </c>
      <c r="D1624" s="6" t="s">
        <v>38</v>
      </c>
      <c r="E1624" t="s">
        <v>4809</v>
      </c>
      <c r="F1624" t="s">
        <v>40</v>
      </c>
      <c r="G1624" t="s">
        <v>41</v>
      </c>
      <c r="H1624" t="s">
        <v>4810</v>
      </c>
      <c r="I1624" t="s">
        <v>43</v>
      </c>
      <c r="J1624">
        <v>2</v>
      </c>
      <c r="K1624" t="s">
        <v>44</v>
      </c>
      <c r="L1624" t="s">
        <v>45</v>
      </c>
      <c r="M1624" t="s">
        <v>46</v>
      </c>
      <c r="N1624" s="7">
        <v>1</v>
      </c>
      <c r="O1624" s="8">
        <v>45638.504386574074</v>
      </c>
      <c r="P1624" s="9">
        <v>45640</v>
      </c>
      <c r="Q1624" t="s">
        <v>47</v>
      </c>
      <c r="R1624" t="s">
        <v>48</v>
      </c>
      <c r="S1624" t="s">
        <v>49</v>
      </c>
      <c r="T1624" t="s">
        <v>69</v>
      </c>
      <c r="U1624" t="s">
        <v>4811</v>
      </c>
      <c r="V1624">
        <v>81200</v>
      </c>
      <c r="W1624" t="s">
        <v>48</v>
      </c>
      <c r="X1624" t="s">
        <v>771</v>
      </c>
      <c r="Y1624" t="s">
        <v>54</v>
      </c>
      <c r="Z1624" s="12">
        <f>IF(N1624&lt;=1,9,9+0.8*ROUNDUP(N1624-1,0))</f>
        <v>9</v>
      </c>
      <c r="AA1624" s="11">
        <v>-2</v>
      </c>
      <c r="AB1624" s="11">
        <v>0</v>
      </c>
      <c r="AC1624" s="11">
        <v>0</v>
      </c>
      <c r="AD1624" s="11">
        <v>0</v>
      </c>
      <c r="AE1624" s="11">
        <v>0</v>
      </c>
      <c r="AF1624" s="11">
        <f t="shared" si="75"/>
        <v>0.42</v>
      </c>
      <c r="AG1624" s="11">
        <f t="shared" si="76"/>
        <v>7.42</v>
      </c>
      <c r="AH1624" s="11">
        <v>0</v>
      </c>
      <c r="AI1624" s="11">
        <f t="shared" si="77"/>
        <v>7.42</v>
      </c>
      <c r="AJ1624" t="s">
        <v>62</v>
      </c>
    </row>
    <row r="1625" spans="1:36" ht="15" customHeight="1" x14ac:dyDescent="0.35">
      <c r="A1625">
        <v>10428918</v>
      </c>
      <c r="B1625" t="s">
        <v>36</v>
      </c>
      <c r="C1625" t="s">
        <v>37</v>
      </c>
      <c r="D1625" s="6" t="s">
        <v>38</v>
      </c>
      <c r="E1625" t="s">
        <v>4812</v>
      </c>
      <c r="F1625" t="s">
        <v>40</v>
      </c>
      <c r="G1625" t="s">
        <v>41</v>
      </c>
      <c r="H1625" t="s">
        <v>4813</v>
      </c>
      <c r="I1625" t="s">
        <v>43</v>
      </c>
      <c r="J1625">
        <v>2</v>
      </c>
      <c r="K1625" t="s">
        <v>44</v>
      </c>
      <c r="L1625" t="s">
        <v>45</v>
      </c>
      <c r="M1625" t="s">
        <v>46</v>
      </c>
      <c r="N1625" s="7">
        <v>5</v>
      </c>
      <c r="O1625" s="8">
        <v>45638.583726851852</v>
      </c>
      <c r="P1625" s="9">
        <v>45640</v>
      </c>
      <c r="Q1625" t="s">
        <v>74</v>
      </c>
      <c r="R1625" t="s">
        <v>48</v>
      </c>
      <c r="S1625" t="s">
        <v>49</v>
      </c>
      <c r="T1625" t="s">
        <v>65</v>
      </c>
      <c r="U1625" t="s">
        <v>4814</v>
      </c>
      <c r="V1625">
        <v>78000</v>
      </c>
      <c r="W1625" t="s">
        <v>48</v>
      </c>
      <c r="X1625" t="s">
        <v>448</v>
      </c>
      <c r="Y1625" t="s">
        <v>54</v>
      </c>
      <c r="Z1625" s="12">
        <f>IF(N1625&lt;=1,9,9+0.8*ROUNDUP(N1625-1,0))</f>
        <v>12.2</v>
      </c>
      <c r="AA1625" s="11">
        <v>-2</v>
      </c>
      <c r="AB1625" s="11">
        <v>0</v>
      </c>
      <c r="AC1625" s="11">
        <v>0</v>
      </c>
      <c r="AD1625" s="11">
        <v>0</v>
      </c>
      <c r="AE1625" s="11">
        <v>0</v>
      </c>
      <c r="AF1625" s="11">
        <f t="shared" si="75"/>
        <v>0.61199999999999999</v>
      </c>
      <c r="AG1625" s="11">
        <f t="shared" si="76"/>
        <v>10.811999999999999</v>
      </c>
      <c r="AH1625" s="11">
        <v>0</v>
      </c>
      <c r="AI1625" s="11">
        <f t="shared" si="77"/>
        <v>10.811999999999999</v>
      </c>
      <c r="AJ1625" t="s">
        <v>62</v>
      </c>
    </row>
    <row r="1626" spans="1:36" ht="15" customHeight="1" x14ac:dyDescent="0.35">
      <c r="A1626">
        <v>10428918</v>
      </c>
      <c r="B1626" t="s">
        <v>36</v>
      </c>
      <c r="C1626" t="s">
        <v>37</v>
      </c>
      <c r="D1626" s="6" t="s">
        <v>38</v>
      </c>
      <c r="E1626" t="s">
        <v>4815</v>
      </c>
      <c r="F1626" t="s">
        <v>40</v>
      </c>
      <c r="G1626" t="s">
        <v>41</v>
      </c>
      <c r="H1626" t="s">
        <v>4816</v>
      </c>
      <c r="I1626" t="s">
        <v>43</v>
      </c>
      <c r="J1626">
        <v>2</v>
      </c>
      <c r="K1626" t="s">
        <v>44</v>
      </c>
      <c r="L1626" t="s">
        <v>45</v>
      </c>
      <c r="M1626" t="s">
        <v>46</v>
      </c>
      <c r="N1626" s="7">
        <v>1</v>
      </c>
      <c r="O1626" s="8">
        <v>45637.830682870372</v>
      </c>
      <c r="P1626" s="9">
        <v>45640</v>
      </c>
      <c r="Q1626" t="s">
        <v>47</v>
      </c>
      <c r="R1626" t="s">
        <v>48</v>
      </c>
      <c r="S1626" t="s">
        <v>49</v>
      </c>
      <c r="T1626" t="s">
        <v>101</v>
      </c>
      <c r="U1626" t="s">
        <v>4817</v>
      </c>
      <c r="V1626">
        <v>32610</v>
      </c>
      <c r="W1626" t="s">
        <v>48</v>
      </c>
      <c r="X1626" t="s">
        <v>414</v>
      </c>
      <c r="Y1626" t="s">
        <v>54</v>
      </c>
      <c r="Z1626" s="12">
        <f>IF(N1626&lt;=1,9,9+0.8*ROUNDUP(N1626-1,0))</f>
        <v>9</v>
      </c>
      <c r="AA1626" s="11">
        <v>-2</v>
      </c>
      <c r="AB1626" s="11">
        <v>0</v>
      </c>
      <c r="AC1626" s="11">
        <v>0</v>
      </c>
      <c r="AD1626" s="11">
        <v>0</v>
      </c>
      <c r="AE1626" s="11">
        <v>0</v>
      </c>
      <c r="AF1626" s="11">
        <f t="shared" si="75"/>
        <v>0.42</v>
      </c>
      <c r="AG1626" s="11">
        <f t="shared" si="76"/>
        <v>7.42</v>
      </c>
      <c r="AH1626" s="11">
        <v>0</v>
      </c>
      <c r="AI1626" s="11">
        <f t="shared" si="77"/>
        <v>7.42</v>
      </c>
      <c r="AJ1626" t="s">
        <v>62</v>
      </c>
    </row>
    <row r="1627" spans="1:36" ht="15" customHeight="1" x14ac:dyDescent="0.35">
      <c r="A1627">
        <v>10428918</v>
      </c>
      <c r="B1627" t="s">
        <v>36</v>
      </c>
      <c r="C1627" t="s">
        <v>37</v>
      </c>
      <c r="D1627" s="6" t="s">
        <v>38</v>
      </c>
      <c r="E1627" t="s">
        <v>4818</v>
      </c>
      <c r="F1627" t="s">
        <v>40</v>
      </c>
      <c r="G1627" t="s">
        <v>41</v>
      </c>
      <c r="H1627" t="s">
        <v>4819</v>
      </c>
      <c r="I1627" t="s">
        <v>43</v>
      </c>
      <c r="J1627">
        <v>2</v>
      </c>
      <c r="K1627" t="s">
        <v>44</v>
      </c>
      <c r="L1627" t="s">
        <v>45</v>
      </c>
      <c r="M1627" t="s">
        <v>46</v>
      </c>
      <c r="N1627" s="7">
        <v>5</v>
      </c>
      <c r="O1627" s="8">
        <v>45638.737881944442</v>
      </c>
      <c r="P1627" s="9">
        <v>45640</v>
      </c>
      <c r="Q1627" t="s">
        <v>74</v>
      </c>
      <c r="R1627" t="s">
        <v>48</v>
      </c>
      <c r="S1627" t="s">
        <v>49</v>
      </c>
      <c r="T1627" t="s">
        <v>65</v>
      </c>
      <c r="U1627" t="s">
        <v>4820</v>
      </c>
      <c r="V1627">
        <v>75460</v>
      </c>
      <c r="W1627" t="s">
        <v>48</v>
      </c>
      <c r="X1627" t="s">
        <v>361</v>
      </c>
      <c r="Y1627" t="s">
        <v>54</v>
      </c>
      <c r="Z1627" s="12">
        <f>IF(N1627&lt;=1,9,9+0.8*ROUNDUP(N1627-1,0))</f>
        <v>12.2</v>
      </c>
      <c r="AA1627" s="11">
        <v>-2</v>
      </c>
      <c r="AB1627" s="11">
        <v>0</v>
      </c>
      <c r="AC1627" s="11">
        <v>0</v>
      </c>
      <c r="AD1627" s="11">
        <v>0</v>
      </c>
      <c r="AE1627" s="11">
        <v>0</v>
      </c>
      <c r="AF1627" s="11">
        <f t="shared" si="75"/>
        <v>0.61199999999999999</v>
      </c>
      <c r="AG1627" s="11">
        <f t="shared" si="76"/>
        <v>10.811999999999999</v>
      </c>
      <c r="AH1627" s="11">
        <v>0</v>
      </c>
      <c r="AI1627" s="11">
        <f t="shared" si="77"/>
        <v>10.811999999999999</v>
      </c>
      <c r="AJ1627" t="s">
        <v>62</v>
      </c>
    </row>
    <row r="1628" spans="1:36" ht="15" customHeight="1" x14ac:dyDescent="0.35">
      <c r="A1628">
        <v>10428918</v>
      </c>
      <c r="B1628" t="s">
        <v>36</v>
      </c>
      <c r="C1628" t="s">
        <v>37</v>
      </c>
      <c r="D1628" s="6" t="s">
        <v>38</v>
      </c>
      <c r="E1628" t="s">
        <v>4821</v>
      </c>
      <c r="F1628" t="s">
        <v>40</v>
      </c>
      <c r="G1628" t="s">
        <v>41</v>
      </c>
      <c r="H1628" t="s">
        <v>4822</v>
      </c>
      <c r="I1628" t="s">
        <v>43</v>
      </c>
      <c r="J1628">
        <v>2</v>
      </c>
      <c r="K1628" t="s">
        <v>44</v>
      </c>
      <c r="L1628" t="s">
        <v>45</v>
      </c>
      <c r="M1628" t="s">
        <v>46</v>
      </c>
      <c r="N1628" s="7">
        <v>1</v>
      </c>
      <c r="O1628" s="8">
        <v>45638.821134259262</v>
      </c>
      <c r="P1628" s="9">
        <v>45640</v>
      </c>
      <c r="Q1628" t="s">
        <v>58</v>
      </c>
      <c r="R1628" t="s">
        <v>48</v>
      </c>
      <c r="S1628" t="s">
        <v>49</v>
      </c>
      <c r="T1628" t="s">
        <v>59</v>
      </c>
      <c r="U1628" t="s">
        <v>4823</v>
      </c>
      <c r="V1628">
        <v>16200</v>
      </c>
      <c r="W1628" t="s">
        <v>48</v>
      </c>
      <c r="X1628" t="s">
        <v>61</v>
      </c>
      <c r="Y1628" t="s">
        <v>54</v>
      </c>
      <c r="Z1628" s="12">
        <f>IF(N1628&lt;=1,9,9+0.8*ROUNDUP(N1628-1,0))</f>
        <v>9</v>
      </c>
      <c r="AA1628" s="11">
        <v>-2</v>
      </c>
      <c r="AB1628" s="11">
        <v>0</v>
      </c>
      <c r="AC1628" s="11">
        <v>0</v>
      </c>
      <c r="AD1628" s="11">
        <v>0</v>
      </c>
      <c r="AE1628" s="11">
        <v>0</v>
      </c>
      <c r="AF1628" s="11">
        <f t="shared" si="75"/>
        <v>0.42</v>
      </c>
      <c r="AG1628" s="11">
        <f t="shared" si="76"/>
        <v>7.42</v>
      </c>
      <c r="AH1628" s="11">
        <v>0</v>
      </c>
      <c r="AI1628" s="11">
        <f t="shared" si="77"/>
        <v>7.42</v>
      </c>
      <c r="AJ1628" t="s">
        <v>62</v>
      </c>
    </row>
    <row r="1629" spans="1:36" ht="15" customHeight="1" x14ac:dyDescent="0.35">
      <c r="A1629">
        <v>10428918</v>
      </c>
      <c r="B1629" t="s">
        <v>36</v>
      </c>
      <c r="C1629" t="s">
        <v>37</v>
      </c>
      <c r="D1629" s="6" t="s">
        <v>38</v>
      </c>
      <c r="E1629" t="s">
        <v>4824</v>
      </c>
      <c r="F1629" t="s">
        <v>40</v>
      </c>
      <c r="G1629" t="s">
        <v>41</v>
      </c>
      <c r="H1629" t="s">
        <v>4825</v>
      </c>
      <c r="I1629" t="s">
        <v>43</v>
      </c>
      <c r="J1629">
        <v>2</v>
      </c>
      <c r="K1629" t="s">
        <v>44</v>
      </c>
      <c r="L1629" t="s">
        <v>45</v>
      </c>
      <c r="M1629" t="s">
        <v>46</v>
      </c>
      <c r="N1629" s="7">
        <v>2</v>
      </c>
      <c r="O1629" s="8">
        <v>45637.826539351852</v>
      </c>
      <c r="P1629" s="9">
        <v>45640</v>
      </c>
      <c r="Q1629" t="s">
        <v>47</v>
      </c>
      <c r="R1629" t="s">
        <v>48</v>
      </c>
      <c r="S1629" t="s">
        <v>49</v>
      </c>
      <c r="T1629" t="s">
        <v>90</v>
      </c>
      <c r="U1629" t="s">
        <v>4826</v>
      </c>
      <c r="V1629">
        <v>21080</v>
      </c>
      <c r="W1629" t="s">
        <v>48</v>
      </c>
      <c r="X1629" t="s">
        <v>4827</v>
      </c>
      <c r="Y1629" t="s">
        <v>54</v>
      </c>
      <c r="Z1629" s="12">
        <f>IF(N1629&lt;=1,9,9+0.8*ROUNDUP(N1629-1,0))</f>
        <v>9.8000000000000007</v>
      </c>
      <c r="AA1629" s="11">
        <v>-2</v>
      </c>
      <c r="AB1629" s="11">
        <v>0</v>
      </c>
      <c r="AC1629" s="11">
        <v>0</v>
      </c>
      <c r="AD1629" s="11">
        <v>0</v>
      </c>
      <c r="AE1629" s="11">
        <v>0</v>
      </c>
      <c r="AF1629" s="11">
        <f t="shared" si="75"/>
        <v>0.46800000000000003</v>
      </c>
      <c r="AG1629" s="11">
        <f t="shared" si="76"/>
        <v>8.2680000000000007</v>
      </c>
      <c r="AH1629" s="11">
        <v>0</v>
      </c>
      <c r="AI1629" s="11">
        <f t="shared" si="77"/>
        <v>8.2680000000000007</v>
      </c>
      <c r="AJ1629" t="s">
        <v>62</v>
      </c>
    </row>
    <row r="1630" spans="1:36" ht="15" customHeight="1" x14ac:dyDescent="0.35">
      <c r="A1630">
        <v>10428918</v>
      </c>
      <c r="B1630" t="s">
        <v>36</v>
      </c>
      <c r="C1630" t="s">
        <v>37</v>
      </c>
      <c r="D1630" s="6" t="s">
        <v>38</v>
      </c>
      <c r="E1630" t="s">
        <v>4828</v>
      </c>
      <c r="F1630" t="s">
        <v>40</v>
      </c>
      <c r="G1630" t="s">
        <v>41</v>
      </c>
      <c r="H1630" t="s">
        <v>4829</v>
      </c>
      <c r="I1630" t="s">
        <v>43</v>
      </c>
      <c r="J1630">
        <v>2</v>
      </c>
      <c r="K1630" t="s">
        <v>44</v>
      </c>
      <c r="L1630" t="s">
        <v>45</v>
      </c>
      <c r="M1630" t="s">
        <v>46</v>
      </c>
      <c r="N1630" s="7">
        <v>1</v>
      </c>
      <c r="O1630" s="8">
        <v>45639.397615740738</v>
      </c>
      <c r="P1630" s="9">
        <v>45640</v>
      </c>
      <c r="Q1630" t="s">
        <v>58</v>
      </c>
      <c r="R1630" t="s">
        <v>48</v>
      </c>
      <c r="S1630" t="s">
        <v>49</v>
      </c>
      <c r="T1630" t="s">
        <v>117</v>
      </c>
      <c r="U1630" t="s">
        <v>4830</v>
      </c>
      <c r="V1630">
        <v>48300</v>
      </c>
      <c r="W1630" t="s">
        <v>48</v>
      </c>
      <c r="X1630" t="s">
        <v>53</v>
      </c>
      <c r="Y1630" t="s">
        <v>54</v>
      </c>
      <c r="Z1630" s="12">
        <f>IF(N1630&lt;=1,9,9+0.8*ROUNDUP(N1630-1,0))</f>
        <v>9</v>
      </c>
      <c r="AA1630" s="11">
        <v>-2</v>
      </c>
      <c r="AB1630" s="11">
        <v>0</v>
      </c>
      <c r="AC1630" s="11">
        <v>0</v>
      </c>
      <c r="AD1630" s="11">
        <v>0</v>
      </c>
      <c r="AE1630" s="11">
        <v>0</v>
      </c>
      <c r="AF1630" s="11">
        <f t="shared" si="75"/>
        <v>0.42</v>
      </c>
      <c r="AG1630" s="11">
        <f t="shared" si="76"/>
        <v>7.42</v>
      </c>
      <c r="AH1630" s="11">
        <v>0</v>
      </c>
      <c r="AI1630" s="11">
        <f t="shared" si="77"/>
        <v>7.42</v>
      </c>
      <c r="AJ1630" t="s">
        <v>62</v>
      </c>
    </row>
    <row r="1631" spans="1:36" ht="15" customHeight="1" x14ac:dyDescent="0.35">
      <c r="A1631">
        <v>10428918</v>
      </c>
      <c r="B1631" t="s">
        <v>36</v>
      </c>
      <c r="C1631" t="s">
        <v>37</v>
      </c>
      <c r="D1631" s="6" t="s">
        <v>38</v>
      </c>
      <c r="E1631" t="s">
        <v>4831</v>
      </c>
      <c r="F1631" t="s">
        <v>40</v>
      </c>
      <c r="G1631" t="s">
        <v>41</v>
      </c>
      <c r="H1631" t="s">
        <v>4832</v>
      </c>
      <c r="I1631" t="s">
        <v>43</v>
      </c>
      <c r="J1631">
        <v>2</v>
      </c>
      <c r="K1631" t="s">
        <v>44</v>
      </c>
      <c r="L1631" t="s">
        <v>45</v>
      </c>
      <c r="M1631" t="s">
        <v>46</v>
      </c>
      <c r="N1631" s="7">
        <v>1</v>
      </c>
      <c r="O1631" s="8">
        <v>45638.504386574074</v>
      </c>
      <c r="P1631" s="9">
        <v>45640</v>
      </c>
      <c r="Q1631" t="s">
        <v>47</v>
      </c>
      <c r="R1631" t="s">
        <v>48</v>
      </c>
      <c r="S1631" t="s">
        <v>49</v>
      </c>
      <c r="T1631" t="s">
        <v>80</v>
      </c>
      <c r="U1631" t="s">
        <v>4833</v>
      </c>
      <c r="V1631">
        <v>9100</v>
      </c>
      <c r="W1631" t="s">
        <v>48</v>
      </c>
      <c r="X1631" t="s">
        <v>1388</v>
      </c>
      <c r="Y1631" t="s">
        <v>54</v>
      </c>
      <c r="Z1631" s="12">
        <f>IF(N1631&lt;=1,9,9+0.8*ROUNDUP(N1631-1,0))</f>
        <v>9</v>
      </c>
      <c r="AA1631" s="11">
        <v>-2</v>
      </c>
      <c r="AB1631" s="11">
        <v>0</v>
      </c>
      <c r="AC1631" s="11">
        <v>0</v>
      </c>
      <c r="AD1631" s="11">
        <v>0</v>
      </c>
      <c r="AE1631" s="11">
        <v>0</v>
      </c>
      <c r="AF1631" s="11">
        <f t="shared" si="75"/>
        <v>0.42</v>
      </c>
      <c r="AG1631" s="11">
        <f t="shared" si="76"/>
        <v>7.42</v>
      </c>
      <c r="AH1631" s="11">
        <v>0</v>
      </c>
      <c r="AI1631" s="11">
        <f t="shared" si="77"/>
        <v>7.42</v>
      </c>
      <c r="AJ1631" t="s">
        <v>62</v>
      </c>
    </row>
    <row r="1632" spans="1:36" ht="15" customHeight="1" x14ac:dyDescent="0.35">
      <c r="A1632">
        <v>10428918</v>
      </c>
      <c r="B1632" t="s">
        <v>36</v>
      </c>
      <c r="C1632" t="s">
        <v>37</v>
      </c>
      <c r="D1632" s="6" t="s">
        <v>38</v>
      </c>
      <c r="E1632" t="s">
        <v>4834</v>
      </c>
      <c r="F1632" t="s">
        <v>40</v>
      </c>
      <c r="G1632" t="s">
        <v>41</v>
      </c>
      <c r="H1632" t="s">
        <v>1978</v>
      </c>
      <c r="I1632" t="s">
        <v>43</v>
      </c>
      <c r="J1632">
        <v>2</v>
      </c>
      <c r="K1632" t="s">
        <v>44</v>
      </c>
      <c r="L1632" t="s">
        <v>45</v>
      </c>
      <c r="M1632" t="s">
        <v>46</v>
      </c>
      <c r="N1632" s="7">
        <v>1</v>
      </c>
      <c r="O1632" s="8">
        <v>45638.719722222224</v>
      </c>
      <c r="P1632" s="9">
        <v>45640</v>
      </c>
      <c r="Q1632" t="s">
        <v>47</v>
      </c>
      <c r="R1632" t="s">
        <v>48</v>
      </c>
      <c r="S1632" t="s">
        <v>49</v>
      </c>
      <c r="T1632" t="s">
        <v>80</v>
      </c>
      <c r="U1632" t="s">
        <v>1979</v>
      </c>
      <c r="V1632">
        <v>9100</v>
      </c>
      <c r="W1632" t="s">
        <v>48</v>
      </c>
      <c r="X1632" t="s">
        <v>1388</v>
      </c>
      <c r="Y1632" t="s">
        <v>54</v>
      </c>
      <c r="Z1632" s="12">
        <f>IF(N1632&lt;=1,9,9+0.8*ROUNDUP(N1632-1,0))</f>
        <v>9</v>
      </c>
      <c r="AA1632" s="11">
        <v>-2</v>
      </c>
      <c r="AB1632" s="11">
        <v>0</v>
      </c>
      <c r="AC1632" s="11">
        <v>0</v>
      </c>
      <c r="AD1632" s="11">
        <v>0</v>
      </c>
      <c r="AE1632" s="11">
        <v>0</v>
      </c>
      <c r="AF1632" s="11">
        <f t="shared" si="75"/>
        <v>0.42</v>
      </c>
      <c r="AG1632" s="11">
        <f t="shared" si="76"/>
        <v>7.42</v>
      </c>
      <c r="AH1632" s="11">
        <v>0</v>
      </c>
      <c r="AI1632" s="11">
        <f t="shared" si="77"/>
        <v>7.42</v>
      </c>
      <c r="AJ1632" t="s">
        <v>62</v>
      </c>
    </row>
    <row r="1633" spans="1:36" ht="15" customHeight="1" x14ac:dyDescent="0.35">
      <c r="A1633">
        <v>10428918</v>
      </c>
      <c r="B1633" t="s">
        <v>36</v>
      </c>
      <c r="C1633" t="s">
        <v>37</v>
      </c>
      <c r="D1633" s="6" t="s">
        <v>38</v>
      </c>
      <c r="E1633" t="s">
        <v>4835</v>
      </c>
      <c r="F1633" t="s">
        <v>40</v>
      </c>
      <c r="G1633" t="s">
        <v>41</v>
      </c>
      <c r="H1633" t="s">
        <v>4836</v>
      </c>
      <c r="I1633" t="s">
        <v>43</v>
      </c>
      <c r="J1633">
        <v>2</v>
      </c>
      <c r="K1633" t="s">
        <v>44</v>
      </c>
      <c r="L1633" t="s">
        <v>45</v>
      </c>
      <c r="M1633" t="s">
        <v>46</v>
      </c>
      <c r="N1633" s="7">
        <v>2</v>
      </c>
      <c r="O1633" s="8">
        <v>45638.647430555553</v>
      </c>
      <c r="P1633" s="9">
        <v>45640</v>
      </c>
      <c r="Q1633" t="s">
        <v>74</v>
      </c>
      <c r="R1633" t="s">
        <v>48</v>
      </c>
      <c r="S1633" t="s">
        <v>49</v>
      </c>
      <c r="T1633" t="s">
        <v>75</v>
      </c>
      <c r="U1633" t="s">
        <v>4837</v>
      </c>
      <c r="V1633">
        <v>26400</v>
      </c>
      <c r="W1633" t="s">
        <v>48</v>
      </c>
      <c r="X1633" t="s">
        <v>77</v>
      </c>
      <c r="Y1633" t="s">
        <v>54</v>
      </c>
      <c r="Z1633" s="12">
        <f>IF(N1633&lt;=1,9,9+0.8*ROUNDUP(N1633-1,0))</f>
        <v>9.8000000000000007</v>
      </c>
      <c r="AA1633" s="11">
        <v>-2</v>
      </c>
      <c r="AB1633" s="11">
        <v>0</v>
      </c>
      <c r="AC1633" s="11">
        <v>0</v>
      </c>
      <c r="AD1633" s="11">
        <v>0</v>
      </c>
      <c r="AE1633" s="11">
        <v>0</v>
      </c>
      <c r="AF1633" s="11">
        <f t="shared" si="75"/>
        <v>0.46800000000000003</v>
      </c>
      <c r="AG1633" s="11">
        <f t="shared" si="76"/>
        <v>8.2680000000000007</v>
      </c>
      <c r="AH1633" s="11">
        <v>0</v>
      </c>
      <c r="AI1633" s="11">
        <f t="shared" si="77"/>
        <v>8.2680000000000007</v>
      </c>
      <c r="AJ1633" t="s">
        <v>62</v>
      </c>
    </row>
    <row r="1634" spans="1:36" ht="15" customHeight="1" x14ac:dyDescent="0.35">
      <c r="A1634">
        <v>10428918</v>
      </c>
      <c r="B1634" t="s">
        <v>36</v>
      </c>
      <c r="C1634" t="s">
        <v>37</v>
      </c>
      <c r="D1634" s="6" t="s">
        <v>38</v>
      </c>
      <c r="E1634" t="s">
        <v>4838</v>
      </c>
      <c r="F1634" t="s">
        <v>40</v>
      </c>
      <c r="G1634" t="s">
        <v>41</v>
      </c>
      <c r="H1634" t="s">
        <v>4839</v>
      </c>
      <c r="I1634" t="s">
        <v>43</v>
      </c>
      <c r="J1634">
        <v>2</v>
      </c>
      <c r="K1634" t="s">
        <v>44</v>
      </c>
      <c r="L1634" t="s">
        <v>45</v>
      </c>
      <c r="M1634" t="s">
        <v>46</v>
      </c>
      <c r="N1634" s="7">
        <v>1</v>
      </c>
      <c r="O1634" s="8">
        <v>45637.40556712963</v>
      </c>
      <c r="P1634" s="9">
        <v>45640</v>
      </c>
      <c r="Q1634" t="s">
        <v>74</v>
      </c>
      <c r="R1634" t="s">
        <v>48</v>
      </c>
      <c r="S1634" t="s">
        <v>49</v>
      </c>
      <c r="T1634" t="s">
        <v>278</v>
      </c>
      <c r="U1634" t="s">
        <v>4840</v>
      </c>
      <c r="V1634">
        <v>93250</v>
      </c>
      <c r="W1634" t="s">
        <v>52</v>
      </c>
      <c r="X1634" t="s">
        <v>53</v>
      </c>
      <c r="Y1634" t="s">
        <v>54</v>
      </c>
      <c r="Z1634" s="10">
        <f>IF(N1634&lt;=1,13,IF(N1634&lt;=2,23,IF(N1634&lt;=3,35,IF(N1634&lt;=4,43,IF(N1634&lt;=5,53,IF(N1634&lt;=6,63,IF(N1634&lt;=7,71,IF(N1634&lt;=8,79,IF(N1634&lt;=9,87,IF(N1634&lt;=10,95,IF(N1634&lt;=11,105,IF(N1634&lt;=12,114,IF(N1634&lt;=13,119,IF(N1634&lt;=14,127,IF(N1634&lt;=15,135,IF(N1634&lt;=16,143,IF(N1634&lt;=17,153,IF(N1634&lt;=18,163,IF(N1634&lt;=19,171,IF(N1634&lt;=20,185,IF(N1634&lt;=21,193,IF(N1634&lt;=22,201,IF(N1634&lt;=23,210,IF(N1634&lt;=24,220,IF(N1634&lt;=25,230,IF(N1634&lt;=26,240,IF(N1634&lt;=27,250,IF(N1634&lt;=28,260,IF(N1634&lt;=29,270,IF(N1634&lt;=30,280,280+10*ROUNDUP(N1634-30,0)))))))))))))))))))))))))))))))</f>
        <v>13</v>
      </c>
      <c r="AA1634" s="11">
        <v>0</v>
      </c>
      <c r="AB1634" s="11">
        <v>0</v>
      </c>
      <c r="AC1634" s="11">
        <v>0</v>
      </c>
      <c r="AD1634" s="11">
        <v>0</v>
      </c>
      <c r="AE1634" s="11">
        <v>0</v>
      </c>
      <c r="AF1634" s="11">
        <f t="shared" si="75"/>
        <v>0.78</v>
      </c>
      <c r="AG1634" s="11">
        <f t="shared" si="76"/>
        <v>13.78</v>
      </c>
      <c r="AH1634" s="11">
        <v>0</v>
      </c>
      <c r="AI1634" s="11">
        <f t="shared" si="77"/>
        <v>13.78</v>
      </c>
      <c r="AJ1634" t="s">
        <v>55</v>
      </c>
    </row>
    <row r="1635" spans="1:36" ht="15" customHeight="1" x14ac:dyDescent="0.35">
      <c r="A1635">
        <v>10428918</v>
      </c>
      <c r="B1635" t="s">
        <v>36</v>
      </c>
      <c r="C1635" t="s">
        <v>37</v>
      </c>
      <c r="D1635" s="6" t="s">
        <v>38</v>
      </c>
      <c r="E1635" t="s">
        <v>4841</v>
      </c>
      <c r="F1635" t="s">
        <v>40</v>
      </c>
      <c r="G1635" t="s">
        <v>41</v>
      </c>
      <c r="H1635" t="s">
        <v>4842</v>
      </c>
      <c r="I1635" t="s">
        <v>43</v>
      </c>
      <c r="J1635">
        <v>2</v>
      </c>
      <c r="K1635" t="s">
        <v>44</v>
      </c>
      <c r="L1635" t="s">
        <v>45</v>
      </c>
      <c r="M1635" t="s">
        <v>46</v>
      </c>
      <c r="N1635" s="7">
        <v>2</v>
      </c>
      <c r="O1635" s="8">
        <v>45638.788854166669</v>
      </c>
      <c r="P1635" s="9">
        <v>45640</v>
      </c>
      <c r="Q1635" t="s">
        <v>58</v>
      </c>
      <c r="R1635" t="s">
        <v>48</v>
      </c>
      <c r="S1635" t="s">
        <v>49</v>
      </c>
      <c r="T1635" t="s">
        <v>117</v>
      </c>
      <c r="U1635" t="s">
        <v>4843</v>
      </c>
      <c r="V1635">
        <v>43200</v>
      </c>
      <c r="W1635" t="s">
        <v>48</v>
      </c>
      <c r="X1635" t="s">
        <v>357</v>
      </c>
      <c r="Y1635" t="s">
        <v>54</v>
      </c>
      <c r="Z1635" s="12">
        <f>IF(N1635&lt;=1,9,9+0.8*ROUNDUP(N1635-1,0))</f>
        <v>9.8000000000000007</v>
      </c>
      <c r="AA1635" s="11">
        <v>-2</v>
      </c>
      <c r="AB1635" s="11">
        <v>0</v>
      </c>
      <c r="AC1635" s="11">
        <v>0</v>
      </c>
      <c r="AD1635" s="11">
        <v>0</v>
      </c>
      <c r="AE1635" s="11">
        <v>0</v>
      </c>
      <c r="AF1635" s="11">
        <f t="shared" si="75"/>
        <v>0.46800000000000003</v>
      </c>
      <c r="AG1635" s="11">
        <f t="shared" si="76"/>
        <v>8.2680000000000007</v>
      </c>
      <c r="AH1635" s="11">
        <v>0</v>
      </c>
      <c r="AI1635" s="11">
        <f t="shared" si="77"/>
        <v>8.2680000000000007</v>
      </c>
      <c r="AJ1635" t="s">
        <v>62</v>
      </c>
    </row>
    <row r="1636" spans="1:36" ht="15" customHeight="1" x14ac:dyDescent="0.35">
      <c r="A1636">
        <v>10428918</v>
      </c>
      <c r="B1636" t="s">
        <v>36</v>
      </c>
      <c r="C1636" t="s">
        <v>37</v>
      </c>
      <c r="D1636" s="6" t="s">
        <v>38</v>
      </c>
      <c r="E1636" t="s">
        <v>4844</v>
      </c>
      <c r="F1636" t="s">
        <v>40</v>
      </c>
      <c r="G1636" t="s">
        <v>41</v>
      </c>
      <c r="H1636" t="s">
        <v>4845</v>
      </c>
      <c r="I1636" t="s">
        <v>43</v>
      </c>
      <c r="J1636">
        <v>2</v>
      </c>
      <c r="K1636" t="s">
        <v>44</v>
      </c>
      <c r="L1636" t="s">
        <v>45</v>
      </c>
      <c r="M1636" t="s">
        <v>46</v>
      </c>
      <c r="N1636" s="7">
        <v>1</v>
      </c>
      <c r="O1636" s="8">
        <v>45638.795671296299</v>
      </c>
      <c r="P1636" s="9">
        <v>45640</v>
      </c>
      <c r="Q1636" t="s">
        <v>58</v>
      </c>
      <c r="R1636" t="s">
        <v>48</v>
      </c>
      <c r="S1636" t="s">
        <v>49</v>
      </c>
      <c r="T1636" t="s">
        <v>59</v>
      </c>
      <c r="U1636" t="s">
        <v>4846</v>
      </c>
      <c r="V1636">
        <v>16070</v>
      </c>
      <c r="W1636" t="s">
        <v>48</v>
      </c>
      <c r="X1636" t="s">
        <v>61</v>
      </c>
      <c r="Y1636" t="s">
        <v>54</v>
      </c>
      <c r="Z1636" s="12">
        <f>IF(N1636&lt;=1,9,9+0.8*ROUNDUP(N1636-1,0))</f>
        <v>9</v>
      </c>
      <c r="AA1636" s="11">
        <v>-2</v>
      </c>
      <c r="AB1636" s="11">
        <v>0</v>
      </c>
      <c r="AC1636" s="11">
        <v>0</v>
      </c>
      <c r="AD1636" s="11">
        <v>0</v>
      </c>
      <c r="AE1636" s="11">
        <v>0</v>
      </c>
      <c r="AF1636" s="11">
        <f t="shared" si="75"/>
        <v>0.42</v>
      </c>
      <c r="AG1636" s="11">
        <f t="shared" si="76"/>
        <v>7.42</v>
      </c>
      <c r="AH1636" s="11">
        <v>0</v>
      </c>
      <c r="AI1636" s="11">
        <f t="shared" si="77"/>
        <v>7.42</v>
      </c>
      <c r="AJ1636" t="s">
        <v>62</v>
      </c>
    </row>
    <row r="1637" spans="1:36" ht="15" customHeight="1" x14ac:dyDescent="0.35">
      <c r="A1637">
        <v>10428918</v>
      </c>
      <c r="B1637" t="s">
        <v>36</v>
      </c>
      <c r="C1637" t="s">
        <v>37</v>
      </c>
      <c r="D1637" s="6" t="s">
        <v>38</v>
      </c>
      <c r="E1637" t="s">
        <v>4847</v>
      </c>
      <c r="F1637" t="s">
        <v>40</v>
      </c>
      <c r="G1637" t="s">
        <v>41</v>
      </c>
      <c r="H1637" t="s">
        <v>4848</v>
      </c>
      <c r="I1637" t="s">
        <v>43</v>
      </c>
      <c r="J1637">
        <v>2</v>
      </c>
      <c r="K1637" t="s">
        <v>44</v>
      </c>
      <c r="L1637" t="s">
        <v>45</v>
      </c>
      <c r="M1637" t="s">
        <v>46</v>
      </c>
      <c r="N1637" s="7">
        <v>1</v>
      </c>
      <c r="O1637" s="8">
        <v>45638.504386574074</v>
      </c>
      <c r="P1637" s="9">
        <v>45640</v>
      </c>
      <c r="Q1637" t="s">
        <v>47</v>
      </c>
      <c r="R1637" t="s">
        <v>48</v>
      </c>
      <c r="S1637" t="s">
        <v>49</v>
      </c>
      <c r="T1637" t="s">
        <v>90</v>
      </c>
      <c r="U1637" t="s">
        <v>4849</v>
      </c>
      <c r="V1637">
        <v>22000</v>
      </c>
      <c r="W1637" t="s">
        <v>48</v>
      </c>
      <c r="X1637" t="s">
        <v>1203</v>
      </c>
      <c r="Y1637" t="s">
        <v>54</v>
      </c>
      <c r="Z1637" s="12">
        <f>IF(N1637&lt;=1,9,9+0.8*ROUNDUP(N1637-1,0))</f>
        <v>9</v>
      </c>
      <c r="AA1637" s="11">
        <v>-2</v>
      </c>
      <c r="AB1637" s="11">
        <v>0</v>
      </c>
      <c r="AC1637" s="11">
        <v>0</v>
      </c>
      <c r="AD1637" s="11">
        <v>0</v>
      </c>
      <c r="AE1637" s="11">
        <v>0</v>
      </c>
      <c r="AF1637" s="11">
        <f t="shared" si="75"/>
        <v>0.42</v>
      </c>
      <c r="AG1637" s="11">
        <f t="shared" si="76"/>
        <v>7.42</v>
      </c>
      <c r="AH1637" s="11">
        <v>0</v>
      </c>
      <c r="AI1637" s="11">
        <f t="shared" si="77"/>
        <v>7.42</v>
      </c>
      <c r="AJ1637" t="s">
        <v>62</v>
      </c>
    </row>
    <row r="1638" spans="1:36" ht="15" customHeight="1" x14ac:dyDescent="0.35">
      <c r="A1638">
        <v>10428918</v>
      </c>
      <c r="B1638" t="s">
        <v>36</v>
      </c>
      <c r="C1638" t="s">
        <v>37</v>
      </c>
      <c r="D1638" s="6" t="s">
        <v>38</v>
      </c>
      <c r="E1638" t="s">
        <v>4850</v>
      </c>
      <c r="F1638" t="s">
        <v>40</v>
      </c>
      <c r="G1638" t="s">
        <v>41</v>
      </c>
      <c r="H1638" t="s">
        <v>4851</v>
      </c>
      <c r="I1638" t="s">
        <v>43</v>
      </c>
      <c r="J1638">
        <v>2</v>
      </c>
      <c r="K1638" t="s">
        <v>44</v>
      </c>
      <c r="L1638" t="s">
        <v>45</v>
      </c>
      <c r="M1638" t="s">
        <v>46</v>
      </c>
      <c r="N1638" s="7">
        <v>1</v>
      </c>
      <c r="O1638" s="8">
        <v>45638.511284722219</v>
      </c>
      <c r="P1638" s="9">
        <v>45640</v>
      </c>
      <c r="Q1638" t="s">
        <v>47</v>
      </c>
      <c r="R1638" t="s">
        <v>48</v>
      </c>
      <c r="S1638" t="s">
        <v>49</v>
      </c>
      <c r="T1638" t="s">
        <v>90</v>
      </c>
      <c r="U1638" t="s">
        <v>4852</v>
      </c>
      <c r="V1638">
        <v>21000</v>
      </c>
      <c r="W1638" t="s">
        <v>48</v>
      </c>
      <c r="X1638" t="s">
        <v>1574</v>
      </c>
      <c r="Y1638" t="s">
        <v>54</v>
      </c>
      <c r="Z1638" s="12">
        <f>IF(N1638&lt;=1,9,9+0.8*ROUNDUP(N1638-1,0))</f>
        <v>9</v>
      </c>
      <c r="AA1638" s="11">
        <v>-2</v>
      </c>
      <c r="AB1638" s="11">
        <v>0</v>
      </c>
      <c r="AC1638" s="11">
        <v>0</v>
      </c>
      <c r="AD1638" s="11">
        <v>0</v>
      </c>
      <c r="AE1638" s="11">
        <v>0</v>
      </c>
      <c r="AF1638" s="11">
        <f t="shared" si="75"/>
        <v>0.42</v>
      </c>
      <c r="AG1638" s="11">
        <f t="shared" si="76"/>
        <v>7.42</v>
      </c>
      <c r="AH1638" s="11">
        <v>0</v>
      </c>
      <c r="AI1638" s="11">
        <f t="shared" si="77"/>
        <v>7.42</v>
      </c>
      <c r="AJ1638" t="s">
        <v>62</v>
      </c>
    </row>
    <row r="1639" spans="1:36" ht="15" customHeight="1" x14ac:dyDescent="0.35">
      <c r="A1639">
        <v>10428918</v>
      </c>
      <c r="B1639" t="s">
        <v>36</v>
      </c>
      <c r="C1639" t="s">
        <v>37</v>
      </c>
      <c r="D1639" s="6" t="s">
        <v>38</v>
      </c>
      <c r="E1639" t="s">
        <v>4853</v>
      </c>
      <c r="F1639" t="s">
        <v>40</v>
      </c>
      <c r="G1639" t="s">
        <v>41</v>
      </c>
      <c r="H1639" t="s">
        <v>4854</v>
      </c>
      <c r="I1639" t="s">
        <v>43</v>
      </c>
      <c r="J1639">
        <v>2</v>
      </c>
      <c r="K1639" t="s">
        <v>44</v>
      </c>
      <c r="L1639" t="s">
        <v>45</v>
      </c>
      <c r="M1639" t="s">
        <v>46</v>
      </c>
      <c r="N1639" s="7">
        <v>1</v>
      </c>
      <c r="O1639" s="8">
        <v>45638.813344907408</v>
      </c>
      <c r="P1639" s="9">
        <v>45640</v>
      </c>
      <c r="Q1639" t="s">
        <v>58</v>
      </c>
      <c r="R1639" t="s">
        <v>48</v>
      </c>
      <c r="S1639" t="s">
        <v>49</v>
      </c>
      <c r="T1639" t="s">
        <v>90</v>
      </c>
      <c r="U1639" t="s">
        <v>4855</v>
      </c>
      <c r="V1639">
        <v>24000</v>
      </c>
      <c r="W1639" t="s">
        <v>48</v>
      </c>
      <c r="X1639" t="s">
        <v>962</v>
      </c>
      <c r="Y1639" t="s">
        <v>54</v>
      </c>
      <c r="Z1639" s="12">
        <f>IF(N1639&lt;=1,9,9+0.8*ROUNDUP(N1639-1,0))</f>
        <v>9</v>
      </c>
      <c r="AA1639" s="11">
        <v>-2</v>
      </c>
      <c r="AB1639" s="11">
        <v>0</v>
      </c>
      <c r="AC1639" s="11">
        <v>0</v>
      </c>
      <c r="AD1639" s="11">
        <v>0</v>
      </c>
      <c r="AE1639" s="11">
        <v>0</v>
      </c>
      <c r="AF1639" s="11">
        <f t="shared" si="75"/>
        <v>0.42</v>
      </c>
      <c r="AG1639" s="11">
        <f t="shared" si="76"/>
        <v>7.42</v>
      </c>
      <c r="AH1639" s="11">
        <v>0</v>
      </c>
      <c r="AI1639" s="11">
        <f t="shared" si="77"/>
        <v>7.42</v>
      </c>
      <c r="AJ1639" t="s">
        <v>62</v>
      </c>
    </row>
    <row r="1640" spans="1:36" ht="15" customHeight="1" x14ac:dyDescent="0.35">
      <c r="A1640">
        <v>10428918</v>
      </c>
      <c r="B1640" t="s">
        <v>36</v>
      </c>
      <c r="C1640" t="s">
        <v>37</v>
      </c>
      <c r="D1640" s="6" t="s">
        <v>38</v>
      </c>
      <c r="E1640" t="s">
        <v>4856</v>
      </c>
      <c r="F1640" t="s">
        <v>40</v>
      </c>
      <c r="G1640" t="s">
        <v>41</v>
      </c>
      <c r="H1640" t="s">
        <v>4424</v>
      </c>
      <c r="I1640" t="s">
        <v>43</v>
      </c>
      <c r="J1640">
        <v>2</v>
      </c>
      <c r="K1640" t="s">
        <v>44</v>
      </c>
      <c r="L1640" t="s">
        <v>45</v>
      </c>
      <c r="M1640" t="s">
        <v>46</v>
      </c>
      <c r="N1640" s="7">
        <v>1</v>
      </c>
      <c r="O1640" s="8">
        <v>45638.821145833332</v>
      </c>
      <c r="P1640" s="9">
        <v>45640</v>
      </c>
      <c r="Q1640" t="s">
        <v>58</v>
      </c>
      <c r="R1640" t="s">
        <v>48</v>
      </c>
      <c r="S1640" t="s">
        <v>49</v>
      </c>
      <c r="T1640" t="s">
        <v>59</v>
      </c>
      <c r="U1640" t="s">
        <v>4857</v>
      </c>
      <c r="V1640">
        <v>16250</v>
      </c>
      <c r="W1640" t="s">
        <v>48</v>
      </c>
      <c r="X1640" t="s">
        <v>61</v>
      </c>
      <c r="Y1640" t="s">
        <v>54</v>
      </c>
      <c r="Z1640" s="12">
        <f>IF(N1640&lt;=1,9,9+0.8*ROUNDUP(N1640-1,0))</f>
        <v>9</v>
      </c>
      <c r="AA1640" s="11">
        <v>-2</v>
      </c>
      <c r="AB1640" s="11">
        <v>0</v>
      </c>
      <c r="AC1640" s="11">
        <v>0</v>
      </c>
      <c r="AD1640" s="11">
        <v>0</v>
      </c>
      <c r="AE1640" s="11">
        <v>0</v>
      </c>
      <c r="AF1640" s="11">
        <f t="shared" si="75"/>
        <v>0.42</v>
      </c>
      <c r="AG1640" s="11">
        <f t="shared" si="76"/>
        <v>7.42</v>
      </c>
      <c r="AH1640" s="11">
        <v>0</v>
      </c>
      <c r="AI1640" s="11">
        <f t="shared" si="77"/>
        <v>7.42</v>
      </c>
      <c r="AJ1640" t="s">
        <v>62</v>
      </c>
    </row>
    <row r="1641" spans="1:36" ht="15" customHeight="1" x14ac:dyDescent="0.35">
      <c r="A1641">
        <v>10428918</v>
      </c>
      <c r="B1641" t="s">
        <v>36</v>
      </c>
      <c r="C1641" t="s">
        <v>37</v>
      </c>
      <c r="D1641" s="6" t="s">
        <v>38</v>
      </c>
      <c r="E1641" t="s">
        <v>4858</v>
      </c>
      <c r="F1641" t="s">
        <v>40</v>
      </c>
      <c r="G1641" t="s">
        <v>41</v>
      </c>
      <c r="H1641" t="s">
        <v>4859</v>
      </c>
      <c r="I1641" t="s">
        <v>43</v>
      </c>
      <c r="J1641">
        <v>2</v>
      </c>
      <c r="K1641" t="s">
        <v>44</v>
      </c>
      <c r="L1641" t="s">
        <v>45</v>
      </c>
      <c r="M1641" t="s">
        <v>46</v>
      </c>
      <c r="N1641" s="7">
        <v>8</v>
      </c>
      <c r="O1641" s="8">
        <v>45638.610902777778</v>
      </c>
      <c r="P1641" s="9">
        <v>45640</v>
      </c>
      <c r="Q1641" t="s">
        <v>74</v>
      </c>
      <c r="R1641" t="s">
        <v>48</v>
      </c>
      <c r="S1641" t="s">
        <v>49</v>
      </c>
      <c r="T1641" t="s">
        <v>69</v>
      </c>
      <c r="U1641" t="s">
        <v>4860</v>
      </c>
      <c r="V1641">
        <v>86000</v>
      </c>
      <c r="W1641" t="s">
        <v>48</v>
      </c>
      <c r="X1641" t="s">
        <v>613</v>
      </c>
      <c r="Y1641" t="s">
        <v>54</v>
      </c>
      <c r="Z1641" s="12">
        <f>IF(N1641&lt;=1,9,9+0.8*ROUNDUP(N1641-1,0))</f>
        <v>14.600000000000001</v>
      </c>
      <c r="AA1641" s="11">
        <v>-2</v>
      </c>
      <c r="AB1641" s="11">
        <v>0</v>
      </c>
      <c r="AC1641" s="11">
        <v>0</v>
      </c>
      <c r="AD1641" s="11">
        <v>0</v>
      </c>
      <c r="AE1641" s="11">
        <v>0</v>
      </c>
      <c r="AF1641" s="11">
        <f t="shared" si="75"/>
        <v>0.75600000000000001</v>
      </c>
      <c r="AG1641" s="11">
        <f t="shared" si="76"/>
        <v>13.356000000000002</v>
      </c>
      <c r="AH1641" s="11">
        <v>0</v>
      </c>
      <c r="AI1641" s="11">
        <f t="shared" si="77"/>
        <v>13.356000000000002</v>
      </c>
      <c r="AJ1641" t="s">
        <v>62</v>
      </c>
    </row>
    <row r="1642" spans="1:36" ht="15" customHeight="1" x14ac:dyDescent="0.35">
      <c r="A1642">
        <v>10428918</v>
      </c>
      <c r="B1642" t="s">
        <v>36</v>
      </c>
      <c r="C1642" t="s">
        <v>37</v>
      </c>
      <c r="D1642" s="6" t="s">
        <v>38</v>
      </c>
      <c r="E1642" t="s">
        <v>4861</v>
      </c>
      <c r="F1642" t="s">
        <v>40</v>
      </c>
      <c r="G1642" t="s">
        <v>41</v>
      </c>
      <c r="H1642" t="s">
        <v>4862</v>
      </c>
      <c r="I1642" t="s">
        <v>43</v>
      </c>
      <c r="J1642">
        <v>2</v>
      </c>
      <c r="K1642" t="s">
        <v>44</v>
      </c>
      <c r="L1642" t="s">
        <v>45</v>
      </c>
      <c r="M1642" t="s">
        <v>46</v>
      </c>
      <c r="N1642" s="7">
        <v>2</v>
      </c>
      <c r="O1642" s="8">
        <v>45638.504386574074</v>
      </c>
      <c r="P1642" s="9">
        <v>45640</v>
      </c>
      <c r="Q1642" t="s">
        <v>47</v>
      </c>
      <c r="R1642" t="s">
        <v>48</v>
      </c>
      <c r="S1642" t="s">
        <v>49</v>
      </c>
      <c r="T1642" t="s">
        <v>90</v>
      </c>
      <c r="U1642" t="s">
        <v>4863</v>
      </c>
      <c r="V1642">
        <v>24100</v>
      </c>
      <c r="W1642" t="s">
        <v>48</v>
      </c>
      <c r="X1642" t="s">
        <v>53</v>
      </c>
      <c r="Y1642" t="s">
        <v>54</v>
      </c>
      <c r="Z1642" s="12">
        <f>IF(N1642&lt;=1,9,9+0.8*ROUNDUP(N1642-1,0))</f>
        <v>9.8000000000000007</v>
      </c>
      <c r="AA1642" s="11">
        <v>-2</v>
      </c>
      <c r="AB1642" s="11">
        <v>0</v>
      </c>
      <c r="AC1642" s="11">
        <v>0</v>
      </c>
      <c r="AD1642" s="11">
        <v>0</v>
      </c>
      <c r="AE1642" s="11">
        <v>0</v>
      </c>
      <c r="AF1642" s="11">
        <f t="shared" si="75"/>
        <v>0.46800000000000003</v>
      </c>
      <c r="AG1642" s="11">
        <f t="shared" si="76"/>
        <v>8.2680000000000007</v>
      </c>
      <c r="AH1642" s="11">
        <v>0</v>
      </c>
      <c r="AI1642" s="11">
        <f t="shared" si="77"/>
        <v>8.2680000000000007</v>
      </c>
      <c r="AJ1642" t="s">
        <v>62</v>
      </c>
    </row>
    <row r="1643" spans="1:36" ht="15" customHeight="1" x14ac:dyDescent="0.35">
      <c r="A1643">
        <v>10428918</v>
      </c>
      <c r="B1643" t="s">
        <v>36</v>
      </c>
      <c r="C1643" t="s">
        <v>37</v>
      </c>
      <c r="D1643" s="6" t="s">
        <v>38</v>
      </c>
      <c r="E1643" t="s">
        <v>4864</v>
      </c>
      <c r="F1643" t="s">
        <v>40</v>
      </c>
      <c r="G1643" t="s">
        <v>41</v>
      </c>
      <c r="H1643" t="s">
        <v>4865</v>
      </c>
      <c r="I1643" t="s">
        <v>43</v>
      </c>
      <c r="J1643">
        <v>2</v>
      </c>
      <c r="K1643" t="s">
        <v>44</v>
      </c>
      <c r="L1643" t="s">
        <v>45</v>
      </c>
      <c r="M1643" t="s">
        <v>46</v>
      </c>
      <c r="N1643" s="7">
        <v>1</v>
      </c>
      <c r="O1643" s="8">
        <v>45638.834317129629</v>
      </c>
      <c r="P1643" s="9">
        <v>45640</v>
      </c>
      <c r="Q1643" t="s">
        <v>58</v>
      </c>
      <c r="R1643" t="s">
        <v>48</v>
      </c>
      <c r="S1643" t="s">
        <v>49</v>
      </c>
      <c r="T1643" t="s">
        <v>170</v>
      </c>
      <c r="U1643" t="s">
        <v>4866</v>
      </c>
      <c r="V1643">
        <v>51200</v>
      </c>
      <c r="W1643" t="s">
        <v>48</v>
      </c>
      <c r="X1643" t="s">
        <v>1794</v>
      </c>
      <c r="Y1643" t="s">
        <v>54</v>
      </c>
      <c r="Z1643" s="12">
        <f>IF(N1643&lt;=1,9,9+0.8*ROUNDUP(N1643-1,0))</f>
        <v>9</v>
      </c>
      <c r="AA1643" s="11">
        <v>-2</v>
      </c>
      <c r="AB1643" s="11">
        <v>0</v>
      </c>
      <c r="AC1643" s="11">
        <v>0</v>
      </c>
      <c r="AD1643" s="11">
        <v>0</v>
      </c>
      <c r="AE1643" s="11">
        <v>0</v>
      </c>
      <c r="AF1643" s="11">
        <f t="shared" si="75"/>
        <v>0.42</v>
      </c>
      <c r="AG1643" s="11">
        <f t="shared" si="76"/>
        <v>7.42</v>
      </c>
      <c r="AH1643" s="11">
        <v>0</v>
      </c>
      <c r="AI1643" s="11">
        <f t="shared" si="77"/>
        <v>7.42</v>
      </c>
      <c r="AJ1643" t="s">
        <v>62</v>
      </c>
    </row>
    <row r="1644" spans="1:36" ht="15" customHeight="1" x14ac:dyDescent="0.35">
      <c r="A1644">
        <v>10428918</v>
      </c>
      <c r="B1644" t="s">
        <v>36</v>
      </c>
      <c r="C1644" t="s">
        <v>37</v>
      </c>
      <c r="D1644" s="6" t="s">
        <v>38</v>
      </c>
      <c r="E1644" t="s">
        <v>4867</v>
      </c>
      <c r="F1644" t="s">
        <v>40</v>
      </c>
      <c r="G1644" t="s">
        <v>41</v>
      </c>
      <c r="H1644" t="s">
        <v>4868</v>
      </c>
      <c r="I1644" t="s">
        <v>43</v>
      </c>
      <c r="J1644">
        <v>2</v>
      </c>
      <c r="K1644" t="s">
        <v>44</v>
      </c>
      <c r="L1644" t="s">
        <v>45</v>
      </c>
      <c r="M1644" t="s">
        <v>46</v>
      </c>
      <c r="N1644" s="7">
        <v>1</v>
      </c>
      <c r="O1644" s="8">
        <v>45637.747627314813</v>
      </c>
      <c r="P1644" s="9">
        <v>45640</v>
      </c>
      <c r="Q1644" t="s">
        <v>74</v>
      </c>
      <c r="R1644" t="s">
        <v>48</v>
      </c>
      <c r="S1644" t="s">
        <v>49</v>
      </c>
      <c r="T1644" t="s">
        <v>80</v>
      </c>
      <c r="U1644" t="s">
        <v>4869</v>
      </c>
      <c r="V1644">
        <v>6000</v>
      </c>
      <c r="W1644" t="s">
        <v>48</v>
      </c>
      <c r="X1644" t="s">
        <v>1794</v>
      </c>
      <c r="Y1644" t="s">
        <v>54</v>
      </c>
      <c r="Z1644" s="12">
        <f>IF(N1644&lt;=1,9,9+0.8*ROUNDUP(N1644-1,0))</f>
        <v>9</v>
      </c>
      <c r="AA1644" s="11">
        <v>-2</v>
      </c>
      <c r="AB1644" s="11">
        <v>0</v>
      </c>
      <c r="AC1644" s="11">
        <v>0</v>
      </c>
      <c r="AD1644" s="11">
        <v>0</v>
      </c>
      <c r="AE1644" s="11">
        <v>0</v>
      </c>
      <c r="AF1644" s="11">
        <f t="shared" si="75"/>
        <v>0.42</v>
      </c>
      <c r="AG1644" s="11">
        <f t="shared" si="76"/>
        <v>7.42</v>
      </c>
      <c r="AH1644" s="11">
        <v>0</v>
      </c>
      <c r="AI1644" s="11">
        <f t="shared" si="77"/>
        <v>7.42</v>
      </c>
      <c r="AJ1644" t="s">
        <v>62</v>
      </c>
    </row>
    <row r="1645" spans="1:36" ht="15" customHeight="1" x14ac:dyDescent="0.35">
      <c r="A1645">
        <v>10428918</v>
      </c>
      <c r="B1645" t="s">
        <v>36</v>
      </c>
      <c r="C1645" t="s">
        <v>37</v>
      </c>
      <c r="D1645" s="6" t="s">
        <v>38</v>
      </c>
      <c r="E1645" t="s">
        <v>4870</v>
      </c>
      <c r="F1645" t="s">
        <v>40</v>
      </c>
      <c r="G1645" t="s">
        <v>41</v>
      </c>
      <c r="H1645" t="s">
        <v>4871</v>
      </c>
      <c r="I1645" t="s">
        <v>43</v>
      </c>
      <c r="J1645">
        <v>2</v>
      </c>
      <c r="K1645" t="s">
        <v>44</v>
      </c>
      <c r="L1645" t="s">
        <v>45</v>
      </c>
      <c r="M1645" t="s">
        <v>46</v>
      </c>
      <c r="N1645" s="7">
        <v>5</v>
      </c>
      <c r="O1645" s="8">
        <v>45638.445625</v>
      </c>
      <c r="P1645" s="9">
        <v>45640</v>
      </c>
      <c r="Q1645" t="s">
        <v>74</v>
      </c>
      <c r="R1645" t="s">
        <v>48</v>
      </c>
      <c r="S1645" t="s">
        <v>49</v>
      </c>
      <c r="T1645" t="s">
        <v>693</v>
      </c>
      <c r="U1645" t="s">
        <v>4872</v>
      </c>
      <c r="V1645">
        <v>2000</v>
      </c>
      <c r="W1645" t="s">
        <v>48</v>
      </c>
      <c r="X1645" t="s">
        <v>695</v>
      </c>
      <c r="Y1645" t="s">
        <v>54</v>
      </c>
      <c r="Z1645" s="12">
        <f>IF(N1645&lt;=1,9,9+0.8*ROUNDUP(N1645-1,0))</f>
        <v>12.2</v>
      </c>
      <c r="AA1645" s="11">
        <v>-2</v>
      </c>
      <c r="AB1645" s="11">
        <v>0</v>
      </c>
      <c r="AC1645" s="11">
        <v>0</v>
      </c>
      <c r="AD1645" s="11">
        <v>0</v>
      </c>
      <c r="AE1645" s="11">
        <v>0</v>
      </c>
      <c r="AF1645" s="11">
        <f t="shared" si="75"/>
        <v>0.61199999999999999</v>
      </c>
      <c r="AG1645" s="11">
        <f t="shared" si="76"/>
        <v>10.811999999999999</v>
      </c>
      <c r="AH1645" s="11">
        <v>0</v>
      </c>
      <c r="AI1645" s="11">
        <f t="shared" si="77"/>
        <v>10.811999999999999</v>
      </c>
      <c r="AJ1645" t="s">
        <v>62</v>
      </c>
    </row>
    <row r="1646" spans="1:36" ht="15" customHeight="1" x14ac:dyDescent="0.35">
      <c r="A1646">
        <v>10428918</v>
      </c>
      <c r="B1646" t="s">
        <v>36</v>
      </c>
      <c r="C1646" t="s">
        <v>37</v>
      </c>
      <c r="D1646" s="6" t="s">
        <v>38</v>
      </c>
      <c r="E1646" t="s">
        <v>4873</v>
      </c>
      <c r="F1646" t="s">
        <v>40</v>
      </c>
      <c r="G1646" t="s">
        <v>41</v>
      </c>
      <c r="H1646" t="s">
        <v>3128</v>
      </c>
      <c r="I1646" t="s">
        <v>43</v>
      </c>
      <c r="J1646">
        <v>2</v>
      </c>
      <c r="K1646" t="s">
        <v>44</v>
      </c>
      <c r="L1646" t="s">
        <v>45</v>
      </c>
      <c r="M1646" t="s">
        <v>46</v>
      </c>
      <c r="N1646" s="7">
        <v>1</v>
      </c>
      <c r="O1646" s="8">
        <v>45638.511284722219</v>
      </c>
      <c r="P1646" s="9">
        <v>45640</v>
      </c>
      <c r="Q1646" t="s">
        <v>47</v>
      </c>
      <c r="R1646" t="s">
        <v>48</v>
      </c>
      <c r="S1646" t="s">
        <v>49</v>
      </c>
      <c r="T1646" t="s">
        <v>90</v>
      </c>
      <c r="U1646" t="s">
        <v>3129</v>
      </c>
      <c r="V1646">
        <v>21200</v>
      </c>
      <c r="W1646" t="s">
        <v>48</v>
      </c>
      <c r="X1646" t="s">
        <v>1574</v>
      </c>
      <c r="Y1646" t="s">
        <v>54</v>
      </c>
      <c r="Z1646" s="12">
        <f>IF(N1646&lt;=1,9,9+0.8*ROUNDUP(N1646-1,0))</f>
        <v>9</v>
      </c>
      <c r="AA1646" s="11">
        <v>-2</v>
      </c>
      <c r="AB1646" s="11">
        <v>0</v>
      </c>
      <c r="AC1646" s="11">
        <v>0</v>
      </c>
      <c r="AD1646" s="11">
        <v>0</v>
      </c>
      <c r="AE1646" s="11">
        <v>0</v>
      </c>
      <c r="AF1646" s="11">
        <f t="shared" si="75"/>
        <v>0.42</v>
      </c>
      <c r="AG1646" s="11">
        <f t="shared" si="76"/>
        <v>7.42</v>
      </c>
      <c r="AH1646" s="11">
        <v>0</v>
      </c>
      <c r="AI1646" s="11">
        <f t="shared" si="77"/>
        <v>7.42</v>
      </c>
      <c r="AJ1646" t="s">
        <v>62</v>
      </c>
    </row>
    <row r="1647" spans="1:36" ht="15" customHeight="1" x14ac:dyDescent="0.35">
      <c r="A1647">
        <v>10428918</v>
      </c>
      <c r="B1647" t="s">
        <v>36</v>
      </c>
      <c r="C1647" t="s">
        <v>37</v>
      </c>
      <c r="D1647" s="6" t="s">
        <v>38</v>
      </c>
      <c r="E1647" t="s">
        <v>4874</v>
      </c>
      <c r="F1647" t="s">
        <v>40</v>
      </c>
      <c r="G1647" t="s">
        <v>41</v>
      </c>
      <c r="H1647" t="s">
        <v>4875</v>
      </c>
      <c r="I1647" t="s">
        <v>43</v>
      </c>
      <c r="J1647">
        <v>2</v>
      </c>
      <c r="K1647" t="s">
        <v>44</v>
      </c>
      <c r="L1647" t="s">
        <v>45</v>
      </c>
      <c r="M1647" t="s">
        <v>46</v>
      </c>
      <c r="N1647" s="7">
        <v>1</v>
      </c>
      <c r="O1647" s="8">
        <v>45638.6562037037</v>
      </c>
      <c r="P1647" s="9">
        <v>45640</v>
      </c>
      <c r="Q1647" t="s">
        <v>47</v>
      </c>
      <c r="R1647" t="s">
        <v>48</v>
      </c>
      <c r="S1647" t="s">
        <v>49</v>
      </c>
      <c r="T1647" t="s">
        <v>80</v>
      </c>
      <c r="U1647" t="s">
        <v>4876</v>
      </c>
      <c r="V1647">
        <v>8300</v>
      </c>
      <c r="W1647" t="s">
        <v>48</v>
      </c>
      <c r="X1647" t="s">
        <v>141</v>
      </c>
      <c r="Y1647" t="s">
        <v>54</v>
      </c>
      <c r="Z1647" s="12">
        <f>IF(N1647&lt;=1,9,9+0.8*ROUNDUP(N1647-1,0))</f>
        <v>9</v>
      </c>
      <c r="AA1647" s="11">
        <v>-2</v>
      </c>
      <c r="AB1647" s="11">
        <v>0</v>
      </c>
      <c r="AC1647" s="11">
        <v>0</v>
      </c>
      <c r="AD1647" s="11">
        <v>0</v>
      </c>
      <c r="AE1647" s="11">
        <v>0</v>
      </c>
      <c r="AF1647" s="11">
        <f t="shared" si="75"/>
        <v>0.42</v>
      </c>
      <c r="AG1647" s="11">
        <f t="shared" si="76"/>
        <v>7.42</v>
      </c>
      <c r="AH1647" s="11">
        <v>0</v>
      </c>
      <c r="AI1647" s="11">
        <f t="shared" si="77"/>
        <v>7.42</v>
      </c>
      <c r="AJ1647" t="s">
        <v>62</v>
      </c>
    </row>
    <row r="1648" spans="1:36" ht="15" customHeight="1" x14ac:dyDescent="0.35">
      <c r="A1648">
        <v>10428918</v>
      </c>
      <c r="B1648" t="s">
        <v>36</v>
      </c>
      <c r="C1648" t="s">
        <v>37</v>
      </c>
      <c r="D1648" s="6" t="s">
        <v>38</v>
      </c>
      <c r="E1648" t="s">
        <v>4877</v>
      </c>
      <c r="F1648" t="s">
        <v>40</v>
      </c>
      <c r="G1648" t="s">
        <v>41</v>
      </c>
      <c r="H1648" t="s">
        <v>4684</v>
      </c>
      <c r="I1648" t="s">
        <v>43</v>
      </c>
      <c r="J1648">
        <v>2</v>
      </c>
      <c r="K1648" t="s">
        <v>44</v>
      </c>
      <c r="L1648" t="s">
        <v>45</v>
      </c>
      <c r="M1648" t="s">
        <v>46</v>
      </c>
      <c r="N1648" s="7">
        <v>1</v>
      </c>
      <c r="O1648" s="8">
        <v>45637.668344907404</v>
      </c>
      <c r="P1648" s="9">
        <v>45640</v>
      </c>
      <c r="Q1648" t="s">
        <v>74</v>
      </c>
      <c r="R1648" t="s">
        <v>48</v>
      </c>
      <c r="S1648" t="s">
        <v>49</v>
      </c>
      <c r="T1648" t="s">
        <v>101</v>
      </c>
      <c r="U1648" t="s">
        <v>4685</v>
      </c>
      <c r="V1648">
        <v>33000</v>
      </c>
      <c r="W1648" t="s">
        <v>48</v>
      </c>
      <c r="X1648" t="s">
        <v>53</v>
      </c>
      <c r="Y1648" t="s">
        <v>54</v>
      </c>
      <c r="Z1648" s="12">
        <f>IF(N1648&lt;=1,9,9+0.8*ROUNDUP(N1648-1,0))</f>
        <v>9</v>
      </c>
      <c r="AA1648" s="11">
        <v>-2</v>
      </c>
      <c r="AB1648" s="11">
        <v>0</v>
      </c>
      <c r="AC1648" s="11">
        <v>0</v>
      </c>
      <c r="AD1648" s="11">
        <v>0</v>
      </c>
      <c r="AE1648" s="11">
        <v>0</v>
      </c>
      <c r="AF1648" s="11">
        <f t="shared" si="75"/>
        <v>0.42</v>
      </c>
      <c r="AG1648" s="11">
        <f t="shared" si="76"/>
        <v>7.42</v>
      </c>
      <c r="AH1648" s="11">
        <v>0</v>
      </c>
      <c r="AI1648" s="11">
        <f t="shared" si="77"/>
        <v>7.42</v>
      </c>
      <c r="AJ1648" t="s">
        <v>62</v>
      </c>
    </row>
    <row r="1649" spans="1:36" ht="15" customHeight="1" x14ac:dyDescent="0.35">
      <c r="A1649">
        <v>10428918</v>
      </c>
      <c r="B1649" t="s">
        <v>36</v>
      </c>
      <c r="C1649" t="s">
        <v>37</v>
      </c>
      <c r="D1649" s="6" t="s">
        <v>38</v>
      </c>
      <c r="E1649" t="s">
        <v>4878</v>
      </c>
      <c r="F1649" t="s">
        <v>40</v>
      </c>
      <c r="G1649" t="s">
        <v>41</v>
      </c>
      <c r="H1649" t="s">
        <v>4879</v>
      </c>
      <c r="I1649" t="s">
        <v>43</v>
      </c>
      <c r="J1649">
        <v>2</v>
      </c>
      <c r="K1649" t="s">
        <v>44</v>
      </c>
      <c r="L1649" t="s">
        <v>45</v>
      </c>
      <c r="M1649" t="s">
        <v>46</v>
      </c>
      <c r="N1649" s="7">
        <v>1</v>
      </c>
      <c r="O1649" s="8">
        <v>45638.511284722219</v>
      </c>
      <c r="P1649" s="9">
        <v>45640</v>
      </c>
      <c r="Q1649" t="s">
        <v>47</v>
      </c>
      <c r="R1649" t="s">
        <v>48</v>
      </c>
      <c r="S1649" t="s">
        <v>49</v>
      </c>
      <c r="T1649" t="s">
        <v>161</v>
      </c>
      <c r="U1649" t="s">
        <v>4880</v>
      </c>
      <c r="V1649">
        <v>13100</v>
      </c>
      <c r="W1649" t="s">
        <v>48</v>
      </c>
      <c r="X1649" t="s">
        <v>812</v>
      </c>
      <c r="Y1649" t="s">
        <v>54</v>
      </c>
      <c r="Z1649" s="12">
        <f>IF(N1649&lt;=1,9,9+0.8*ROUNDUP(N1649-1,0))</f>
        <v>9</v>
      </c>
      <c r="AA1649" s="11">
        <v>-2</v>
      </c>
      <c r="AB1649" s="11">
        <v>0</v>
      </c>
      <c r="AC1649" s="11">
        <v>0</v>
      </c>
      <c r="AD1649" s="11">
        <v>0</v>
      </c>
      <c r="AE1649" s="11">
        <v>0</v>
      </c>
      <c r="AF1649" s="11">
        <f t="shared" si="75"/>
        <v>0.42</v>
      </c>
      <c r="AG1649" s="11">
        <f t="shared" si="76"/>
        <v>7.42</v>
      </c>
      <c r="AH1649" s="11">
        <v>0</v>
      </c>
      <c r="AI1649" s="11">
        <f t="shared" si="77"/>
        <v>7.42</v>
      </c>
      <c r="AJ1649" t="s">
        <v>62</v>
      </c>
    </row>
    <row r="1650" spans="1:36" ht="15" customHeight="1" x14ac:dyDescent="0.35">
      <c r="A1650">
        <v>10428918</v>
      </c>
      <c r="B1650" t="s">
        <v>36</v>
      </c>
      <c r="C1650" t="s">
        <v>37</v>
      </c>
      <c r="D1650" s="6" t="s">
        <v>38</v>
      </c>
      <c r="E1650" t="s">
        <v>4881</v>
      </c>
      <c r="F1650" t="s">
        <v>40</v>
      </c>
      <c r="G1650" t="s">
        <v>41</v>
      </c>
      <c r="H1650" t="s">
        <v>4882</v>
      </c>
      <c r="I1650" t="s">
        <v>43</v>
      </c>
      <c r="J1650">
        <v>2</v>
      </c>
      <c r="K1650" t="s">
        <v>44</v>
      </c>
      <c r="L1650" t="s">
        <v>45</v>
      </c>
      <c r="M1650" t="s">
        <v>46</v>
      </c>
      <c r="N1650" s="7">
        <v>1</v>
      </c>
      <c r="O1650" s="8">
        <v>45638.497407407405</v>
      </c>
      <c r="P1650" s="9">
        <v>45640</v>
      </c>
      <c r="Q1650" t="s">
        <v>47</v>
      </c>
      <c r="R1650" t="s">
        <v>48</v>
      </c>
      <c r="S1650" t="s">
        <v>49</v>
      </c>
      <c r="T1650" t="s">
        <v>59</v>
      </c>
      <c r="U1650" t="s">
        <v>4883</v>
      </c>
      <c r="V1650">
        <v>17600</v>
      </c>
      <c r="W1650" t="s">
        <v>48</v>
      </c>
      <c r="X1650" t="s">
        <v>53</v>
      </c>
      <c r="Y1650" t="s">
        <v>54</v>
      </c>
      <c r="Z1650" s="12">
        <f>IF(N1650&lt;=1,9,9+0.8*ROUNDUP(N1650-1,0))</f>
        <v>9</v>
      </c>
      <c r="AA1650" s="11">
        <v>-2</v>
      </c>
      <c r="AB1650" s="11">
        <v>0</v>
      </c>
      <c r="AC1650" s="11">
        <v>0</v>
      </c>
      <c r="AD1650" s="11">
        <v>0</v>
      </c>
      <c r="AE1650" s="11">
        <v>0</v>
      </c>
      <c r="AF1650" s="11">
        <f t="shared" si="75"/>
        <v>0.42</v>
      </c>
      <c r="AG1650" s="11">
        <f t="shared" si="76"/>
        <v>7.42</v>
      </c>
      <c r="AH1650" s="11">
        <v>0</v>
      </c>
      <c r="AI1650" s="11">
        <f t="shared" si="77"/>
        <v>7.42</v>
      </c>
      <c r="AJ1650" t="s">
        <v>62</v>
      </c>
    </row>
    <row r="1651" spans="1:36" ht="15" customHeight="1" x14ac:dyDescent="0.35">
      <c r="A1651">
        <v>10428918</v>
      </c>
      <c r="B1651" t="s">
        <v>36</v>
      </c>
      <c r="C1651" t="s">
        <v>37</v>
      </c>
      <c r="D1651" s="6" t="s">
        <v>38</v>
      </c>
      <c r="E1651" t="s">
        <v>4884</v>
      </c>
      <c r="F1651" t="s">
        <v>40</v>
      </c>
      <c r="G1651" t="s">
        <v>41</v>
      </c>
      <c r="H1651" t="s">
        <v>4885</v>
      </c>
      <c r="I1651" t="s">
        <v>43</v>
      </c>
      <c r="J1651">
        <v>2</v>
      </c>
      <c r="K1651" t="s">
        <v>44</v>
      </c>
      <c r="L1651" t="s">
        <v>45</v>
      </c>
      <c r="M1651" t="s">
        <v>46</v>
      </c>
      <c r="N1651" s="7">
        <v>2</v>
      </c>
      <c r="O1651" s="8">
        <v>45638.6249537037</v>
      </c>
      <c r="P1651" s="9">
        <v>45640</v>
      </c>
      <c r="Q1651" t="s">
        <v>47</v>
      </c>
      <c r="R1651" t="s">
        <v>48</v>
      </c>
      <c r="S1651" t="s">
        <v>49</v>
      </c>
      <c r="T1651" t="s">
        <v>75</v>
      </c>
      <c r="U1651" t="s">
        <v>4886</v>
      </c>
      <c r="V1651">
        <v>27000</v>
      </c>
      <c r="W1651" t="s">
        <v>48</v>
      </c>
      <c r="X1651" t="s">
        <v>2505</v>
      </c>
      <c r="Y1651" t="s">
        <v>54</v>
      </c>
      <c r="Z1651" s="12">
        <f>IF(N1651&lt;=1,9,9+0.8*ROUNDUP(N1651-1,0))</f>
        <v>9.8000000000000007</v>
      </c>
      <c r="AA1651" s="11">
        <v>-2</v>
      </c>
      <c r="AB1651" s="11">
        <v>0</v>
      </c>
      <c r="AC1651" s="11">
        <v>0</v>
      </c>
      <c r="AD1651" s="11">
        <v>0</v>
      </c>
      <c r="AE1651" s="11">
        <v>0</v>
      </c>
      <c r="AF1651" s="11">
        <f t="shared" si="75"/>
        <v>0.46800000000000003</v>
      </c>
      <c r="AG1651" s="11">
        <f t="shared" si="76"/>
        <v>8.2680000000000007</v>
      </c>
      <c r="AH1651" s="11">
        <v>0</v>
      </c>
      <c r="AI1651" s="11">
        <f t="shared" si="77"/>
        <v>8.2680000000000007</v>
      </c>
      <c r="AJ1651" t="s">
        <v>62</v>
      </c>
    </row>
    <row r="1652" spans="1:36" ht="15" customHeight="1" x14ac:dyDescent="0.35">
      <c r="A1652">
        <v>10428918</v>
      </c>
      <c r="B1652" t="s">
        <v>36</v>
      </c>
      <c r="C1652" t="s">
        <v>37</v>
      </c>
      <c r="D1652" s="6" t="s">
        <v>38</v>
      </c>
      <c r="E1652" t="s">
        <v>4887</v>
      </c>
      <c r="F1652" t="s">
        <v>40</v>
      </c>
      <c r="G1652" t="s">
        <v>41</v>
      </c>
      <c r="H1652" t="s">
        <v>4888</v>
      </c>
      <c r="I1652" t="s">
        <v>43</v>
      </c>
      <c r="J1652">
        <v>2</v>
      </c>
      <c r="K1652" t="s">
        <v>44</v>
      </c>
      <c r="L1652" t="s">
        <v>45</v>
      </c>
      <c r="M1652" t="s">
        <v>46</v>
      </c>
      <c r="N1652" s="7">
        <v>1</v>
      </c>
      <c r="O1652" s="8">
        <v>45638.795729166668</v>
      </c>
      <c r="P1652" s="9">
        <v>45640</v>
      </c>
      <c r="Q1652" t="s">
        <v>58</v>
      </c>
      <c r="R1652" t="s">
        <v>48</v>
      </c>
      <c r="S1652" t="s">
        <v>49</v>
      </c>
      <c r="T1652" t="s">
        <v>117</v>
      </c>
      <c r="U1652" t="s">
        <v>4889</v>
      </c>
      <c r="V1652">
        <v>40170</v>
      </c>
      <c r="W1652" t="s">
        <v>48</v>
      </c>
      <c r="X1652" t="s">
        <v>429</v>
      </c>
      <c r="Y1652" t="s">
        <v>54</v>
      </c>
      <c r="Z1652" s="12">
        <f>IF(N1652&lt;=1,9,9+0.8*ROUNDUP(N1652-1,0))</f>
        <v>9</v>
      </c>
      <c r="AA1652" s="11">
        <v>-2</v>
      </c>
      <c r="AB1652" s="11">
        <v>0</v>
      </c>
      <c r="AC1652" s="11">
        <v>0</v>
      </c>
      <c r="AD1652" s="11">
        <v>0</v>
      </c>
      <c r="AE1652" s="11">
        <v>0</v>
      </c>
      <c r="AF1652" s="11">
        <f t="shared" si="75"/>
        <v>0.42</v>
      </c>
      <c r="AG1652" s="11">
        <f t="shared" si="76"/>
        <v>7.42</v>
      </c>
      <c r="AH1652" s="11">
        <v>0</v>
      </c>
      <c r="AI1652" s="11">
        <f t="shared" si="77"/>
        <v>7.42</v>
      </c>
      <c r="AJ1652" t="s">
        <v>62</v>
      </c>
    </row>
    <row r="1653" spans="1:36" ht="15" customHeight="1" x14ac:dyDescent="0.35">
      <c r="A1653">
        <v>10428918</v>
      </c>
      <c r="B1653" t="s">
        <v>36</v>
      </c>
      <c r="C1653" t="s">
        <v>37</v>
      </c>
      <c r="D1653" s="6" t="s">
        <v>38</v>
      </c>
      <c r="E1653" t="s">
        <v>4890</v>
      </c>
      <c r="F1653" t="s">
        <v>40</v>
      </c>
      <c r="G1653" t="s">
        <v>41</v>
      </c>
      <c r="H1653" t="s">
        <v>4891</v>
      </c>
      <c r="I1653" t="s">
        <v>43</v>
      </c>
      <c r="J1653">
        <v>2</v>
      </c>
      <c r="K1653" t="s">
        <v>44</v>
      </c>
      <c r="L1653" t="s">
        <v>45</v>
      </c>
      <c r="M1653" t="s">
        <v>46</v>
      </c>
      <c r="N1653" s="7">
        <v>1</v>
      </c>
      <c r="O1653" s="8">
        <v>45638.788854166669</v>
      </c>
      <c r="P1653" s="9">
        <v>45640</v>
      </c>
      <c r="Q1653" t="s">
        <v>58</v>
      </c>
      <c r="R1653" t="s">
        <v>48</v>
      </c>
      <c r="S1653" t="s">
        <v>49</v>
      </c>
      <c r="T1653" t="s">
        <v>117</v>
      </c>
      <c r="U1653" t="s">
        <v>4892</v>
      </c>
      <c r="V1653">
        <v>48300</v>
      </c>
      <c r="W1653" t="s">
        <v>48</v>
      </c>
      <c r="X1653" t="s">
        <v>254</v>
      </c>
      <c r="Y1653" t="s">
        <v>54</v>
      </c>
      <c r="Z1653" s="12">
        <f>IF(N1653&lt;=1,9,9+0.8*ROUNDUP(N1653-1,0))</f>
        <v>9</v>
      </c>
      <c r="AA1653" s="11">
        <v>-2</v>
      </c>
      <c r="AB1653" s="11">
        <v>0</v>
      </c>
      <c r="AC1653" s="11">
        <v>0</v>
      </c>
      <c r="AD1653" s="11">
        <v>0</v>
      </c>
      <c r="AE1653" s="11">
        <v>0</v>
      </c>
      <c r="AF1653" s="11">
        <f t="shared" si="75"/>
        <v>0.42</v>
      </c>
      <c r="AG1653" s="11">
        <f t="shared" si="76"/>
        <v>7.42</v>
      </c>
      <c r="AH1653" s="11">
        <v>0</v>
      </c>
      <c r="AI1653" s="11">
        <f t="shared" si="77"/>
        <v>7.42</v>
      </c>
      <c r="AJ1653" t="s">
        <v>62</v>
      </c>
    </row>
    <row r="1654" spans="1:36" ht="15" customHeight="1" x14ac:dyDescent="0.35">
      <c r="A1654">
        <v>10428918</v>
      </c>
      <c r="B1654" t="s">
        <v>36</v>
      </c>
      <c r="C1654" t="s">
        <v>37</v>
      </c>
      <c r="D1654" s="6" t="s">
        <v>38</v>
      </c>
      <c r="E1654" t="s">
        <v>4893</v>
      </c>
      <c r="F1654" t="s">
        <v>40</v>
      </c>
      <c r="G1654" t="s">
        <v>41</v>
      </c>
      <c r="H1654" t="s">
        <v>4894</v>
      </c>
      <c r="I1654" t="s">
        <v>43</v>
      </c>
      <c r="J1654">
        <v>2</v>
      </c>
      <c r="K1654" t="s">
        <v>44</v>
      </c>
      <c r="L1654" t="s">
        <v>45</v>
      </c>
      <c r="M1654" t="s">
        <v>46</v>
      </c>
      <c r="N1654" s="7">
        <v>1</v>
      </c>
      <c r="O1654" s="8">
        <v>45638.6562037037</v>
      </c>
      <c r="P1654" s="9">
        <v>45640</v>
      </c>
      <c r="Q1654" t="s">
        <v>47</v>
      </c>
      <c r="R1654" t="s">
        <v>48</v>
      </c>
      <c r="S1654" t="s">
        <v>49</v>
      </c>
      <c r="T1654" t="s">
        <v>161</v>
      </c>
      <c r="U1654" t="s">
        <v>4895</v>
      </c>
      <c r="V1654">
        <v>11500</v>
      </c>
      <c r="W1654" t="s">
        <v>48</v>
      </c>
      <c r="X1654" t="s">
        <v>1973</v>
      </c>
      <c r="Y1654" t="s">
        <v>54</v>
      </c>
      <c r="Z1654" s="12">
        <f>IF(N1654&lt;=1,9,9+0.8*ROUNDUP(N1654-1,0))</f>
        <v>9</v>
      </c>
      <c r="AA1654" s="11">
        <v>-2</v>
      </c>
      <c r="AB1654" s="11">
        <v>0</v>
      </c>
      <c r="AC1654" s="11">
        <v>0</v>
      </c>
      <c r="AD1654" s="11">
        <v>0</v>
      </c>
      <c r="AE1654" s="11">
        <v>0</v>
      </c>
      <c r="AF1654" s="11">
        <f t="shared" si="75"/>
        <v>0.42</v>
      </c>
      <c r="AG1654" s="11">
        <f t="shared" si="76"/>
        <v>7.42</v>
      </c>
      <c r="AH1654" s="11">
        <v>0</v>
      </c>
      <c r="AI1654" s="11">
        <f t="shared" si="77"/>
        <v>7.42</v>
      </c>
      <c r="AJ1654" t="s">
        <v>62</v>
      </c>
    </row>
    <row r="1655" spans="1:36" ht="15" customHeight="1" x14ac:dyDescent="0.35">
      <c r="A1655">
        <v>10428918</v>
      </c>
      <c r="B1655" t="s">
        <v>36</v>
      </c>
      <c r="C1655" t="s">
        <v>37</v>
      </c>
      <c r="D1655" s="6" t="s">
        <v>38</v>
      </c>
      <c r="E1655" t="s">
        <v>4896</v>
      </c>
      <c r="F1655" t="s">
        <v>40</v>
      </c>
      <c r="G1655" t="s">
        <v>41</v>
      </c>
      <c r="H1655" t="s">
        <v>4897</v>
      </c>
      <c r="I1655" t="s">
        <v>43</v>
      </c>
      <c r="J1655">
        <v>2</v>
      </c>
      <c r="K1655" t="s">
        <v>44</v>
      </c>
      <c r="L1655" t="s">
        <v>45</v>
      </c>
      <c r="M1655" t="s">
        <v>46</v>
      </c>
      <c r="N1655" s="7">
        <v>1</v>
      </c>
      <c r="O1655" s="8">
        <v>45637.826539351852</v>
      </c>
      <c r="P1655" s="9">
        <v>45640</v>
      </c>
      <c r="Q1655" t="s">
        <v>47</v>
      </c>
      <c r="R1655" t="s">
        <v>48</v>
      </c>
      <c r="S1655" t="s">
        <v>49</v>
      </c>
      <c r="T1655" t="s">
        <v>101</v>
      </c>
      <c r="U1655" t="s">
        <v>4898</v>
      </c>
      <c r="V1655">
        <v>35600</v>
      </c>
      <c r="W1655" t="s">
        <v>48</v>
      </c>
      <c r="X1655" t="s">
        <v>1485</v>
      </c>
      <c r="Y1655" t="s">
        <v>54</v>
      </c>
      <c r="Z1655" s="12">
        <f>IF(N1655&lt;=1,9,9+0.8*ROUNDUP(N1655-1,0))</f>
        <v>9</v>
      </c>
      <c r="AA1655" s="11">
        <v>-2</v>
      </c>
      <c r="AB1655" s="11">
        <v>0</v>
      </c>
      <c r="AC1655" s="11">
        <v>0</v>
      </c>
      <c r="AD1655" s="11">
        <v>0</v>
      </c>
      <c r="AE1655" s="11">
        <v>0</v>
      </c>
      <c r="AF1655" s="11">
        <f t="shared" si="75"/>
        <v>0.42</v>
      </c>
      <c r="AG1655" s="11">
        <f t="shared" si="76"/>
        <v>7.42</v>
      </c>
      <c r="AH1655" s="11">
        <v>0</v>
      </c>
      <c r="AI1655" s="11">
        <f t="shared" si="77"/>
        <v>7.42</v>
      </c>
      <c r="AJ1655" t="s">
        <v>62</v>
      </c>
    </row>
    <row r="1656" spans="1:36" ht="15" customHeight="1" x14ac:dyDescent="0.35">
      <c r="A1656">
        <v>10428918</v>
      </c>
      <c r="B1656" t="s">
        <v>36</v>
      </c>
      <c r="C1656" t="s">
        <v>37</v>
      </c>
      <c r="D1656" s="6" t="s">
        <v>38</v>
      </c>
      <c r="E1656" t="s">
        <v>4899</v>
      </c>
      <c r="F1656" t="s">
        <v>40</v>
      </c>
      <c r="G1656" t="s">
        <v>41</v>
      </c>
      <c r="H1656" t="s">
        <v>4900</v>
      </c>
      <c r="I1656" t="s">
        <v>43</v>
      </c>
      <c r="J1656">
        <v>2</v>
      </c>
      <c r="K1656" t="s">
        <v>44</v>
      </c>
      <c r="L1656" t="s">
        <v>45</v>
      </c>
      <c r="M1656" t="s">
        <v>46</v>
      </c>
      <c r="N1656" s="7">
        <v>1</v>
      </c>
      <c r="O1656" s="8">
        <v>45639.397615740738</v>
      </c>
      <c r="P1656" s="9">
        <v>45640</v>
      </c>
      <c r="Q1656" t="s">
        <v>58</v>
      </c>
      <c r="R1656" t="s">
        <v>48</v>
      </c>
      <c r="S1656" t="s">
        <v>49</v>
      </c>
      <c r="T1656" t="s">
        <v>117</v>
      </c>
      <c r="U1656" t="s">
        <v>4901</v>
      </c>
      <c r="V1656">
        <v>44100</v>
      </c>
      <c r="W1656" t="s">
        <v>48</v>
      </c>
      <c r="X1656" t="s">
        <v>53</v>
      </c>
      <c r="Y1656" t="s">
        <v>54</v>
      </c>
      <c r="Z1656" s="12">
        <f>IF(N1656&lt;=1,9,9+0.8*ROUNDUP(N1656-1,0))</f>
        <v>9</v>
      </c>
      <c r="AA1656" s="11">
        <v>-2</v>
      </c>
      <c r="AB1656" s="11">
        <v>0</v>
      </c>
      <c r="AC1656" s="11">
        <v>0</v>
      </c>
      <c r="AD1656" s="11">
        <v>0</v>
      </c>
      <c r="AE1656" s="11">
        <v>0</v>
      </c>
      <c r="AF1656" s="11">
        <f t="shared" si="75"/>
        <v>0.42</v>
      </c>
      <c r="AG1656" s="11">
        <f t="shared" si="76"/>
        <v>7.42</v>
      </c>
      <c r="AH1656" s="11">
        <v>0</v>
      </c>
      <c r="AI1656" s="11">
        <f t="shared" si="77"/>
        <v>7.42</v>
      </c>
      <c r="AJ1656" t="s">
        <v>62</v>
      </c>
    </row>
    <row r="1657" spans="1:36" ht="15" customHeight="1" x14ac:dyDescent="0.35">
      <c r="A1657">
        <v>10428918</v>
      </c>
      <c r="B1657" t="s">
        <v>36</v>
      </c>
      <c r="C1657" t="s">
        <v>37</v>
      </c>
      <c r="D1657" s="6" t="s">
        <v>38</v>
      </c>
      <c r="E1657" t="s">
        <v>4902</v>
      </c>
      <c r="F1657" t="s">
        <v>40</v>
      </c>
      <c r="G1657" t="s">
        <v>41</v>
      </c>
      <c r="H1657" t="s">
        <v>4903</v>
      </c>
      <c r="I1657" t="s">
        <v>43</v>
      </c>
      <c r="J1657">
        <v>2</v>
      </c>
      <c r="K1657" t="s">
        <v>44</v>
      </c>
      <c r="L1657" t="s">
        <v>45</v>
      </c>
      <c r="M1657" t="s">
        <v>46</v>
      </c>
      <c r="N1657" s="7">
        <v>1</v>
      </c>
      <c r="O1657" s="8">
        <v>45637.826539351852</v>
      </c>
      <c r="P1657" s="9">
        <v>45640</v>
      </c>
      <c r="Q1657" t="s">
        <v>47</v>
      </c>
      <c r="R1657" t="s">
        <v>48</v>
      </c>
      <c r="S1657" t="s">
        <v>49</v>
      </c>
      <c r="T1657" t="s">
        <v>101</v>
      </c>
      <c r="U1657" t="s">
        <v>4904</v>
      </c>
      <c r="V1657">
        <v>31200</v>
      </c>
      <c r="W1657" t="s">
        <v>48</v>
      </c>
      <c r="X1657" t="s">
        <v>1401</v>
      </c>
      <c r="Y1657" t="s">
        <v>54</v>
      </c>
      <c r="Z1657" s="12">
        <f>IF(N1657&lt;=1,9,9+0.8*ROUNDUP(N1657-1,0))</f>
        <v>9</v>
      </c>
      <c r="AA1657" s="11">
        <v>-2</v>
      </c>
      <c r="AB1657" s="11">
        <v>0</v>
      </c>
      <c r="AC1657" s="11">
        <v>0</v>
      </c>
      <c r="AD1657" s="11">
        <v>0</v>
      </c>
      <c r="AE1657" s="11">
        <v>0</v>
      </c>
      <c r="AF1657" s="11">
        <f t="shared" si="75"/>
        <v>0.42</v>
      </c>
      <c r="AG1657" s="11">
        <f t="shared" si="76"/>
        <v>7.42</v>
      </c>
      <c r="AH1657" s="11">
        <v>0</v>
      </c>
      <c r="AI1657" s="11">
        <f t="shared" si="77"/>
        <v>7.42</v>
      </c>
      <c r="AJ1657" t="s">
        <v>62</v>
      </c>
    </row>
    <row r="1658" spans="1:36" ht="15" customHeight="1" x14ac:dyDescent="0.35">
      <c r="A1658">
        <v>10428918</v>
      </c>
      <c r="B1658" t="s">
        <v>36</v>
      </c>
      <c r="C1658" t="s">
        <v>37</v>
      </c>
      <c r="D1658" s="6" t="s">
        <v>38</v>
      </c>
      <c r="E1658" t="s">
        <v>4905</v>
      </c>
      <c r="F1658" t="s">
        <v>40</v>
      </c>
      <c r="G1658" t="s">
        <v>41</v>
      </c>
      <c r="H1658" t="s">
        <v>4906</v>
      </c>
      <c r="I1658" t="s">
        <v>43</v>
      </c>
      <c r="J1658">
        <v>2</v>
      </c>
      <c r="K1658" t="s">
        <v>44</v>
      </c>
      <c r="L1658" t="s">
        <v>45</v>
      </c>
      <c r="M1658" t="s">
        <v>46</v>
      </c>
      <c r="N1658" s="7">
        <v>1</v>
      </c>
      <c r="O1658" s="8">
        <v>45638.460613425923</v>
      </c>
      <c r="P1658" s="9">
        <v>45640</v>
      </c>
      <c r="Q1658" t="s">
        <v>47</v>
      </c>
      <c r="R1658" t="s">
        <v>48</v>
      </c>
      <c r="S1658" t="s">
        <v>49</v>
      </c>
      <c r="T1658" t="s">
        <v>69</v>
      </c>
      <c r="U1658" t="s">
        <v>4907</v>
      </c>
      <c r="V1658">
        <v>86000</v>
      </c>
      <c r="W1658" t="s">
        <v>48</v>
      </c>
      <c r="X1658" t="s">
        <v>744</v>
      </c>
      <c r="Y1658" t="s">
        <v>54</v>
      </c>
      <c r="Z1658" s="12">
        <f>IF(N1658&lt;=1,9,9+0.8*ROUNDUP(N1658-1,0))</f>
        <v>9</v>
      </c>
      <c r="AA1658" s="11">
        <v>-2</v>
      </c>
      <c r="AB1658" s="11">
        <v>0</v>
      </c>
      <c r="AC1658" s="11">
        <v>0</v>
      </c>
      <c r="AD1658" s="11">
        <v>0</v>
      </c>
      <c r="AE1658" s="11">
        <v>0</v>
      </c>
      <c r="AF1658" s="11">
        <f t="shared" si="75"/>
        <v>0.42</v>
      </c>
      <c r="AG1658" s="11">
        <f t="shared" si="76"/>
        <v>7.42</v>
      </c>
      <c r="AH1658" s="11">
        <v>0</v>
      </c>
      <c r="AI1658" s="11">
        <f t="shared" si="77"/>
        <v>7.42</v>
      </c>
      <c r="AJ1658" t="s">
        <v>62</v>
      </c>
    </row>
    <row r="1659" spans="1:36" ht="15" customHeight="1" x14ac:dyDescent="0.35">
      <c r="A1659">
        <v>10428918</v>
      </c>
      <c r="B1659" t="s">
        <v>36</v>
      </c>
      <c r="C1659" t="s">
        <v>37</v>
      </c>
      <c r="D1659" s="6" t="s">
        <v>38</v>
      </c>
      <c r="E1659" t="s">
        <v>4908</v>
      </c>
      <c r="F1659" t="s">
        <v>40</v>
      </c>
      <c r="G1659" t="s">
        <v>41</v>
      </c>
      <c r="H1659" t="s">
        <v>4909</v>
      </c>
      <c r="I1659" t="s">
        <v>43</v>
      </c>
      <c r="J1659">
        <v>2</v>
      </c>
      <c r="K1659" t="s">
        <v>44</v>
      </c>
      <c r="L1659" t="s">
        <v>45</v>
      </c>
      <c r="M1659" t="s">
        <v>46</v>
      </c>
      <c r="N1659" s="7">
        <v>1</v>
      </c>
      <c r="O1659" s="8">
        <v>45638.806828703702</v>
      </c>
      <c r="P1659" s="9">
        <v>45640</v>
      </c>
      <c r="Q1659" t="s">
        <v>58</v>
      </c>
      <c r="R1659" t="s">
        <v>48</v>
      </c>
      <c r="S1659" t="s">
        <v>49</v>
      </c>
      <c r="T1659" t="s">
        <v>75</v>
      </c>
      <c r="U1659" t="s">
        <v>4910</v>
      </c>
      <c r="V1659">
        <v>26400</v>
      </c>
      <c r="W1659" t="s">
        <v>48</v>
      </c>
      <c r="X1659" t="s">
        <v>61</v>
      </c>
      <c r="Y1659" t="s">
        <v>54</v>
      </c>
      <c r="Z1659" s="12">
        <f>IF(N1659&lt;=1,9,9+0.8*ROUNDUP(N1659-1,0))</f>
        <v>9</v>
      </c>
      <c r="AA1659" s="11">
        <v>-2</v>
      </c>
      <c r="AB1659" s="11">
        <v>0</v>
      </c>
      <c r="AC1659" s="11">
        <v>0</v>
      </c>
      <c r="AD1659" s="11">
        <v>0</v>
      </c>
      <c r="AE1659" s="11">
        <v>0</v>
      </c>
      <c r="AF1659" s="11">
        <f t="shared" si="75"/>
        <v>0.42</v>
      </c>
      <c r="AG1659" s="11">
        <f t="shared" si="76"/>
        <v>7.42</v>
      </c>
      <c r="AH1659" s="11">
        <v>0</v>
      </c>
      <c r="AI1659" s="11">
        <f t="shared" si="77"/>
        <v>7.42</v>
      </c>
      <c r="AJ1659" t="s">
        <v>62</v>
      </c>
    </row>
    <row r="1660" spans="1:36" ht="15" customHeight="1" x14ac:dyDescent="0.35">
      <c r="A1660">
        <v>10428918</v>
      </c>
      <c r="B1660" t="s">
        <v>36</v>
      </c>
      <c r="C1660" t="s">
        <v>37</v>
      </c>
      <c r="D1660" s="6" t="s">
        <v>38</v>
      </c>
      <c r="E1660" t="s">
        <v>4911</v>
      </c>
      <c r="F1660" t="s">
        <v>40</v>
      </c>
      <c r="G1660" t="s">
        <v>41</v>
      </c>
      <c r="H1660" t="s">
        <v>4912</v>
      </c>
      <c r="I1660" t="s">
        <v>43</v>
      </c>
      <c r="J1660">
        <v>2</v>
      </c>
      <c r="K1660" t="s">
        <v>44</v>
      </c>
      <c r="L1660" t="s">
        <v>45</v>
      </c>
      <c r="M1660" t="s">
        <v>46</v>
      </c>
      <c r="N1660" s="7">
        <v>1</v>
      </c>
      <c r="O1660" s="8">
        <v>45638.504386574074</v>
      </c>
      <c r="P1660" s="9">
        <v>45640</v>
      </c>
      <c r="Q1660" t="s">
        <v>47</v>
      </c>
      <c r="R1660" t="s">
        <v>48</v>
      </c>
      <c r="S1660" t="s">
        <v>49</v>
      </c>
      <c r="T1660" t="s">
        <v>75</v>
      </c>
      <c r="U1660" t="s">
        <v>4913</v>
      </c>
      <c r="V1660">
        <v>27150</v>
      </c>
      <c r="W1660" t="s">
        <v>48</v>
      </c>
      <c r="X1660" t="s">
        <v>2505</v>
      </c>
      <c r="Y1660" t="s">
        <v>54</v>
      </c>
      <c r="Z1660" s="12">
        <f>IF(N1660&lt;=1,9,9+0.8*ROUNDUP(N1660-1,0))</f>
        <v>9</v>
      </c>
      <c r="AA1660" s="11">
        <v>-2</v>
      </c>
      <c r="AB1660" s="11">
        <v>0</v>
      </c>
      <c r="AC1660" s="11">
        <v>0</v>
      </c>
      <c r="AD1660" s="11">
        <v>0</v>
      </c>
      <c r="AE1660" s="11">
        <v>0</v>
      </c>
      <c r="AF1660" s="11">
        <f t="shared" si="75"/>
        <v>0.42</v>
      </c>
      <c r="AG1660" s="11">
        <f t="shared" si="76"/>
        <v>7.42</v>
      </c>
      <c r="AH1660" s="11">
        <v>0</v>
      </c>
      <c r="AI1660" s="11">
        <f t="shared" si="77"/>
        <v>7.42</v>
      </c>
      <c r="AJ1660" t="s">
        <v>62</v>
      </c>
    </row>
    <row r="1661" spans="1:36" ht="15" customHeight="1" x14ac:dyDescent="0.35">
      <c r="A1661">
        <v>10428918</v>
      </c>
      <c r="B1661" t="s">
        <v>36</v>
      </c>
      <c r="C1661" t="s">
        <v>37</v>
      </c>
      <c r="D1661" s="6" t="s">
        <v>38</v>
      </c>
      <c r="E1661" t="s">
        <v>4914</v>
      </c>
      <c r="F1661" t="s">
        <v>40</v>
      </c>
      <c r="G1661" t="s">
        <v>41</v>
      </c>
      <c r="H1661" t="s">
        <v>801</v>
      </c>
      <c r="I1661" t="s">
        <v>43</v>
      </c>
      <c r="J1661">
        <v>2</v>
      </c>
      <c r="K1661" t="s">
        <v>44</v>
      </c>
      <c r="L1661" t="s">
        <v>45</v>
      </c>
      <c r="M1661" t="s">
        <v>46</v>
      </c>
      <c r="N1661" s="7">
        <v>1</v>
      </c>
      <c r="O1661" s="8">
        <v>45638.511273148149</v>
      </c>
      <c r="P1661" s="9">
        <v>45640</v>
      </c>
      <c r="Q1661" t="s">
        <v>47</v>
      </c>
      <c r="R1661" t="s">
        <v>48</v>
      </c>
      <c r="S1661" t="s">
        <v>49</v>
      </c>
      <c r="T1661" t="s">
        <v>101</v>
      </c>
      <c r="U1661" t="s">
        <v>802</v>
      </c>
      <c r="V1661">
        <v>31900</v>
      </c>
      <c r="W1661" t="s">
        <v>48</v>
      </c>
      <c r="X1661" t="s">
        <v>110</v>
      </c>
      <c r="Y1661" t="s">
        <v>54</v>
      </c>
      <c r="Z1661" s="12">
        <f>IF(N1661&lt;=1,9,9+0.8*ROUNDUP(N1661-1,0))</f>
        <v>9</v>
      </c>
      <c r="AA1661" s="11">
        <v>-2</v>
      </c>
      <c r="AB1661" s="11">
        <v>0</v>
      </c>
      <c r="AC1661" s="11">
        <v>0</v>
      </c>
      <c r="AD1661" s="11">
        <v>0</v>
      </c>
      <c r="AE1661" s="11">
        <v>0</v>
      </c>
      <c r="AF1661" s="11">
        <f t="shared" si="75"/>
        <v>0.42</v>
      </c>
      <c r="AG1661" s="11">
        <f t="shared" si="76"/>
        <v>7.42</v>
      </c>
      <c r="AH1661" s="11">
        <v>0</v>
      </c>
      <c r="AI1661" s="11">
        <f t="shared" si="77"/>
        <v>7.42</v>
      </c>
      <c r="AJ1661" t="s">
        <v>62</v>
      </c>
    </row>
    <row r="1662" spans="1:36" ht="15" customHeight="1" x14ac:dyDescent="0.35">
      <c r="A1662">
        <v>10428918</v>
      </c>
      <c r="B1662" t="s">
        <v>36</v>
      </c>
      <c r="C1662" t="s">
        <v>37</v>
      </c>
      <c r="D1662" s="6" t="s">
        <v>38</v>
      </c>
      <c r="E1662" t="s">
        <v>4915</v>
      </c>
      <c r="F1662" t="s">
        <v>40</v>
      </c>
      <c r="G1662" t="s">
        <v>41</v>
      </c>
      <c r="H1662" t="s">
        <v>4916</v>
      </c>
      <c r="I1662" t="s">
        <v>43</v>
      </c>
      <c r="J1662">
        <v>2</v>
      </c>
      <c r="K1662" t="s">
        <v>44</v>
      </c>
      <c r="L1662" t="s">
        <v>45</v>
      </c>
      <c r="M1662" t="s">
        <v>46</v>
      </c>
      <c r="N1662" s="7">
        <v>2</v>
      </c>
      <c r="O1662" s="8">
        <v>45638.523032407407</v>
      </c>
      <c r="P1662" s="9">
        <v>45640</v>
      </c>
      <c r="Q1662" t="s">
        <v>74</v>
      </c>
      <c r="R1662" t="s">
        <v>48</v>
      </c>
      <c r="S1662" t="s">
        <v>49</v>
      </c>
      <c r="T1662" t="s">
        <v>69</v>
      </c>
      <c r="U1662" t="s">
        <v>4917</v>
      </c>
      <c r="V1662">
        <v>86000</v>
      </c>
      <c r="W1662" t="s">
        <v>48</v>
      </c>
      <c r="X1662" t="s">
        <v>613</v>
      </c>
      <c r="Y1662" t="s">
        <v>54</v>
      </c>
      <c r="Z1662" s="12">
        <f>IF(N1662&lt;=1,9,9+0.8*ROUNDUP(N1662-1,0))</f>
        <v>9.8000000000000007</v>
      </c>
      <c r="AA1662" s="11">
        <v>-2</v>
      </c>
      <c r="AB1662" s="11">
        <v>0</v>
      </c>
      <c r="AC1662" s="11">
        <v>0</v>
      </c>
      <c r="AD1662" s="11">
        <v>0</v>
      </c>
      <c r="AE1662" s="11">
        <v>0</v>
      </c>
      <c r="AF1662" s="11">
        <f t="shared" si="75"/>
        <v>0.46800000000000003</v>
      </c>
      <c r="AG1662" s="11">
        <f t="shared" si="76"/>
        <v>8.2680000000000007</v>
      </c>
      <c r="AH1662" s="11">
        <v>0</v>
      </c>
      <c r="AI1662" s="11">
        <f t="shared" si="77"/>
        <v>8.2680000000000007</v>
      </c>
      <c r="AJ1662" t="s">
        <v>62</v>
      </c>
    </row>
    <row r="1663" spans="1:36" ht="15" customHeight="1" x14ac:dyDescent="0.35">
      <c r="A1663">
        <v>10428918</v>
      </c>
      <c r="B1663" t="s">
        <v>36</v>
      </c>
      <c r="C1663" t="s">
        <v>37</v>
      </c>
      <c r="D1663" s="6" t="s">
        <v>38</v>
      </c>
      <c r="E1663" t="s">
        <v>4918</v>
      </c>
      <c r="F1663" t="s">
        <v>40</v>
      </c>
      <c r="G1663" t="s">
        <v>41</v>
      </c>
      <c r="H1663" t="s">
        <v>2319</v>
      </c>
      <c r="I1663" t="s">
        <v>43</v>
      </c>
      <c r="J1663">
        <v>2</v>
      </c>
      <c r="K1663" t="s">
        <v>44</v>
      </c>
      <c r="L1663" t="s">
        <v>45</v>
      </c>
      <c r="M1663" t="s">
        <v>46</v>
      </c>
      <c r="N1663" s="7">
        <v>1</v>
      </c>
      <c r="O1663" s="8">
        <v>45638.788854166669</v>
      </c>
      <c r="P1663" s="9">
        <v>45640</v>
      </c>
      <c r="Q1663" t="s">
        <v>58</v>
      </c>
      <c r="R1663" t="s">
        <v>48</v>
      </c>
      <c r="S1663" t="s">
        <v>49</v>
      </c>
      <c r="T1663" t="s">
        <v>117</v>
      </c>
      <c r="U1663" t="s">
        <v>4919</v>
      </c>
      <c r="V1663">
        <v>42100</v>
      </c>
      <c r="W1663" t="s">
        <v>48</v>
      </c>
      <c r="X1663" t="s">
        <v>623</v>
      </c>
      <c r="Y1663" t="s">
        <v>54</v>
      </c>
      <c r="Z1663" s="12">
        <f>IF(N1663&lt;=1,9,9+0.8*ROUNDUP(N1663-1,0))</f>
        <v>9</v>
      </c>
      <c r="AA1663" s="11">
        <v>-2</v>
      </c>
      <c r="AB1663" s="11">
        <v>0</v>
      </c>
      <c r="AC1663" s="11">
        <v>0</v>
      </c>
      <c r="AD1663" s="11">
        <v>0</v>
      </c>
      <c r="AE1663" s="11">
        <v>0</v>
      </c>
      <c r="AF1663" s="11">
        <f t="shared" si="75"/>
        <v>0.42</v>
      </c>
      <c r="AG1663" s="11">
        <f t="shared" si="76"/>
        <v>7.42</v>
      </c>
      <c r="AH1663" s="11">
        <v>0</v>
      </c>
      <c r="AI1663" s="11">
        <f t="shared" si="77"/>
        <v>7.42</v>
      </c>
      <c r="AJ1663" t="s">
        <v>62</v>
      </c>
    </row>
    <row r="1664" spans="1:36" ht="15" customHeight="1" x14ac:dyDescent="0.35">
      <c r="A1664">
        <v>10428918</v>
      </c>
      <c r="B1664" t="s">
        <v>36</v>
      </c>
      <c r="C1664" t="s">
        <v>37</v>
      </c>
      <c r="D1664" s="6" t="s">
        <v>38</v>
      </c>
      <c r="E1664" t="s">
        <v>4920</v>
      </c>
      <c r="F1664" t="s">
        <v>40</v>
      </c>
      <c r="G1664" t="s">
        <v>41</v>
      </c>
      <c r="H1664" t="s">
        <v>849</v>
      </c>
      <c r="I1664" t="s">
        <v>43</v>
      </c>
      <c r="J1664">
        <v>2</v>
      </c>
      <c r="K1664" t="s">
        <v>44</v>
      </c>
      <c r="L1664" t="s">
        <v>45</v>
      </c>
      <c r="M1664" t="s">
        <v>46</v>
      </c>
      <c r="N1664" s="7">
        <v>2</v>
      </c>
      <c r="O1664" s="8">
        <v>45637.819074074076</v>
      </c>
      <c r="P1664" s="9">
        <v>45640</v>
      </c>
      <c r="Q1664" t="s">
        <v>74</v>
      </c>
      <c r="R1664" t="s">
        <v>48</v>
      </c>
      <c r="S1664" t="s">
        <v>49</v>
      </c>
      <c r="T1664" t="s">
        <v>75</v>
      </c>
      <c r="U1664" t="s">
        <v>2118</v>
      </c>
      <c r="V1664">
        <v>39100</v>
      </c>
      <c r="W1664" t="s">
        <v>48</v>
      </c>
      <c r="X1664" t="s">
        <v>77</v>
      </c>
      <c r="Y1664" t="s">
        <v>54</v>
      </c>
      <c r="Z1664" s="12">
        <f>IF(N1664&lt;=1,9,9+0.8*ROUNDUP(N1664-1,0))</f>
        <v>9.8000000000000007</v>
      </c>
      <c r="AA1664" s="11">
        <v>-2</v>
      </c>
      <c r="AB1664" s="11">
        <v>0</v>
      </c>
      <c r="AC1664" s="11">
        <v>0</v>
      </c>
      <c r="AD1664" s="11">
        <v>0</v>
      </c>
      <c r="AE1664" s="11">
        <v>0</v>
      </c>
      <c r="AF1664" s="11">
        <f t="shared" si="75"/>
        <v>0.46800000000000003</v>
      </c>
      <c r="AG1664" s="11">
        <f t="shared" si="76"/>
        <v>8.2680000000000007</v>
      </c>
      <c r="AH1664" s="11">
        <v>0</v>
      </c>
      <c r="AI1664" s="11">
        <f t="shared" si="77"/>
        <v>8.2680000000000007</v>
      </c>
      <c r="AJ1664" t="s">
        <v>62</v>
      </c>
    </row>
    <row r="1665" spans="1:36" ht="15" customHeight="1" x14ac:dyDescent="0.35">
      <c r="A1665">
        <v>10428918</v>
      </c>
      <c r="B1665" t="s">
        <v>36</v>
      </c>
      <c r="C1665" t="s">
        <v>37</v>
      </c>
      <c r="D1665" s="6" t="s">
        <v>38</v>
      </c>
      <c r="E1665" t="s">
        <v>4921</v>
      </c>
      <c r="F1665" t="s">
        <v>40</v>
      </c>
      <c r="G1665" t="s">
        <v>41</v>
      </c>
      <c r="H1665" t="s">
        <v>4922</v>
      </c>
      <c r="I1665" t="s">
        <v>43</v>
      </c>
      <c r="J1665">
        <v>2</v>
      </c>
      <c r="K1665" t="s">
        <v>44</v>
      </c>
      <c r="L1665" t="s">
        <v>45</v>
      </c>
      <c r="M1665" t="s">
        <v>46</v>
      </c>
      <c r="N1665" s="7">
        <v>1</v>
      </c>
      <c r="O1665" s="8">
        <v>45637.795590277776</v>
      </c>
      <c r="P1665" s="9">
        <v>45640</v>
      </c>
      <c r="Q1665" t="s">
        <v>47</v>
      </c>
      <c r="R1665" t="s">
        <v>48</v>
      </c>
      <c r="S1665" t="s">
        <v>49</v>
      </c>
      <c r="T1665" t="s">
        <v>161</v>
      </c>
      <c r="U1665" t="s">
        <v>4923</v>
      </c>
      <c r="V1665">
        <v>13500</v>
      </c>
      <c r="W1665" t="s">
        <v>48</v>
      </c>
      <c r="X1665" t="s">
        <v>53</v>
      </c>
      <c r="Y1665" t="s">
        <v>54</v>
      </c>
      <c r="Z1665" s="12">
        <f>IF(N1665&lt;=1,9,9+0.8*ROUNDUP(N1665-1,0))</f>
        <v>9</v>
      </c>
      <c r="AA1665" s="11">
        <v>-2</v>
      </c>
      <c r="AB1665" s="11">
        <v>0</v>
      </c>
      <c r="AC1665" s="11">
        <v>0</v>
      </c>
      <c r="AD1665" s="11">
        <v>0</v>
      </c>
      <c r="AE1665" s="11">
        <v>0</v>
      </c>
      <c r="AF1665" s="11">
        <f t="shared" si="75"/>
        <v>0.42</v>
      </c>
      <c r="AG1665" s="11">
        <f t="shared" si="76"/>
        <v>7.42</v>
      </c>
      <c r="AH1665" s="11">
        <v>0</v>
      </c>
      <c r="AI1665" s="11">
        <f t="shared" si="77"/>
        <v>7.42</v>
      </c>
      <c r="AJ1665" t="s">
        <v>62</v>
      </c>
    </row>
    <row r="1666" spans="1:36" ht="15" customHeight="1" x14ac:dyDescent="0.35">
      <c r="A1666">
        <v>10428918</v>
      </c>
      <c r="B1666" t="s">
        <v>36</v>
      </c>
      <c r="C1666" t="s">
        <v>37</v>
      </c>
      <c r="D1666" s="6" t="s">
        <v>38</v>
      </c>
      <c r="E1666" t="s">
        <v>4924</v>
      </c>
      <c r="F1666" t="s">
        <v>40</v>
      </c>
      <c r="G1666" t="s">
        <v>41</v>
      </c>
      <c r="H1666" t="s">
        <v>766</v>
      </c>
      <c r="I1666" t="s">
        <v>43</v>
      </c>
      <c r="J1666">
        <v>2</v>
      </c>
      <c r="K1666" t="s">
        <v>44</v>
      </c>
      <c r="L1666" t="s">
        <v>45</v>
      </c>
      <c r="M1666" t="s">
        <v>46</v>
      </c>
      <c r="N1666" s="7">
        <v>1</v>
      </c>
      <c r="O1666" s="8">
        <v>45638.511273148149</v>
      </c>
      <c r="P1666" s="9">
        <v>45640</v>
      </c>
      <c r="Q1666" t="s">
        <v>47</v>
      </c>
      <c r="R1666" t="s">
        <v>48</v>
      </c>
      <c r="S1666" t="s">
        <v>49</v>
      </c>
      <c r="T1666" t="s">
        <v>65</v>
      </c>
      <c r="U1666" t="s">
        <v>1284</v>
      </c>
      <c r="V1666">
        <v>75260</v>
      </c>
      <c r="W1666" t="s">
        <v>48</v>
      </c>
      <c r="X1666" t="s">
        <v>2406</v>
      </c>
      <c r="Y1666" t="s">
        <v>54</v>
      </c>
      <c r="Z1666" s="12">
        <f>IF(N1666&lt;=1,9,9+0.8*ROUNDUP(N1666-1,0))</f>
        <v>9</v>
      </c>
      <c r="AA1666" s="11">
        <v>-2</v>
      </c>
      <c r="AB1666" s="11">
        <v>0</v>
      </c>
      <c r="AC1666" s="11">
        <v>0</v>
      </c>
      <c r="AD1666" s="11">
        <v>0</v>
      </c>
      <c r="AE1666" s="11">
        <v>0</v>
      </c>
      <c r="AF1666" s="11">
        <f t="shared" ref="AF1666:AF1729" si="78">(Z1666+AA1666+AC1666+AE1666)*6%</f>
        <v>0.42</v>
      </c>
      <c r="AG1666" s="11">
        <f t="shared" ref="AG1666:AG1729" si="79">Z1666+AA1666+AC1666+AE1666+AF1666</f>
        <v>7.42</v>
      </c>
      <c r="AH1666" s="11">
        <v>0</v>
      </c>
      <c r="AI1666" s="11">
        <f t="shared" ref="AI1666:AI1729" si="80">AG1666+AH1666</f>
        <v>7.42</v>
      </c>
      <c r="AJ1666" t="s">
        <v>62</v>
      </c>
    </row>
    <row r="1667" spans="1:36" ht="15" customHeight="1" x14ac:dyDescent="0.35">
      <c r="A1667">
        <v>10428918</v>
      </c>
      <c r="B1667" t="s">
        <v>36</v>
      </c>
      <c r="C1667" t="s">
        <v>37</v>
      </c>
      <c r="D1667" s="6" t="s">
        <v>38</v>
      </c>
      <c r="E1667" t="s">
        <v>4925</v>
      </c>
      <c r="F1667" t="s">
        <v>40</v>
      </c>
      <c r="G1667" t="s">
        <v>41</v>
      </c>
      <c r="H1667" t="s">
        <v>4926</v>
      </c>
      <c r="I1667" t="s">
        <v>43</v>
      </c>
      <c r="J1667">
        <v>2</v>
      </c>
      <c r="K1667" t="s">
        <v>44</v>
      </c>
      <c r="L1667" t="s">
        <v>45</v>
      </c>
      <c r="M1667" t="s">
        <v>46</v>
      </c>
      <c r="N1667" s="7">
        <v>1</v>
      </c>
      <c r="O1667" s="8">
        <v>45637.830682870372</v>
      </c>
      <c r="P1667" s="9">
        <v>45640</v>
      </c>
      <c r="Q1667" t="s">
        <v>47</v>
      </c>
      <c r="R1667" t="s">
        <v>48</v>
      </c>
      <c r="S1667" t="s">
        <v>49</v>
      </c>
      <c r="T1667" t="s">
        <v>80</v>
      </c>
      <c r="U1667" t="s">
        <v>4927</v>
      </c>
      <c r="V1667">
        <v>8300</v>
      </c>
      <c r="W1667" t="s">
        <v>48</v>
      </c>
      <c r="X1667" t="s">
        <v>53</v>
      </c>
      <c r="Y1667" t="s">
        <v>54</v>
      </c>
      <c r="Z1667" s="12">
        <f>IF(N1667&lt;=1,9,9+0.8*ROUNDUP(N1667-1,0))</f>
        <v>9</v>
      </c>
      <c r="AA1667" s="11">
        <v>-2</v>
      </c>
      <c r="AB1667" s="11">
        <v>0</v>
      </c>
      <c r="AC1667" s="11">
        <v>0</v>
      </c>
      <c r="AD1667" s="11">
        <v>0</v>
      </c>
      <c r="AE1667" s="11">
        <v>0</v>
      </c>
      <c r="AF1667" s="11">
        <f t="shared" si="78"/>
        <v>0.42</v>
      </c>
      <c r="AG1667" s="11">
        <f t="shared" si="79"/>
        <v>7.42</v>
      </c>
      <c r="AH1667" s="11">
        <v>0</v>
      </c>
      <c r="AI1667" s="11">
        <f t="shared" si="80"/>
        <v>7.42</v>
      </c>
      <c r="AJ1667" t="s">
        <v>62</v>
      </c>
    </row>
    <row r="1668" spans="1:36" ht="15" customHeight="1" x14ac:dyDescent="0.35">
      <c r="A1668">
        <v>10428918</v>
      </c>
      <c r="B1668" t="s">
        <v>36</v>
      </c>
      <c r="C1668" t="s">
        <v>37</v>
      </c>
      <c r="D1668" s="6" t="s">
        <v>38</v>
      </c>
      <c r="E1668" t="s">
        <v>4928</v>
      </c>
      <c r="F1668" t="s">
        <v>40</v>
      </c>
      <c r="G1668" t="s">
        <v>41</v>
      </c>
      <c r="H1668" t="s">
        <v>4929</v>
      </c>
      <c r="I1668" t="s">
        <v>43</v>
      </c>
      <c r="J1668">
        <v>2</v>
      </c>
      <c r="K1668" t="s">
        <v>44</v>
      </c>
      <c r="L1668" t="s">
        <v>45</v>
      </c>
      <c r="M1668" t="s">
        <v>46</v>
      </c>
      <c r="N1668" s="7">
        <v>1</v>
      </c>
      <c r="O1668" s="8">
        <v>45638.788854166669</v>
      </c>
      <c r="P1668" s="9">
        <v>45640</v>
      </c>
      <c r="Q1668" t="s">
        <v>58</v>
      </c>
      <c r="R1668" t="s">
        <v>48</v>
      </c>
      <c r="S1668" t="s">
        <v>49</v>
      </c>
      <c r="T1668" t="s">
        <v>117</v>
      </c>
      <c r="U1668" t="s">
        <v>4930</v>
      </c>
      <c r="V1668">
        <v>52100</v>
      </c>
      <c r="W1668" t="s">
        <v>48</v>
      </c>
      <c r="X1668" t="s">
        <v>490</v>
      </c>
      <c r="Y1668" t="s">
        <v>54</v>
      </c>
      <c r="Z1668" s="12">
        <f>IF(N1668&lt;=1,9,9+0.8*ROUNDUP(N1668-1,0))</f>
        <v>9</v>
      </c>
      <c r="AA1668" s="11">
        <v>-2</v>
      </c>
      <c r="AB1668" s="11">
        <v>0</v>
      </c>
      <c r="AC1668" s="11">
        <v>0</v>
      </c>
      <c r="AD1668" s="11">
        <v>0</v>
      </c>
      <c r="AE1668" s="11">
        <v>0</v>
      </c>
      <c r="AF1668" s="11">
        <f t="shared" si="78"/>
        <v>0.42</v>
      </c>
      <c r="AG1668" s="11">
        <f t="shared" si="79"/>
        <v>7.42</v>
      </c>
      <c r="AH1668" s="11">
        <v>0</v>
      </c>
      <c r="AI1668" s="11">
        <f t="shared" si="80"/>
        <v>7.42</v>
      </c>
      <c r="AJ1668" t="s">
        <v>62</v>
      </c>
    </row>
    <row r="1669" spans="1:36" ht="15" customHeight="1" x14ac:dyDescent="0.35">
      <c r="A1669">
        <v>10428918</v>
      </c>
      <c r="B1669" t="s">
        <v>36</v>
      </c>
      <c r="C1669" t="s">
        <v>37</v>
      </c>
      <c r="D1669" s="6" t="s">
        <v>38</v>
      </c>
      <c r="E1669" t="s">
        <v>4931</v>
      </c>
      <c r="F1669" t="s">
        <v>40</v>
      </c>
      <c r="G1669" t="s">
        <v>41</v>
      </c>
      <c r="H1669" t="s">
        <v>4550</v>
      </c>
      <c r="I1669" t="s">
        <v>43</v>
      </c>
      <c r="J1669">
        <v>2</v>
      </c>
      <c r="K1669" t="s">
        <v>44</v>
      </c>
      <c r="L1669" t="s">
        <v>45</v>
      </c>
      <c r="M1669" t="s">
        <v>46</v>
      </c>
      <c r="N1669" s="7">
        <v>1</v>
      </c>
      <c r="O1669" s="8">
        <v>45637.668344907404</v>
      </c>
      <c r="P1669" s="9">
        <v>45640</v>
      </c>
      <c r="Q1669" t="s">
        <v>74</v>
      </c>
      <c r="R1669" t="s">
        <v>48</v>
      </c>
      <c r="S1669" t="s">
        <v>49</v>
      </c>
      <c r="T1669" t="s">
        <v>117</v>
      </c>
      <c r="U1669" t="s">
        <v>4551</v>
      </c>
      <c r="V1669">
        <v>40460</v>
      </c>
      <c r="W1669" t="s">
        <v>48</v>
      </c>
      <c r="X1669" t="s">
        <v>53</v>
      </c>
      <c r="Y1669" t="s">
        <v>54</v>
      </c>
      <c r="Z1669" s="12">
        <f>IF(N1669&lt;=1,9,9+0.8*ROUNDUP(N1669-1,0))</f>
        <v>9</v>
      </c>
      <c r="AA1669" s="11">
        <v>-2</v>
      </c>
      <c r="AB1669" s="11">
        <v>0</v>
      </c>
      <c r="AC1669" s="11">
        <v>0</v>
      </c>
      <c r="AD1669" s="11">
        <v>0</v>
      </c>
      <c r="AE1669" s="11">
        <v>0</v>
      </c>
      <c r="AF1669" s="11">
        <f t="shared" si="78"/>
        <v>0.42</v>
      </c>
      <c r="AG1669" s="11">
        <f t="shared" si="79"/>
        <v>7.42</v>
      </c>
      <c r="AH1669" s="11">
        <v>0</v>
      </c>
      <c r="AI1669" s="11">
        <f t="shared" si="80"/>
        <v>7.42</v>
      </c>
      <c r="AJ1669" t="s">
        <v>62</v>
      </c>
    </row>
    <row r="1670" spans="1:36" ht="15" customHeight="1" x14ac:dyDescent="0.35">
      <c r="A1670">
        <v>10428918</v>
      </c>
      <c r="B1670" t="s">
        <v>36</v>
      </c>
      <c r="C1670" t="s">
        <v>37</v>
      </c>
      <c r="D1670" s="6" t="s">
        <v>38</v>
      </c>
      <c r="E1670" t="s">
        <v>4932</v>
      </c>
      <c r="F1670" t="s">
        <v>40</v>
      </c>
      <c r="G1670" t="s">
        <v>41</v>
      </c>
      <c r="H1670" t="s">
        <v>4933</v>
      </c>
      <c r="I1670" t="s">
        <v>43</v>
      </c>
      <c r="J1670">
        <v>2</v>
      </c>
      <c r="K1670" t="s">
        <v>44</v>
      </c>
      <c r="L1670" t="s">
        <v>45</v>
      </c>
      <c r="M1670" t="s">
        <v>46</v>
      </c>
      <c r="N1670" s="7">
        <v>1</v>
      </c>
      <c r="O1670" s="8">
        <v>45637.405555555553</v>
      </c>
      <c r="P1670" s="9">
        <v>45640</v>
      </c>
      <c r="Q1670" t="s">
        <v>74</v>
      </c>
      <c r="R1670" t="s">
        <v>48</v>
      </c>
      <c r="S1670" t="s">
        <v>49</v>
      </c>
      <c r="T1670" t="s">
        <v>80</v>
      </c>
      <c r="U1670" t="s">
        <v>4934</v>
      </c>
      <c r="V1670">
        <v>5150</v>
      </c>
      <c r="W1670" t="s">
        <v>48</v>
      </c>
      <c r="X1670" t="s">
        <v>137</v>
      </c>
      <c r="Y1670" t="s">
        <v>54</v>
      </c>
      <c r="Z1670" s="12">
        <f>IF(N1670&lt;=1,9,9+0.8*ROUNDUP(N1670-1,0))</f>
        <v>9</v>
      </c>
      <c r="AA1670" s="11">
        <v>-2</v>
      </c>
      <c r="AB1670" s="11">
        <v>0</v>
      </c>
      <c r="AC1670" s="11">
        <v>0</v>
      </c>
      <c r="AD1670" s="11">
        <v>0</v>
      </c>
      <c r="AE1670" s="11">
        <v>0</v>
      </c>
      <c r="AF1670" s="11">
        <f t="shared" si="78"/>
        <v>0.42</v>
      </c>
      <c r="AG1670" s="11">
        <f t="shared" si="79"/>
        <v>7.42</v>
      </c>
      <c r="AH1670" s="11">
        <v>0</v>
      </c>
      <c r="AI1670" s="11">
        <f t="shared" si="80"/>
        <v>7.42</v>
      </c>
      <c r="AJ1670" t="s">
        <v>62</v>
      </c>
    </row>
    <row r="1671" spans="1:36" ht="15" customHeight="1" x14ac:dyDescent="0.35">
      <c r="A1671">
        <v>10428918</v>
      </c>
      <c r="B1671" t="s">
        <v>36</v>
      </c>
      <c r="C1671" t="s">
        <v>37</v>
      </c>
      <c r="D1671" s="6" t="s">
        <v>38</v>
      </c>
      <c r="E1671" t="s">
        <v>4935</v>
      </c>
      <c r="F1671" t="s">
        <v>40</v>
      </c>
      <c r="G1671" t="s">
        <v>41</v>
      </c>
      <c r="H1671" t="s">
        <v>4936</v>
      </c>
      <c r="I1671" t="s">
        <v>43</v>
      </c>
      <c r="J1671">
        <v>2</v>
      </c>
      <c r="K1671" t="s">
        <v>44</v>
      </c>
      <c r="L1671" t="s">
        <v>45</v>
      </c>
      <c r="M1671" t="s">
        <v>46</v>
      </c>
      <c r="N1671" s="7">
        <v>1</v>
      </c>
      <c r="O1671" s="8">
        <v>45637.830682870372</v>
      </c>
      <c r="P1671" s="9">
        <v>45640</v>
      </c>
      <c r="Q1671" t="s">
        <v>47</v>
      </c>
      <c r="R1671" t="s">
        <v>48</v>
      </c>
      <c r="S1671" t="s">
        <v>49</v>
      </c>
      <c r="T1671" t="s">
        <v>101</v>
      </c>
      <c r="U1671" t="s">
        <v>4937</v>
      </c>
      <c r="V1671">
        <v>33400</v>
      </c>
      <c r="W1671" t="s">
        <v>48</v>
      </c>
      <c r="X1671" t="s">
        <v>465</v>
      </c>
      <c r="Y1671" t="s">
        <v>54</v>
      </c>
      <c r="Z1671" s="12">
        <f>IF(N1671&lt;=1,9,9+0.8*ROUNDUP(N1671-1,0))</f>
        <v>9</v>
      </c>
      <c r="AA1671" s="11">
        <v>-2</v>
      </c>
      <c r="AB1671" s="11">
        <v>0</v>
      </c>
      <c r="AC1671" s="11">
        <v>0</v>
      </c>
      <c r="AD1671" s="11">
        <v>0</v>
      </c>
      <c r="AE1671" s="11">
        <v>0</v>
      </c>
      <c r="AF1671" s="11">
        <f t="shared" si="78"/>
        <v>0.42</v>
      </c>
      <c r="AG1671" s="11">
        <f t="shared" si="79"/>
        <v>7.42</v>
      </c>
      <c r="AH1671" s="11">
        <v>0</v>
      </c>
      <c r="AI1671" s="11">
        <f t="shared" si="80"/>
        <v>7.42</v>
      </c>
      <c r="AJ1671" t="s">
        <v>62</v>
      </c>
    </row>
    <row r="1672" spans="1:36" ht="15" customHeight="1" x14ac:dyDescent="0.35">
      <c r="A1672">
        <v>10428918</v>
      </c>
      <c r="B1672" t="s">
        <v>36</v>
      </c>
      <c r="C1672" t="s">
        <v>37</v>
      </c>
      <c r="D1672" s="6" t="s">
        <v>38</v>
      </c>
      <c r="E1672" t="s">
        <v>4938</v>
      </c>
      <c r="F1672" t="s">
        <v>40</v>
      </c>
      <c r="G1672" t="s">
        <v>41</v>
      </c>
      <c r="H1672" t="s">
        <v>4939</v>
      </c>
      <c r="I1672" t="s">
        <v>43</v>
      </c>
      <c r="J1672">
        <v>2</v>
      </c>
      <c r="K1672" t="s">
        <v>44</v>
      </c>
      <c r="L1672" t="s">
        <v>45</v>
      </c>
      <c r="M1672" t="s">
        <v>46</v>
      </c>
      <c r="N1672" s="7">
        <v>1</v>
      </c>
      <c r="O1672" s="8">
        <v>45638.40415509259</v>
      </c>
      <c r="P1672" s="9">
        <v>45640</v>
      </c>
      <c r="Q1672" t="s">
        <v>47</v>
      </c>
      <c r="R1672" t="s">
        <v>48</v>
      </c>
      <c r="S1672" t="s">
        <v>49</v>
      </c>
      <c r="T1672" t="s">
        <v>80</v>
      </c>
      <c r="U1672" t="s">
        <v>4940</v>
      </c>
      <c r="V1672">
        <v>8000</v>
      </c>
      <c r="W1672" t="s">
        <v>48</v>
      </c>
      <c r="X1672" t="s">
        <v>145</v>
      </c>
      <c r="Y1672" t="s">
        <v>54</v>
      </c>
      <c r="Z1672" s="12">
        <f>IF(N1672&lt;=1,9,9+0.8*ROUNDUP(N1672-1,0))</f>
        <v>9</v>
      </c>
      <c r="AA1672" s="11">
        <v>-2</v>
      </c>
      <c r="AB1672" s="11">
        <v>0</v>
      </c>
      <c r="AC1672" s="11">
        <v>0</v>
      </c>
      <c r="AD1672" s="11">
        <v>0</v>
      </c>
      <c r="AE1672" s="11">
        <v>0</v>
      </c>
      <c r="AF1672" s="11">
        <f t="shared" si="78"/>
        <v>0.42</v>
      </c>
      <c r="AG1672" s="11">
        <f t="shared" si="79"/>
        <v>7.42</v>
      </c>
      <c r="AH1672" s="11">
        <v>0</v>
      </c>
      <c r="AI1672" s="11">
        <f t="shared" si="80"/>
        <v>7.42</v>
      </c>
      <c r="AJ1672" t="s">
        <v>62</v>
      </c>
    </row>
    <row r="1673" spans="1:36" ht="15" customHeight="1" x14ac:dyDescent="0.35">
      <c r="A1673">
        <v>10428918</v>
      </c>
      <c r="B1673" t="s">
        <v>36</v>
      </c>
      <c r="C1673" t="s">
        <v>37</v>
      </c>
      <c r="D1673" s="6" t="s">
        <v>38</v>
      </c>
      <c r="E1673" t="s">
        <v>4941</v>
      </c>
      <c r="F1673" t="s">
        <v>40</v>
      </c>
      <c r="G1673" t="s">
        <v>41</v>
      </c>
      <c r="H1673" t="s">
        <v>3472</v>
      </c>
      <c r="I1673" t="s">
        <v>43</v>
      </c>
      <c r="J1673">
        <v>2</v>
      </c>
      <c r="K1673" t="s">
        <v>44</v>
      </c>
      <c r="L1673" t="s">
        <v>45</v>
      </c>
      <c r="M1673" t="s">
        <v>46</v>
      </c>
      <c r="N1673" s="7">
        <v>1</v>
      </c>
      <c r="O1673" s="8">
        <v>45638.806828703702</v>
      </c>
      <c r="P1673" s="9">
        <v>45640</v>
      </c>
      <c r="Q1673" t="s">
        <v>58</v>
      </c>
      <c r="R1673" t="s">
        <v>48</v>
      </c>
      <c r="S1673" t="s">
        <v>49</v>
      </c>
      <c r="T1673" t="s">
        <v>85</v>
      </c>
      <c r="U1673" t="s">
        <v>4942</v>
      </c>
      <c r="V1673">
        <v>71800</v>
      </c>
      <c r="W1673" t="s">
        <v>48</v>
      </c>
      <c r="X1673" t="s">
        <v>266</v>
      </c>
      <c r="Y1673" t="s">
        <v>54</v>
      </c>
      <c r="Z1673" s="12">
        <f>IF(N1673&lt;=1,9,9+0.8*ROUNDUP(N1673-1,0))</f>
        <v>9</v>
      </c>
      <c r="AA1673" s="11">
        <v>-2</v>
      </c>
      <c r="AB1673" s="11">
        <v>0</v>
      </c>
      <c r="AC1673" s="11">
        <v>0</v>
      </c>
      <c r="AD1673" s="11">
        <v>0</v>
      </c>
      <c r="AE1673" s="11">
        <v>0</v>
      </c>
      <c r="AF1673" s="11">
        <f t="shared" si="78"/>
        <v>0.42</v>
      </c>
      <c r="AG1673" s="11">
        <f t="shared" si="79"/>
        <v>7.42</v>
      </c>
      <c r="AH1673" s="11">
        <v>0</v>
      </c>
      <c r="AI1673" s="11">
        <f t="shared" si="80"/>
        <v>7.42</v>
      </c>
      <c r="AJ1673" t="s">
        <v>62</v>
      </c>
    </row>
    <row r="1674" spans="1:36" ht="15" customHeight="1" x14ac:dyDescent="0.35">
      <c r="A1674">
        <v>10428918</v>
      </c>
      <c r="B1674" t="s">
        <v>36</v>
      </c>
      <c r="C1674" t="s">
        <v>37</v>
      </c>
      <c r="D1674" s="6" t="s">
        <v>38</v>
      </c>
      <c r="E1674" t="s">
        <v>4943</v>
      </c>
      <c r="F1674" t="s">
        <v>40</v>
      </c>
      <c r="G1674" t="s">
        <v>41</v>
      </c>
      <c r="H1674" t="s">
        <v>4944</v>
      </c>
      <c r="I1674" t="s">
        <v>43</v>
      </c>
      <c r="J1674">
        <v>2</v>
      </c>
      <c r="K1674" t="s">
        <v>44</v>
      </c>
      <c r="L1674" t="s">
        <v>45</v>
      </c>
      <c r="M1674" t="s">
        <v>46</v>
      </c>
      <c r="N1674" s="7">
        <v>1</v>
      </c>
      <c r="O1674" s="8">
        <v>45636.43440972222</v>
      </c>
      <c r="P1674" s="9">
        <v>45640</v>
      </c>
      <c r="Q1674" t="s">
        <v>74</v>
      </c>
      <c r="R1674" t="s">
        <v>48</v>
      </c>
      <c r="S1674" t="s">
        <v>49</v>
      </c>
      <c r="T1674" t="s">
        <v>80</v>
      </c>
      <c r="U1674" t="s">
        <v>4945</v>
      </c>
      <c r="V1674">
        <v>6500</v>
      </c>
      <c r="W1674" t="s">
        <v>48</v>
      </c>
      <c r="X1674" t="s">
        <v>137</v>
      </c>
      <c r="Y1674" t="s">
        <v>54</v>
      </c>
      <c r="Z1674" s="12">
        <f>IF(N1674&lt;=1,9,9+0.8*ROUNDUP(N1674-1,0))</f>
        <v>9</v>
      </c>
      <c r="AA1674" s="11">
        <v>-2</v>
      </c>
      <c r="AB1674" s="11">
        <v>0</v>
      </c>
      <c r="AC1674" s="11">
        <v>0</v>
      </c>
      <c r="AD1674" s="11">
        <v>0</v>
      </c>
      <c r="AE1674" s="11">
        <v>0</v>
      </c>
      <c r="AF1674" s="11">
        <f t="shared" si="78"/>
        <v>0.42</v>
      </c>
      <c r="AG1674" s="11">
        <f t="shared" si="79"/>
        <v>7.42</v>
      </c>
      <c r="AH1674" s="11">
        <v>0</v>
      </c>
      <c r="AI1674" s="11">
        <f t="shared" si="80"/>
        <v>7.42</v>
      </c>
      <c r="AJ1674" t="s">
        <v>62</v>
      </c>
    </row>
    <row r="1675" spans="1:36" ht="15" customHeight="1" x14ac:dyDescent="0.35">
      <c r="A1675">
        <v>10428918</v>
      </c>
      <c r="B1675" t="s">
        <v>36</v>
      </c>
      <c r="C1675" t="s">
        <v>37</v>
      </c>
      <c r="D1675" s="6" t="s">
        <v>38</v>
      </c>
      <c r="E1675" t="s">
        <v>4946</v>
      </c>
      <c r="F1675" t="s">
        <v>40</v>
      </c>
      <c r="G1675" t="s">
        <v>41</v>
      </c>
      <c r="H1675" t="s">
        <v>1247</v>
      </c>
      <c r="I1675" t="s">
        <v>43</v>
      </c>
      <c r="J1675">
        <v>2</v>
      </c>
      <c r="K1675" t="s">
        <v>44</v>
      </c>
      <c r="L1675" t="s">
        <v>45</v>
      </c>
      <c r="M1675" t="s">
        <v>46</v>
      </c>
      <c r="N1675" s="7">
        <v>1</v>
      </c>
      <c r="O1675" s="8">
        <v>45638.511273148149</v>
      </c>
      <c r="P1675" s="9">
        <v>45640</v>
      </c>
      <c r="Q1675" t="s">
        <v>47</v>
      </c>
      <c r="R1675" t="s">
        <v>48</v>
      </c>
      <c r="S1675" t="s">
        <v>49</v>
      </c>
      <c r="T1675" t="s">
        <v>80</v>
      </c>
      <c r="U1675" t="s">
        <v>4945</v>
      </c>
      <c r="V1675">
        <v>6500</v>
      </c>
      <c r="W1675" t="s">
        <v>48</v>
      </c>
      <c r="X1675" t="s">
        <v>53</v>
      </c>
      <c r="Y1675" t="s">
        <v>54</v>
      </c>
      <c r="Z1675" s="12">
        <f>IF(N1675&lt;=1,9,9+0.8*ROUNDUP(N1675-1,0))</f>
        <v>9</v>
      </c>
      <c r="AA1675" s="11">
        <v>-2</v>
      </c>
      <c r="AB1675" s="11">
        <v>0</v>
      </c>
      <c r="AC1675" s="11">
        <v>0</v>
      </c>
      <c r="AD1675" s="11">
        <v>0</v>
      </c>
      <c r="AE1675" s="11">
        <v>0</v>
      </c>
      <c r="AF1675" s="11">
        <f t="shared" si="78"/>
        <v>0.42</v>
      </c>
      <c r="AG1675" s="11">
        <f t="shared" si="79"/>
        <v>7.42</v>
      </c>
      <c r="AH1675" s="11">
        <v>0</v>
      </c>
      <c r="AI1675" s="11">
        <f t="shared" si="80"/>
        <v>7.42</v>
      </c>
      <c r="AJ1675" t="s">
        <v>62</v>
      </c>
    </row>
    <row r="1676" spans="1:36" ht="15" customHeight="1" x14ac:dyDescent="0.35">
      <c r="A1676">
        <v>10428918</v>
      </c>
      <c r="B1676" t="s">
        <v>36</v>
      </c>
      <c r="C1676" t="s">
        <v>37</v>
      </c>
      <c r="D1676" s="6" t="s">
        <v>38</v>
      </c>
      <c r="E1676" t="s">
        <v>4947</v>
      </c>
      <c r="F1676" t="s">
        <v>40</v>
      </c>
      <c r="G1676" t="s">
        <v>41</v>
      </c>
      <c r="H1676" t="s">
        <v>4948</v>
      </c>
      <c r="I1676" t="s">
        <v>43</v>
      </c>
      <c r="J1676">
        <v>2</v>
      </c>
      <c r="K1676" t="s">
        <v>44</v>
      </c>
      <c r="L1676" t="s">
        <v>45</v>
      </c>
      <c r="M1676" t="s">
        <v>46</v>
      </c>
      <c r="N1676" s="7">
        <v>1</v>
      </c>
      <c r="O1676" s="8">
        <v>45637.765763888892</v>
      </c>
      <c r="P1676" s="9">
        <v>45640</v>
      </c>
      <c r="Q1676" t="s">
        <v>74</v>
      </c>
      <c r="R1676" t="s">
        <v>48</v>
      </c>
      <c r="S1676" t="s">
        <v>49</v>
      </c>
      <c r="T1676" t="s">
        <v>59</v>
      </c>
      <c r="U1676" t="s">
        <v>4949</v>
      </c>
      <c r="V1676">
        <v>16100</v>
      </c>
      <c r="W1676" t="s">
        <v>48</v>
      </c>
      <c r="X1676" t="s">
        <v>61</v>
      </c>
      <c r="Y1676" t="s">
        <v>54</v>
      </c>
      <c r="Z1676" s="12">
        <f>IF(N1676&lt;=1,9,9+0.8*ROUNDUP(N1676-1,0))</f>
        <v>9</v>
      </c>
      <c r="AA1676" s="11">
        <v>-2</v>
      </c>
      <c r="AB1676" s="11">
        <v>0</v>
      </c>
      <c r="AC1676" s="11">
        <v>0</v>
      </c>
      <c r="AD1676" s="11">
        <v>0</v>
      </c>
      <c r="AE1676" s="11">
        <v>0</v>
      </c>
      <c r="AF1676" s="11">
        <f t="shared" si="78"/>
        <v>0.42</v>
      </c>
      <c r="AG1676" s="11">
        <f t="shared" si="79"/>
        <v>7.42</v>
      </c>
      <c r="AH1676" s="11">
        <v>0</v>
      </c>
      <c r="AI1676" s="11">
        <f t="shared" si="80"/>
        <v>7.42</v>
      </c>
      <c r="AJ1676" t="s">
        <v>62</v>
      </c>
    </row>
    <row r="1677" spans="1:36" ht="15" customHeight="1" x14ac:dyDescent="0.35">
      <c r="A1677">
        <v>10428918</v>
      </c>
      <c r="B1677" t="s">
        <v>36</v>
      </c>
      <c r="C1677" t="s">
        <v>37</v>
      </c>
      <c r="D1677" s="6" t="s">
        <v>38</v>
      </c>
      <c r="E1677" t="s">
        <v>4950</v>
      </c>
      <c r="F1677" t="s">
        <v>40</v>
      </c>
      <c r="G1677" t="s">
        <v>41</v>
      </c>
      <c r="H1677" t="s">
        <v>2451</v>
      </c>
      <c r="I1677" t="s">
        <v>43</v>
      </c>
      <c r="J1677">
        <v>2</v>
      </c>
      <c r="K1677" t="s">
        <v>44</v>
      </c>
      <c r="L1677" t="s">
        <v>45</v>
      </c>
      <c r="M1677" t="s">
        <v>46</v>
      </c>
      <c r="N1677" s="7">
        <v>1</v>
      </c>
      <c r="O1677" s="8">
        <v>45638.719722222224</v>
      </c>
      <c r="P1677" s="9">
        <v>45640</v>
      </c>
      <c r="Q1677" t="s">
        <v>47</v>
      </c>
      <c r="R1677" t="s">
        <v>48</v>
      </c>
      <c r="S1677" t="s">
        <v>49</v>
      </c>
      <c r="T1677" t="s">
        <v>59</v>
      </c>
      <c r="U1677" t="s">
        <v>4951</v>
      </c>
      <c r="V1677">
        <v>16300</v>
      </c>
      <c r="W1677" t="s">
        <v>48</v>
      </c>
      <c r="X1677" t="s">
        <v>4952</v>
      </c>
      <c r="Y1677" t="s">
        <v>54</v>
      </c>
      <c r="Z1677" s="12">
        <f>IF(N1677&lt;=1,9,9+0.8*ROUNDUP(N1677-1,0))</f>
        <v>9</v>
      </c>
      <c r="AA1677" s="11">
        <v>-2</v>
      </c>
      <c r="AB1677" s="11">
        <v>0</v>
      </c>
      <c r="AC1677" s="11">
        <v>0</v>
      </c>
      <c r="AD1677" s="11">
        <v>0</v>
      </c>
      <c r="AE1677" s="11">
        <v>0</v>
      </c>
      <c r="AF1677" s="11">
        <f t="shared" si="78"/>
        <v>0.42</v>
      </c>
      <c r="AG1677" s="11">
        <f t="shared" si="79"/>
        <v>7.42</v>
      </c>
      <c r="AH1677" s="11">
        <v>0</v>
      </c>
      <c r="AI1677" s="11">
        <f t="shared" si="80"/>
        <v>7.42</v>
      </c>
      <c r="AJ1677" t="s">
        <v>62</v>
      </c>
    </row>
    <row r="1678" spans="1:36" ht="15" customHeight="1" x14ac:dyDescent="0.35">
      <c r="A1678">
        <v>10428918</v>
      </c>
      <c r="B1678" t="s">
        <v>36</v>
      </c>
      <c r="C1678" t="s">
        <v>37</v>
      </c>
      <c r="D1678" s="6" t="s">
        <v>38</v>
      </c>
      <c r="E1678" t="s">
        <v>4953</v>
      </c>
      <c r="F1678" t="s">
        <v>40</v>
      </c>
      <c r="G1678" t="s">
        <v>41</v>
      </c>
      <c r="H1678" t="s">
        <v>4954</v>
      </c>
      <c r="I1678" t="s">
        <v>43</v>
      </c>
      <c r="J1678">
        <v>2</v>
      </c>
      <c r="K1678" t="s">
        <v>44</v>
      </c>
      <c r="L1678" t="s">
        <v>45</v>
      </c>
      <c r="M1678" t="s">
        <v>46</v>
      </c>
      <c r="N1678" s="7">
        <v>1</v>
      </c>
      <c r="O1678" s="8">
        <v>45637.830682870372</v>
      </c>
      <c r="P1678" s="9">
        <v>45640</v>
      </c>
      <c r="Q1678" t="s">
        <v>47</v>
      </c>
      <c r="R1678" t="s">
        <v>48</v>
      </c>
      <c r="S1678" t="s">
        <v>49</v>
      </c>
      <c r="T1678" t="s">
        <v>75</v>
      </c>
      <c r="U1678" t="s">
        <v>4955</v>
      </c>
      <c r="V1678">
        <v>28000</v>
      </c>
      <c r="W1678" t="s">
        <v>48</v>
      </c>
      <c r="X1678" t="s">
        <v>4956</v>
      </c>
      <c r="Y1678" t="s">
        <v>54</v>
      </c>
      <c r="Z1678" s="12">
        <f>IF(N1678&lt;=1,9,9+0.8*ROUNDUP(N1678-1,0))</f>
        <v>9</v>
      </c>
      <c r="AA1678" s="11">
        <v>-2</v>
      </c>
      <c r="AB1678" s="11">
        <v>0</v>
      </c>
      <c r="AC1678" s="11">
        <v>0</v>
      </c>
      <c r="AD1678" s="11">
        <v>0</v>
      </c>
      <c r="AE1678" s="11">
        <v>0</v>
      </c>
      <c r="AF1678" s="11">
        <f t="shared" si="78"/>
        <v>0.42</v>
      </c>
      <c r="AG1678" s="11">
        <f t="shared" si="79"/>
        <v>7.42</v>
      </c>
      <c r="AH1678" s="11">
        <v>0</v>
      </c>
      <c r="AI1678" s="11">
        <f t="shared" si="80"/>
        <v>7.42</v>
      </c>
      <c r="AJ1678" t="s">
        <v>62</v>
      </c>
    </row>
    <row r="1679" spans="1:36" ht="15" customHeight="1" x14ac:dyDescent="0.35">
      <c r="A1679">
        <v>10428918</v>
      </c>
      <c r="B1679" t="s">
        <v>36</v>
      </c>
      <c r="C1679" t="s">
        <v>37</v>
      </c>
      <c r="D1679" s="6" t="s">
        <v>38</v>
      </c>
      <c r="E1679" t="s">
        <v>4957</v>
      </c>
      <c r="F1679" t="s">
        <v>40</v>
      </c>
      <c r="G1679" t="s">
        <v>41</v>
      </c>
      <c r="H1679" t="s">
        <v>4958</v>
      </c>
      <c r="I1679" t="s">
        <v>43</v>
      </c>
      <c r="J1679">
        <v>2</v>
      </c>
      <c r="K1679" t="s">
        <v>44</v>
      </c>
      <c r="L1679" t="s">
        <v>45</v>
      </c>
      <c r="M1679" t="s">
        <v>46</v>
      </c>
      <c r="N1679" s="7">
        <v>1</v>
      </c>
      <c r="O1679" s="8">
        <v>45638.795729166668</v>
      </c>
      <c r="P1679" s="9">
        <v>45640</v>
      </c>
      <c r="Q1679" t="s">
        <v>58</v>
      </c>
      <c r="R1679" t="s">
        <v>48</v>
      </c>
      <c r="S1679" t="s">
        <v>49</v>
      </c>
      <c r="T1679" t="s">
        <v>90</v>
      </c>
      <c r="U1679" t="s">
        <v>4959</v>
      </c>
      <c r="V1679">
        <v>22300</v>
      </c>
      <c r="W1679" t="s">
        <v>48</v>
      </c>
      <c r="X1679" t="s">
        <v>61</v>
      </c>
      <c r="Y1679" t="s">
        <v>54</v>
      </c>
      <c r="Z1679" s="12">
        <f>IF(N1679&lt;=1,9,9+0.8*ROUNDUP(N1679-1,0))</f>
        <v>9</v>
      </c>
      <c r="AA1679" s="11">
        <v>-2</v>
      </c>
      <c r="AB1679" s="11">
        <v>0</v>
      </c>
      <c r="AC1679" s="11">
        <v>0</v>
      </c>
      <c r="AD1679" s="11">
        <v>0</v>
      </c>
      <c r="AE1679" s="11">
        <v>0</v>
      </c>
      <c r="AF1679" s="11">
        <f t="shared" si="78"/>
        <v>0.42</v>
      </c>
      <c r="AG1679" s="11">
        <f t="shared" si="79"/>
        <v>7.42</v>
      </c>
      <c r="AH1679" s="11">
        <v>0</v>
      </c>
      <c r="AI1679" s="11">
        <f t="shared" si="80"/>
        <v>7.42</v>
      </c>
      <c r="AJ1679" t="s">
        <v>62</v>
      </c>
    </row>
    <row r="1680" spans="1:36" ht="15" customHeight="1" x14ac:dyDescent="0.35">
      <c r="A1680">
        <v>10428918</v>
      </c>
      <c r="B1680" t="s">
        <v>36</v>
      </c>
      <c r="C1680" t="s">
        <v>37</v>
      </c>
      <c r="D1680" s="6" t="s">
        <v>38</v>
      </c>
      <c r="E1680" t="s">
        <v>4960</v>
      </c>
      <c r="F1680" t="s">
        <v>40</v>
      </c>
      <c r="G1680" t="s">
        <v>41</v>
      </c>
      <c r="H1680" t="s">
        <v>4961</v>
      </c>
      <c r="I1680" t="s">
        <v>43</v>
      </c>
      <c r="J1680">
        <v>2</v>
      </c>
      <c r="K1680" t="s">
        <v>44</v>
      </c>
      <c r="L1680" t="s">
        <v>45</v>
      </c>
      <c r="M1680" t="s">
        <v>46</v>
      </c>
      <c r="N1680" s="7">
        <v>1</v>
      </c>
      <c r="O1680" s="8">
        <v>45638.760057870371</v>
      </c>
      <c r="P1680" s="9">
        <v>45640</v>
      </c>
      <c r="Q1680" t="s">
        <v>47</v>
      </c>
      <c r="R1680" t="s">
        <v>48</v>
      </c>
      <c r="S1680" t="s">
        <v>49</v>
      </c>
      <c r="T1680" t="s">
        <v>80</v>
      </c>
      <c r="U1680" t="s">
        <v>4962</v>
      </c>
      <c r="V1680">
        <v>6250</v>
      </c>
      <c r="W1680" t="s">
        <v>48</v>
      </c>
      <c r="X1680" t="s">
        <v>137</v>
      </c>
      <c r="Y1680" t="s">
        <v>54</v>
      </c>
      <c r="Z1680" s="12">
        <f>IF(N1680&lt;=1,9,9+0.8*ROUNDUP(N1680-1,0))</f>
        <v>9</v>
      </c>
      <c r="AA1680" s="11">
        <v>-2</v>
      </c>
      <c r="AB1680" s="11">
        <v>0</v>
      </c>
      <c r="AC1680" s="11">
        <v>0</v>
      </c>
      <c r="AD1680" s="11">
        <v>0</v>
      </c>
      <c r="AE1680" s="11">
        <v>0</v>
      </c>
      <c r="AF1680" s="11">
        <f t="shared" si="78"/>
        <v>0.42</v>
      </c>
      <c r="AG1680" s="11">
        <f t="shared" si="79"/>
        <v>7.42</v>
      </c>
      <c r="AH1680" s="11">
        <v>0</v>
      </c>
      <c r="AI1680" s="11">
        <f t="shared" si="80"/>
        <v>7.42</v>
      </c>
      <c r="AJ1680" t="s">
        <v>62</v>
      </c>
    </row>
    <row r="1681" spans="1:36" ht="15" customHeight="1" x14ac:dyDescent="0.35">
      <c r="A1681">
        <v>10428918</v>
      </c>
      <c r="B1681" t="s">
        <v>36</v>
      </c>
      <c r="C1681" t="s">
        <v>37</v>
      </c>
      <c r="D1681" s="6" t="s">
        <v>38</v>
      </c>
      <c r="E1681" t="s">
        <v>4963</v>
      </c>
      <c r="F1681" t="s">
        <v>40</v>
      </c>
      <c r="G1681" t="s">
        <v>41</v>
      </c>
      <c r="H1681" t="s">
        <v>4964</v>
      </c>
      <c r="I1681" t="s">
        <v>43</v>
      </c>
      <c r="J1681">
        <v>2</v>
      </c>
      <c r="K1681" t="s">
        <v>44</v>
      </c>
      <c r="L1681" t="s">
        <v>45</v>
      </c>
      <c r="M1681" t="s">
        <v>46</v>
      </c>
      <c r="N1681" s="7">
        <v>1</v>
      </c>
      <c r="O1681" s="8">
        <v>45638.788854166669</v>
      </c>
      <c r="P1681" s="9">
        <v>45640</v>
      </c>
      <c r="Q1681" t="s">
        <v>58</v>
      </c>
      <c r="R1681" t="s">
        <v>48</v>
      </c>
      <c r="S1681" t="s">
        <v>49</v>
      </c>
      <c r="T1681" t="s">
        <v>90</v>
      </c>
      <c r="U1681" t="s">
        <v>4965</v>
      </c>
      <c r="V1681">
        <v>21030</v>
      </c>
      <c r="W1681" t="s">
        <v>48</v>
      </c>
      <c r="X1681" t="s">
        <v>61</v>
      </c>
      <c r="Y1681" t="s">
        <v>54</v>
      </c>
      <c r="Z1681" s="12">
        <f>IF(N1681&lt;=1,9,9+0.8*ROUNDUP(N1681-1,0))</f>
        <v>9</v>
      </c>
      <c r="AA1681" s="11">
        <v>-2</v>
      </c>
      <c r="AB1681" s="11">
        <v>0</v>
      </c>
      <c r="AC1681" s="11">
        <v>0</v>
      </c>
      <c r="AD1681" s="11">
        <v>0</v>
      </c>
      <c r="AE1681" s="11">
        <v>0</v>
      </c>
      <c r="AF1681" s="11">
        <f t="shared" si="78"/>
        <v>0.42</v>
      </c>
      <c r="AG1681" s="11">
        <f t="shared" si="79"/>
        <v>7.42</v>
      </c>
      <c r="AH1681" s="11">
        <v>0</v>
      </c>
      <c r="AI1681" s="11">
        <f t="shared" si="80"/>
        <v>7.42</v>
      </c>
      <c r="AJ1681" t="s">
        <v>62</v>
      </c>
    </row>
    <row r="1682" spans="1:36" ht="15" customHeight="1" x14ac:dyDescent="0.35">
      <c r="A1682">
        <v>10428918</v>
      </c>
      <c r="B1682" t="s">
        <v>36</v>
      </c>
      <c r="C1682" t="s">
        <v>37</v>
      </c>
      <c r="D1682" s="6" t="s">
        <v>38</v>
      </c>
      <c r="E1682" t="s">
        <v>4966</v>
      </c>
      <c r="F1682" t="s">
        <v>40</v>
      </c>
      <c r="G1682" t="s">
        <v>41</v>
      </c>
      <c r="H1682" t="s">
        <v>4967</v>
      </c>
      <c r="I1682" t="s">
        <v>43</v>
      </c>
      <c r="J1682">
        <v>2</v>
      </c>
      <c r="K1682" t="s">
        <v>44</v>
      </c>
      <c r="L1682" t="s">
        <v>45</v>
      </c>
      <c r="M1682" t="s">
        <v>46</v>
      </c>
      <c r="N1682" s="7">
        <v>1</v>
      </c>
      <c r="O1682" s="8">
        <v>45636.434398148151</v>
      </c>
      <c r="P1682" s="9">
        <v>45640</v>
      </c>
      <c r="Q1682" t="s">
        <v>58</v>
      </c>
      <c r="R1682" t="s">
        <v>48</v>
      </c>
      <c r="S1682" t="s">
        <v>49</v>
      </c>
      <c r="T1682" t="s">
        <v>90</v>
      </c>
      <c r="U1682" t="s">
        <v>4968</v>
      </c>
      <c r="V1682">
        <v>23000</v>
      </c>
      <c r="W1682" t="s">
        <v>48</v>
      </c>
      <c r="X1682" t="s">
        <v>61</v>
      </c>
      <c r="Y1682" t="s">
        <v>54</v>
      </c>
      <c r="Z1682" s="12">
        <f>IF(N1682&lt;=1,9,9+0.8*ROUNDUP(N1682-1,0))</f>
        <v>9</v>
      </c>
      <c r="AA1682" s="11">
        <v>-2</v>
      </c>
      <c r="AB1682" s="11">
        <v>0</v>
      </c>
      <c r="AC1682" s="11">
        <v>0</v>
      </c>
      <c r="AD1682" s="11">
        <v>0</v>
      </c>
      <c r="AE1682" s="11">
        <v>0</v>
      </c>
      <c r="AF1682" s="11">
        <f t="shared" si="78"/>
        <v>0.42</v>
      </c>
      <c r="AG1682" s="11">
        <f t="shared" si="79"/>
        <v>7.42</v>
      </c>
      <c r="AH1682" s="11">
        <v>0</v>
      </c>
      <c r="AI1682" s="11">
        <f t="shared" si="80"/>
        <v>7.42</v>
      </c>
      <c r="AJ1682" t="s">
        <v>62</v>
      </c>
    </row>
    <row r="1683" spans="1:36" ht="15" customHeight="1" x14ac:dyDescent="0.35">
      <c r="A1683">
        <v>10428918</v>
      </c>
      <c r="B1683" t="s">
        <v>36</v>
      </c>
      <c r="C1683" t="s">
        <v>37</v>
      </c>
      <c r="D1683" s="6" t="s">
        <v>38</v>
      </c>
      <c r="E1683" t="s">
        <v>4969</v>
      </c>
      <c r="F1683" t="s">
        <v>40</v>
      </c>
      <c r="G1683" t="s">
        <v>41</v>
      </c>
      <c r="H1683" t="s">
        <v>4970</v>
      </c>
      <c r="I1683" t="s">
        <v>43</v>
      </c>
      <c r="J1683">
        <v>2</v>
      </c>
      <c r="K1683" t="s">
        <v>44</v>
      </c>
      <c r="L1683" t="s">
        <v>45</v>
      </c>
      <c r="M1683" t="s">
        <v>46</v>
      </c>
      <c r="N1683" s="7">
        <v>1</v>
      </c>
      <c r="O1683" s="8">
        <v>45638.504386574074</v>
      </c>
      <c r="P1683" s="9">
        <v>45640</v>
      </c>
      <c r="Q1683" t="s">
        <v>47</v>
      </c>
      <c r="R1683" t="s">
        <v>48</v>
      </c>
      <c r="S1683" t="s">
        <v>49</v>
      </c>
      <c r="T1683" t="s">
        <v>69</v>
      </c>
      <c r="U1683" t="s">
        <v>4971</v>
      </c>
      <c r="V1683">
        <v>81300</v>
      </c>
      <c r="W1683" t="s">
        <v>48</v>
      </c>
      <c r="X1683" t="s">
        <v>394</v>
      </c>
      <c r="Y1683" t="s">
        <v>54</v>
      </c>
      <c r="Z1683" s="12">
        <f>IF(N1683&lt;=1,9,9+0.8*ROUNDUP(N1683-1,0))</f>
        <v>9</v>
      </c>
      <c r="AA1683" s="11">
        <v>-2</v>
      </c>
      <c r="AB1683" s="11">
        <v>0</v>
      </c>
      <c r="AC1683" s="11">
        <v>0</v>
      </c>
      <c r="AD1683" s="11">
        <v>0</v>
      </c>
      <c r="AE1683" s="11">
        <v>0</v>
      </c>
      <c r="AF1683" s="11">
        <f t="shared" si="78"/>
        <v>0.42</v>
      </c>
      <c r="AG1683" s="11">
        <f t="shared" si="79"/>
        <v>7.42</v>
      </c>
      <c r="AH1683" s="11">
        <v>0</v>
      </c>
      <c r="AI1683" s="11">
        <f t="shared" si="80"/>
        <v>7.42</v>
      </c>
      <c r="AJ1683" t="s">
        <v>62</v>
      </c>
    </row>
    <row r="1684" spans="1:36" ht="15" customHeight="1" x14ac:dyDescent="0.35">
      <c r="A1684">
        <v>10428918</v>
      </c>
      <c r="B1684" t="s">
        <v>36</v>
      </c>
      <c r="C1684" t="s">
        <v>37</v>
      </c>
      <c r="D1684" s="6" t="s">
        <v>38</v>
      </c>
      <c r="E1684" t="s">
        <v>4972</v>
      </c>
      <c r="F1684" t="s">
        <v>40</v>
      </c>
      <c r="G1684" t="s">
        <v>41</v>
      </c>
      <c r="H1684" t="s">
        <v>4973</v>
      </c>
      <c r="I1684" t="s">
        <v>43</v>
      </c>
      <c r="J1684">
        <v>2</v>
      </c>
      <c r="K1684" t="s">
        <v>44</v>
      </c>
      <c r="L1684" t="s">
        <v>45</v>
      </c>
      <c r="M1684" t="s">
        <v>46</v>
      </c>
      <c r="N1684" s="7">
        <v>1</v>
      </c>
      <c r="O1684" s="8">
        <v>45637.826539351852</v>
      </c>
      <c r="P1684" s="9">
        <v>45640</v>
      </c>
      <c r="Q1684" t="s">
        <v>47</v>
      </c>
      <c r="R1684" t="s">
        <v>48</v>
      </c>
      <c r="S1684" t="s">
        <v>49</v>
      </c>
      <c r="T1684" t="s">
        <v>69</v>
      </c>
      <c r="U1684" t="s">
        <v>4974</v>
      </c>
      <c r="V1684">
        <v>81300</v>
      </c>
      <c r="W1684" t="s">
        <v>48</v>
      </c>
      <c r="X1684" t="s">
        <v>394</v>
      </c>
      <c r="Y1684" t="s">
        <v>54</v>
      </c>
      <c r="Z1684" s="12">
        <f>IF(N1684&lt;=1,9,9+0.8*ROUNDUP(N1684-1,0))</f>
        <v>9</v>
      </c>
      <c r="AA1684" s="11">
        <v>-2</v>
      </c>
      <c r="AB1684" s="11">
        <v>0</v>
      </c>
      <c r="AC1684" s="11">
        <v>0</v>
      </c>
      <c r="AD1684" s="11">
        <v>0</v>
      </c>
      <c r="AE1684" s="11">
        <v>0</v>
      </c>
      <c r="AF1684" s="11">
        <f t="shared" si="78"/>
        <v>0.42</v>
      </c>
      <c r="AG1684" s="11">
        <f t="shared" si="79"/>
        <v>7.42</v>
      </c>
      <c r="AH1684" s="11">
        <v>0</v>
      </c>
      <c r="AI1684" s="11">
        <f t="shared" si="80"/>
        <v>7.42</v>
      </c>
      <c r="AJ1684" t="s">
        <v>62</v>
      </c>
    </row>
    <row r="1685" spans="1:36" ht="15" customHeight="1" x14ac:dyDescent="0.35">
      <c r="A1685">
        <v>10428918</v>
      </c>
      <c r="B1685" t="s">
        <v>36</v>
      </c>
      <c r="C1685" t="s">
        <v>37</v>
      </c>
      <c r="D1685" s="6" t="s">
        <v>38</v>
      </c>
      <c r="E1685" t="s">
        <v>4975</v>
      </c>
      <c r="F1685" t="s">
        <v>40</v>
      </c>
      <c r="G1685" t="s">
        <v>41</v>
      </c>
      <c r="H1685" t="s">
        <v>1962</v>
      </c>
      <c r="I1685" t="s">
        <v>43</v>
      </c>
      <c r="J1685">
        <v>2</v>
      </c>
      <c r="K1685" t="s">
        <v>44</v>
      </c>
      <c r="L1685" t="s">
        <v>45</v>
      </c>
      <c r="M1685" t="s">
        <v>46</v>
      </c>
      <c r="N1685" s="7">
        <v>1</v>
      </c>
      <c r="O1685" s="8">
        <v>45638.719722222224</v>
      </c>
      <c r="P1685" s="9">
        <v>45640</v>
      </c>
      <c r="Q1685" t="s">
        <v>47</v>
      </c>
      <c r="R1685" t="s">
        <v>48</v>
      </c>
      <c r="S1685" t="s">
        <v>49</v>
      </c>
      <c r="T1685" t="s">
        <v>59</v>
      </c>
      <c r="U1685" t="s">
        <v>1963</v>
      </c>
      <c r="V1685">
        <v>15200</v>
      </c>
      <c r="W1685" t="s">
        <v>48</v>
      </c>
      <c r="X1685" t="s">
        <v>4976</v>
      </c>
      <c r="Y1685" t="s">
        <v>54</v>
      </c>
      <c r="Z1685" s="12">
        <f>IF(N1685&lt;=1,9,9+0.8*ROUNDUP(N1685-1,0))</f>
        <v>9</v>
      </c>
      <c r="AA1685" s="11">
        <v>-2</v>
      </c>
      <c r="AB1685" s="11">
        <v>0</v>
      </c>
      <c r="AC1685" s="11">
        <v>0</v>
      </c>
      <c r="AD1685" s="11">
        <v>0</v>
      </c>
      <c r="AE1685" s="11">
        <v>0</v>
      </c>
      <c r="AF1685" s="11">
        <f t="shared" si="78"/>
        <v>0.42</v>
      </c>
      <c r="AG1685" s="11">
        <f t="shared" si="79"/>
        <v>7.42</v>
      </c>
      <c r="AH1685" s="11">
        <v>0</v>
      </c>
      <c r="AI1685" s="11">
        <f t="shared" si="80"/>
        <v>7.42</v>
      </c>
      <c r="AJ1685" t="s">
        <v>62</v>
      </c>
    </row>
    <row r="1686" spans="1:36" ht="15" customHeight="1" x14ac:dyDescent="0.35">
      <c r="A1686">
        <v>10428918</v>
      </c>
      <c r="B1686" t="s">
        <v>36</v>
      </c>
      <c r="C1686" t="s">
        <v>37</v>
      </c>
      <c r="D1686" s="6" t="s">
        <v>38</v>
      </c>
      <c r="E1686" t="s">
        <v>4977</v>
      </c>
      <c r="F1686" t="s">
        <v>40</v>
      </c>
      <c r="G1686" t="s">
        <v>41</v>
      </c>
      <c r="H1686" t="s">
        <v>4978</v>
      </c>
      <c r="I1686" t="s">
        <v>43</v>
      </c>
      <c r="J1686">
        <v>2</v>
      </c>
      <c r="K1686" t="s">
        <v>44</v>
      </c>
      <c r="L1686" t="s">
        <v>45</v>
      </c>
      <c r="M1686" t="s">
        <v>46</v>
      </c>
      <c r="N1686" s="7">
        <v>1</v>
      </c>
      <c r="O1686" s="8">
        <v>45638.433287037034</v>
      </c>
      <c r="P1686" s="9">
        <v>45640</v>
      </c>
      <c r="Q1686" t="s">
        <v>47</v>
      </c>
      <c r="R1686" t="s">
        <v>48</v>
      </c>
      <c r="S1686" t="s">
        <v>49</v>
      </c>
      <c r="T1686" t="s">
        <v>117</v>
      </c>
      <c r="U1686" t="s">
        <v>4979</v>
      </c>
      <c r="V1686">
        <v>40460</v>
      </c>
      <c r="W1686" t="s">
        <v>48</v>
      </c>
      <c r="X1686" t="s">
        <v>53</v>
      </c>
      <c r="Y1686" t="s">
        <v>54</v>
      </c>
      <c r="Z1686" s="12">
        <f>IF(N1686&lt;=1,9,9+0.8*ROUNDUP(N1686-1,0))</f>
        <v>9</v>
      </c>
      <c r="AA1686" s="11">
        <v>-2</v>
      </c>
      <c r="AB1686" s="11">
        <v>0</v>
      </c>
      <c r="AC1686" s="11">
        <v>0</v>
      </c>
      <c r="AD1686" s="11">
        <v>0</v>
      </c>
      <c r="AE1686" s="11">
        <v>0</v>
      </c>
      <c r="AF1686" s="11">
        <f t="shared" si="78"/>
        <v>0.42</v>
      </c>
      <c r="AG1686" s="11">
        <f t="shared" si="79"/>
        <v>7.42</v>
      </c>
      <c r="AH1686" s="11">
        <v>0</v>
      </c>
      <c r="AI1686" s="11">
        <f t="shared" si="80"/>
        <v>7.42</v>
      </c>
      <c r="AJ1686" t="s">
        <v>62</v>
      </c>
    </row>
    <row r="1687" spans="1:36" ht="15" customHeight="1" x14ac:dyDescent="0.35">
      <c r="A1687">
        <v>10428918</v>
      </c>
      <c r="B1687" t="s">
        <v>36</v>
      </c>
      <c r="C1687" t="s">
        <v>37</v>
      </c>
      <c r="D1687" s="6" t="s">
        <v>38</v>
      </c>
      <c r="E1687" t="s">
        <v>4980</v>
      </c>
      <c r="F1687" t="s">
        <v>40</v>
      </c>
      <c r="G1687" t="s">
        <v>41</v>
      </c>
      <c r="H1687" t="s">
        <v>4981</v>
      </c>
      <c r="I1687" t="s">
        <v>43</v>
      </c>
      <c r="J1687">
        <v>2</v>
      </c>
      <c r="K1687" t="s">
        <v>44</v>
      </c>
      <c r="L1687" t="s">
        <v>45</v>
      </c>
      <c r="M1687" t="s">
        <v>46</v>
      </c>
      <c r="N1687" s="7">
        <v>1</v>
      </c>
      <c r="O1687" s="8">
        <v>45638.452465277776</v>
      </c>
      <c r="P1687" s="9">
        <v>45640</v>
      </c>
      <c r="Q1687" t="s">
        <v>47</v>
      </c>
      <c r="R1687" t="s">
        <v>48</v>
      </c>
      <c r="S1687" t="s">
        <v>49</v>
      </c>
      <c r="T1687" t="s">
        <v>90</v>
      </c>
      <c r="U1687" t="s">
        <v>4982</v>
      </c>
      <c r="V1687">
        <v>21030</v>
      </c>
      <c r="W1687" t="s">
        <v>48</v>
      </c>
      <c r="X1687" t="s">
        <v>469</v>
      </c>
      <c r="Y1687" t="s">
        <v>54</v>
      </c>
      <c r="Z1687" s="12">
        <f>IF(N1687&lt;=1,9,9+0.8*ROUNDUP(N1687-1,0))</f>
        <v>9</v>
      </c>
      <c r="AA1687" s="11">
        <v>-2</v>
      </c>
      <c r="AB1687" s="11">
        <v>0</v>
      </c>
      <c r="AC1687" s="11">
        <v>0</v>
      </c>
      <c r="AD1687" s="11">
        <v>0</v>
      </c>
      <c r="AE1687" s="11">
        <v>0</v>
      </c>
      <c r="AF1687" s="11">
        <f t="shared" si="78"/>
        <v>0.42</v>
      </c>
      <c r="AG1687" s="11">
        <f t="shared" si="79"/>
        <v>7.42</v>
      </c>
      <c r="AH1687" s="11">
        <v>0</v>
      </c>
      <c r="AI1687" s="11">
        <f t="shared" si="80"/>
        <v>7.42</v>
      </c>
      <c r="AJ1687" t="s">
        <v>62</v>
      </c>
    </row>
    <row r="1688" spans="1:36" ht="15" customHeight="1" x14ac:dyDescent="0.35">
      <c r="A1688">
        <v>10428918</v>
      </c>
      <c r="B1688" t="s">
        <v>36</v>
      </c>
      <c r="C1688" t="s">
        <v>37</v>
      </c>
      <c r="D1688" s="6" t="s">
        <v>38</v>
      </c>
      <c r="E1688" t="s">
        <v>4983</v>
      </c>
      <c r="F1688" t="s">
        <v>40</v>
      </c>
      <c r="G1688" t="s">
        <v>41</v>
      </c>
      <c r="H1688" t="s">
        <v>4984</v>
      </c>
      <c r="I1688" t="s">
        <v>43</v>
      </c>
      <c r="J1688">
        <v>2</v>
      </c>
      <c r="K1688" t="s">
        <v>44</v>
      </c>
      <c r="L1688" t="s">
        <v>45</v>
      </c>
      <c r="M1688" t="s">
        <v>46</v>
      </c>
      <c r="N1688" s="7">
        <v>1</v>
      </c>
      <c r="O1688" s="8">
        <v>45638.795729166668</v>
      </c>
      <c r="P1688" s="9">
        <v>45640</v>
      </c>
      <c r="Q1688" t="s">
        <v>58</v>
      </c>
      <c r="R1688" t="s">
        <v>48</v>
      </c>
      <c r="S1688" t="s">
        <v>49</v>
      </c>
      <c r="T1688" t="s">
        <v>117</v>
      </c>
      <c r="U1688" t="s">
        <v>4985</v>
      </c>
      <c r="V1688">
        <v>40150</v>
      </c>
      <c r="W1688" t="s">
        <v>48</v>
      </c>
      <c r="X1688" t="s">
        <v>429</v>
      </c>
      <c r="Y1688" t="s">
        <v>54</v>
      </c>
      <c r="Z1688" s="12">
        <f>IF(N1688&lt;=1,9,9+0.8*ROUNDUP(N1688-1,0))</f>
        <v>9</v>
      </c>
      <c r="AA1688" s="11">
        <v>-2</v>
      </c>
      <c r="AB1688" s="11">
        <v>0</v>
      </c>
      <c r="AC1688" s="11">
        <v>0</v>
      </c>
      <c r="AD1688" s="11">
        <v>0</v>
      </c>
      <c r="AE1688" s="11">
        <v>0</v>
      </c>
      <c r="AF1688" s="11">
        <f t="shared" si="78"/>
        <v>0.42</v>
      </c>
      <c r="AG1688" s="11">
        <f t="shared" si="79"/>
        <v>7.42</v>
      </c>
      <c r="AH1688" s="11">
        <v>0</v>
      </c>
      <c r="AI1688" s="11">
        <f t="shared" si="80"/>
        <v>7.42</v>
      </c>
      <c r="AJ1688" t="s">
        <v>62</v>
      </c>
    </row>
    <row r="1689" spans="1:36" ht="15" customHeight="1" x14ac:dyDescent="0.35">
      <c r="A1689">
        <v>10428918</v>
      </c>
      <c r="B1689" t="s">
        <v>36</v>
      </c>
      <c r="C1689" t="s">
        <v>37</v>
      </c>
      <c r="D1689" s="6" t="s">
        <v>38</v>
      </c>
      <c r="E1689" t="s">
        <v>4986</v>
      </c>
      <c r="F1689" t="s">
        <v>40</v>
      </c>
      <c r="G1689" t="s">
        <v>41</v>
      </c>
      <c r="H1689" t="s">
        <v>4987</v>
      </c>
      <c r="I1689" t="s">
        <v>43</v>
      </c>
      <c r="J1689">
        <v>2</v>
      </c>
      <c r="K1689" t="s">
        <v>44</v>
      </c>
      <c r="L1689" t="s">
        <v>45</v>
      </c>
      <c r="M1689" t="s">
        <v>46</v>
      </c>
      <c r="N1689" s="7">
        <v>1</v>
      </c>
      <c r="O1689" s="8">
        <v>45638.504386574074</v>
      </c>
      <c r="P1689" s="9">
        <v>45640</v>
      </c>
      <c r="Q1689" t="s">
        <v>47</v>
      </c>
      <c r="R1689" t="s">
        <v>48</v>
      </c>
      <c r="S1689" t="s">
        <v>49</v>
      </c>
      <c r="T1689" t="s">
        <v>80</v>
      </c>
      <c r="U1689" t="s">
        <v>4988</v>
      </c>
      <c r="V1689">
        <v>6250</v>
      </c>
      <c r="W1689" t="s">
        <v>48</v>
      </c>
      <c r="X1689" t="s">
        <v>137</v>
      </c>
      <c r="Y1689" t="s">
        <v>54</v>
      </c>
      <c r="Z1689" s="12">
        <f>IF(N1689&lt;=1,9,9+0.8*ROUNDUP(N1689-1,0))</f>
        <v>9</v>
      </c>
      <c r="AA1689" s="11">
        <v>-2</v>
      </c>
      <c r="AB1689" s="11">
        <v>0</v>
      </c>
      <c r="AC1689" s="11">
        <v>0</v>
      </c>
      <c r="AD1689" s="11">
        <v>0</v>
      </c>
      <c r="AE1689" s="11">
        <v>0</v>
      </c>
      <c r="AF1689" s="11">
        <f t="shared" si="78"/>
        <v>0.42</v>
      </c>
      <c r="AG1689" s="11">
        <f t="shared" si="79"/>
        <v>7.42</v>
      </c>
      <c r="AH1689" s="11">
        <v>0</v>
      </c>
      <c r="AI1689" s="11">
        <f t="shared" si="80"/>
        <v>7.42</v>
      </c>
      <c r="AJ1689" t="s">
        <v>62</v>
      </c>
    </row>
    <row r="1690" spans="1:36" ht="15" customHeight="1" x14ac:dyDescent="0.35">
      <c r="A1690">
        <v>10428918</v>
      </c>
      <c r="B1690" t="s">
        <v>36</v>
      </c>
      <c r="C1690" t="s">
        <v>37</v>
      </c>
      <c r="D1690" s="6" t="s">
        <v>38</v>
      </c>
      <c r="E1690" t="s">
        <v>4989</v>
      </c>
      <c r="F1690" t="s">
        <v>40</v>
      </c>
      <c r="G1690" t="s">
        <v>41</v>
      </c>
      <c r="H1690" t="s">
        <v>2963</v>
      </c>
      <c r="I1690" t="s">
        <v>43</v>
      </c>
      <c r="J1690">
        <v>2</v>
      </c>
      <c r="K1690" t="s">
        <v>44</v>
      </c>
      <c r="L1690" t="s">
        <v>45</v>
      </c>
      <c r="M1690" t="s">
        <v>46</v>
      </c>
      <c r="N1690" s="7">
        <v>1</v>
      </c>
      <c r="O1690" s="8">
        <v>45640.757384259261</v>
      </c>
      <c r="P1690" s="9">
        <v>45641</v>
      </c>
      <c r="Q1690" t="s">
        <v>74</v>
      </c>
      <c r="R1690" t="s">
        <v>48</v>
      </c>
      <c r="S1690" t="s">
        <v>49</v>
      </c>
      <c r="T1690" t="s">
        <v>90</v>
      </c>
      <c r="U1690" t="s">
        <v>4990</v>
      </c>
      <c r="V1690">
        <v>24300</v>
      </c>
      <c r="W1690" t="s">
        <v>48</v>
      </c>
      <c r="X1690" t="s">
        <v>92</v>
      </c>
      <c r="Y1690" t="s">
        <v>54</v>
      </c>
      <c r="Z1690" s="12">
        <f>IF(N1690&lt;=1,9,9+0.8*ROUNDUP(N1690-1,0))</f>
        <v>9</v>
      </c>
      <c r="AA1690" s="11">
        <v>-2</v>
      </c>
      <c r="AB1690" s="11">
        <v>0</v>
      </c>
      <c r="AC1690" s="11">
        <v>0</v>
      </c>
      <c r="AD1690" s="11">
        <v>0</v>
      </c>
      <c r="AE1690" s="11">
        <v>0</v>
      </c>
      <c r="AF1690" s="11">
        <f t="shared" si="78"/>
        <v>0.42</v>
      </c>
      <c r="AG1690" s="11">
        <f t="shared" si="79"/>
        <v>7.42</v>
      </c>
      <c r="AH1690" s="11">
        <v>0</v>
      </c>
      <c r="AI1690" s="11">
        <f t="shared" si="80"/>
        <v>7.42</v>
      </c>
      <c r="AJ1690" t="s">
        <v>62</v>
      </c>
    </row>
    <row r="1691" spans="1:36" ht="15" customHeight="1" x14ac:dyDescent="0.35">
      <c r="A1691">
        <v>10428918</v>
      </c>
      <c r="B1691" t="s">
        <v>36</v>
      </c>
      <c r="C1691" t="s">
        <v>37</v>
      </c>
      <c r="D1691" s="6" t="s">
        <v>38</v>
      </c>
      <c r="E1691" t="s">
        <v>4991</v>
      </c>
      <c r="F1691" t="s">
        <v>40</v>
      </c>
      <c r="G1691" t="s">
        <v>41</v>
      </c>
      <c r="H1691" t="s">
        <v>4992</v>
      </c>
      <c r="I1691" t="s">
        <v>43</v>
      </c>
      <c r="J1691">
        <v>2</v>
      </c>
      <c r="K1691" t="s">
        <v>44</v>
      </c>
      <c r="L1691" t="s">
        <v>45</v>
      </c>
      <c r="M1691" t="s">
        <v>46</v>
      </c>
      <c r="N1691" s="7">
        <v>1</v>
      </c>
      <c r="O1691" s="8">
        <v>45640.766134259262</v>
      </c>
      <c r="P1691" s="9">
        <v>45641</v>
      </c>
      <c r="Q1691" t="s">
        <v>74</v>
      </c>
      <c r="R1691" t="s">
        <v>48</v>
      </c>
      <c r="S1691" t="s">
        <v>49</v>
      </c>
      <c r="T1691" t="s">
        <v>59</v>
      </c>
      <c r="U1691" t="s">
        <v>4993</v>
      </c>
      <c r="V1691">
        <v>17510</v>
      </c>
      <c r="W1691" t="s">
        <v>48</v>
      </c>
      <c r="X1691" t="s">
        <v>61</v>
      </c>
      <c r="Y1691" t="s">
        <v>54</v>
      </c>
      <c r="Z1691" s="12">
        <f>IF(N1691&lt;=1,9,9+0.8*ROUNDUP(N1691-1,0))</f>
        <v>9</v>
      </c>
      <c r="AA1691" s="11">
        <v>-2</v>
      </c>
      <c r="AB1691" s="11">
        <v>0</v>
      </c>
      <c r="AC1691" s="11">
        <v>0</v>
      </c>
      <c r="AD1691" s="11">
        <v>0</v>
      </c>
      <c r="AE1691" s="11">
        <v>0</v>
      </c>
      <c r="AF1691" s="11">
        <f t="shared" si="78"/>
        <v>0.42</v>
      </c>
      <c r="AG1691" s="11">
        <f t="shared" si="79"/>
        <v>7.42</v>
      </c>
      <c r="AH1691" s="11">
        <v>0</v>
      </c>
      <c r="AI1691" s="11">
        <f t="shared" si="80"/>
        <v>7.42</v>
      </c>
      <c r="AJ1691" t="s">
        <v>62</v>
      </c>
    </row>
    <row r="1692" spans="1:36" ht="15" customHeight="1" x14ac:dyDescent="0.35">
      <c r="A1692">
        <v>10428918</v>
      </c>
      <c r="B1692" t="s">
        <v>36</v>
      </c>
      <c r="C1692" t="s">
        <v>37</v>
      </c>
      <c r="D1692" s="6" t="s">
        <v>38</v>
      </c>
      <c r="E1692" t="s">
        <v>4994</v>
      </c>
      <c r="F1692" t="s">
        <v>40</v>
      </c>
      <c r="G1692" t="s">
        <v>41</v>
      </c>
      <c r="H1692" t="s">
        <v>4995</v>
      </c>
      <c r="I1692" t="s">
        <v>43</v>
      </c>
      <c r="J1692">
        <v>2</v>
      </c>
      <c r="K1692" t="s">
        <v>44</v>
      </c>
      <c r="L1692" t="s">
        <v>45</v>
      </c>
      <c r="M1692" t="s">
        <v>46</v>
      </c>
      <c r="N1692" s="7">
        <v>1</v>
      </c>
      <c r="O1692" s="8">
        <v>45640.766134259262</v>
      </c>
      <c r="P1692" s="9">
        <v>45641</v>
      </c>
      <c r="Q1692" t="s">
        <v>74</v>
      </c>
      <c r="R1692" t="s">
        <v>48</v>
      </c>
      <c r="S1692" t="s">
        <v>49</v>
      </c>
      <c r="T1692" t="s">
        <v>90</v>
      </c>
      <c r="U1692" t="s">
        <v>4996</v>
      </c>
      <c r="V1692">
        <v>23000</v>
      </c>
      <c r="W1692" t="s">
        <v>48</v>
      </c>
      <c r="X1692" t="s">
        <v>92</v>
      </c>
      <c r="Y1692" t="s">
        <v>54</v>
      </c>
      <c r="Z1692" s="12">
        <f>IF(N1692&lt;=1,9,9+0.8*ROUNDUP(N1692-1,0))</f>
        <v>9</v>
      </c>
      <c r="AA1692" s="11">
        <v>-2</v>
      </c>
      <c r="AB1692" s="11">
        <v>0</v>
      </c>
      <c r="AC1692" s="11">
        <v>0</v>
      </c>
      <c r="AD1692" s="11">
        <v>0</v>
      </c>
      <c r="AE1692" s="11">
        <v>0</v>
      </c>
      <c r="AF1692" s="11">
        <f t="shared" si="78"/>
        <v>0.42</v>
      </c>
      <c r="AG1692" s="11">
        <f t="shared" si="79"/>
        <v>7.42</v>
      </c>
      <c r="AH1692" s="11">
        <v>0</v>
      </c>
      <c r="AI1692" s="11">
        <f t="shared" si="80"/>
        <v>7.42</v>
      </c>
      <c r="AJ1692" t="s">
        <v>62</v>
      </c>
    </row>
    <row r="1693" spans="1:36" ht="15" customHeight="1" x14ac:dyDescent="0.35">
      <c r="A1693">
        <v>10428918</v>
      </c>
      <c r="B1693" t="s">
        <v>36</v>
      </c>
      <c r="C1693" t="s">
        <v>37</v>
      </c>
      <c r="D1693" s="6" t="s">
        <v>38</v>
      </c>
      <c r="E1693" t="s">
        <v>4997</v>
      </c>
      <c r="G1693" t="s">
        <v>41</v>
      </c>
      <c r="H1693" t="s">
        <v>4998</v>
      </c>
      <c r="I1693" t="s">
        <v>43</v>
      </c>
      <c r="J1693">
        <v>2</v>
      </c>
      <c r="K1693" t="s">
        <v>44</v>
      </c>
      <c r="L1693" t="s">
        <v>45</v>
      </c>
      <c r="M1693" t="s">
        <v>46</v>
      </c>
      <c r="N1693" s="7">
        <v>1</v>
      </c>
      <c r="O1693" s="8">
        <v>45655.536608796298</v>
      </c>
      <c r="P1693" s="9">
        <v>45656</v>
      </c>
      <c r="Q1693" t="s">
        <v>74</v>
      </c>
      <c r="R1693" t="s">
        <v>48</v>
      </c>
      <c r="S1693" t="s">
        <v>49</v>
      </c>
      <c r="T1693" t="s">
        <v>90</v>
      </c>
      <c r="U1693" t="s">
        <v>4999</v>
      </c>
      <c r="V1693">
        <v>21700</v>
      </c>
      <c r="W1693" t="s">
        <v>48</v>
      </c>
      <c r="X1693" t="s">
        <v>92</v>
      </c>
      <c r="Y1693" t="s">
        <v>54</v>
      </c>
      <c r="Z1693" s="12">
        <f>IF(N1693&lt;=1,9,9+0.8*ROUNDUP(N1693-1,0))</f>
        <v>9</v>
      </c>
      <c r="AA1693" s="11">
        <v>-2</v>
      </c>
      <c r="AB1693" s="11">
        <v>0</v>
      </c>
      <c r="AC1693" s="11">
        <v>0</v>
      </c>
      <c r="AD1693" s="11">
        <v>0</v>
      </c>
      <c r="AE1693" s="11">
        <v>0</v>
      </c>
      <c r="AF1693" s="11">
        <f t="shared" si="78"/>
        <v>0.42</v>
      </c>
      <c r="AG1693" s="11">
        <f t="shared" si="79"/>
        <v>7.42</v>
      </c>
      <c r="AH1693" s="11">
        <v>0</v>
      </c>
      <c r="AI1693" s="11">
        <f t="shared" si="80"/>
        <v>7.42</v>
      </c>
      <c r="AJ1693" t="s">
        <v>62</v>
      </c>
    </row>
    <row r="1694" spans="1:36" ht="15" customHeight="1" x14ac:dyDescent="0.35">
      <c r="A1694">
        <v>10428918</v>
      </c>
      <c r="B1694" t="s">
        <v>36</v>
      </c>
      <c r="C1694" t="s">
        <v>37</v>
      </c>
      <c r="D1694" s="6" t="s">
        <v>38</v>
      </c>
      <c r="E1694" t="s">
        <v>5000</v>
      </c>
      <c r="G1694" t="s">
        <v>41</v>
      </c>
      <c r="H1694" t="s">
        <v>5001</v>
      </c>
      <c r="I1694" t="s">
        <v>43</v>
      </c>
      <c r="J1694">
        <v>2</v>
      </c>
      <c r="K1694" t="s">
        <v>44</v>
      </c>
      <c r="L1694" t="s">
        <v>45</v>
      </c>
      <c r="M1694" t="s">
        <v>46</v>
      </c>
      <c r="N1694" s="7">
        <v>1</v>
      </c>
      <c r="O1694" s="8">
        <v>45654.441666666666</v>
      </c>
      <c r="P1694" s="9">
        <v>45656</v>
      </c>
      <c r="Q1694" t="s">
        <v>74</v>
      </c>
      <c r="R1694" t="s">
        <v>48</v>
      </c>
      <c r="S1694" t="s">
        <v>49</v>
      </c>
      <c r="T1694" t="s">
        <v>90</v>
      </c>
      <c r="U1694" t="s">
        <v>5002</v>
      </c>
      <c r="V1694">
        <v>20400</v>
      </c>
      <c r="W1694" t="s">
        <v>48</v>
      </c>
      <c r="X1694" t="s">
        <v>92</v>
      </c>
      <c r="Y1694" t="s">
        <v>54</v>
      </c>
      <c r="Z1694" s="12">
        <f>IF(N1694&lt;=1,9,9+0.8*ROUNDUP(N1694-1,0))</f>
        <v>9</v>
      </c>
      <c r="AA1694" s="11">
        <v>-2</v>
      </c>
      <c r="AB1694" s="11">
        <v>0</v>
      </c>
      <c r="AC1694" s="11">
        <v>0</v>
      </c>
      <c r="AD1694" s="11">
        <v>0</v>
      </c>
      <c r="AE1694" s="11">
        <v>0</v>
      </c>
      <c r="AF1694" s="11">
        <f t="shared" si="78"/>
        <v>0.42</v>
      </c>
      <c r="AG1694" s="11">
        <f t="shared" si="79"/>
        <v>7.42</v>
      </c>
      <c r="AH1694" s="11">
        <v>0</v>
      </c>
      <c r="AI1694" s="11">
        <f t="shared" si="80"/>
        <v>7.42</v>
      </c>
      <c r="AJ1694" t="s">
        <v>62</v>
      </c>
    </row>
    <row r="1695" spans="1:36" ht="15" customHeight="1" x14ac:dyDescent="0.35">
      <c r="A1695">
        <v>10428918</v>
      </c>
      <c r="B1695" t="s">
        <v>36</v>
      </c>
      <c r="C1695" t="s">
        <v>37</v>
      </c>
      <c r="D1695" s="6" t="s">
        <v>38</v>
      </c>
      <c r="E1695" t="s">
        <v>5003</v>
      </c>
      <c r="G1695" t="s">
        <v>41</v>
      </c>
      <c r="H1695" t="s">
        <v>5004</v>
      </c>
      <c r="I1695" t="s">
        <v>43</v>
      </c>
      <c r="J1695">
        <v>2</v>
      </c>
      <c r="K1695" t="s">
        <v>44</v>
      </c>
      <c r="L1695" t="s">
        <v>45</v>
      </c>
      <c r="M1695" t="s">
        <v>46</v>
      </c>
      <c r="N1695" s="7">
        <v>2</v>
      </c>
      <c r="O1695" s="8">
        <v>45654.423773148148</v>
      </c>
      <c r="P1695" s="9">
        <v>45656</v>
      </c>
      <c r="Q1695" t="s">
        <v>74</v>
      </c>
      <c r="R1695" t="s">
        <v>48</v>
      </c>
      <c r="S1695" t="s">
        <v>49</v>
      </c>
      <c r="T1695" t="s">
        <v>161</v>
      </c>
      <c r="U1695" t="s">
        <v>5005</v>
      </c>
      <c r="V1695">
        <v>14110</v>
      </c>
      <c r="W1695" t="s">
        <v>48</v>
      </c>
      <c r="X1695" t="s">
        <v>666</v>
      </c>
      <c r="Y1695" t="s">
        <v>54</v>
      </c>
      <c r="Z1695" s="12">
        <f>IF(N1695&lt;=1,9,9+0.8*ROUNDUP(N1695-1,0))</f>
        <v>9.8000000000000007</v>
      </c>
      <c r="AA1695" s="11">
        <v>-2</v>
      </c>
      <c r="AB1695" s="11">
        <v>0</v>
      </c>
      <c r="AC1695" s="11">
        <v>0</v>
      </c>
      <c r="AD1695" s="11">
        <v>0</v>
      </c>
      <c r="AE1695" s="11">
        <v>0</v>
      </c>
      <c r="AF1695" s="11">
        <f t="shared" si="78"/>
        <v>0.46800000000000003</v>
      </c>
      <c r="AG1695" s="11">
        <f t="shared" si="79"/>
        <v>8.2680000000000007</v>
      </c>
      <c r="AH1695" s="11">
        <v>0</v>
      </c>
      <c r="AI1695" s="11">
        <f t="shared" si="80"/>
        <v>8.2680000000000007</v>
      </c>
      <c r="AJ1695" t="s">
        <v>62</v>
      </c>
    </row>
    <row r="1696" spans="1:36" ht="15" customHeight="1" x14ac:dyDescent="0.35">
      <c r="A1696">
        <v>10428918</v>
      </c>
      <c r="B1696" t="s">
        <v>36</v>
      </c>
      <c r="C1696" t="s">
        <v>37</v>
      </c>
      <c r="D1696" s="6" t="s">
        <v>38</v>
      </c>
      <c r="E1696" t="s">
        <v>5006</v>
      </c>
      <c r="G1696" t="s">
        <v>41</v>
      </c>
      <c r="H1696" t="s">
        <v>5007</v>
      </c>
      <c r="I1696" t="s">
        <v>43</v>
      </c>
      <c r="J1696">
        <v>2</v>
      </c>
      <c r="K1696" t="s">
        <v>44</v>
      </c>
      <c r="L1696" t="s">
        <v>45</v>
      </c>
      <c r="M1696" t="s">
        <v>46</v>
      </c>
      <c r="N1696" s="7">
        <v>1</v>
      </c>
      <c r="O1696" s="8">
        <v>45653.814317129632</v>
      </c>
      <c r="P1696" s="9">
        <v>45656</v>
      </c>
      <c r="Q1696" t="s">
        <v>74</v>
      </c>
      <c r="R1696" t="s">
        <v>48</v>
      </c>
      <c r="S1696" t="s">
        <v>49</v>
      </c>
      <c r="T1696" t="s">
        <v>80</v>
      </c>
      <c r="U1696" t="s">
        <v>5008</v>
      </c>
      <c r="V1696">
        <v>8000</v>
      </c>
      <c r="W1696" t="s">
        <v>48</v>
      </c>
      <c r="X1696" t="s">
        <v>53</v>
      </c>
      <c r="Y1696" t="s">
        <v>54</v>
      </c>
      <c r="Z1696" s="12">
        <f>IF(N1696&lt;=1,9,9+0.8*ROUNDUP(N1696-1,0))</f>
        <v>9</v>
      </c>
      <c r="AA1696" s="11">
        <v>-2</v>
      </c>
      <c r="AB1696" s="11">
        <v>0</v>
      </c>
      <c r="AC1696" s="11">
        <v>0</v>
      </c>
      <c r="AD1696" s="11">
        <v>0</v>
      </c>
      <c r="AE1696" s="11">
        <v>0</v>
      </c>
      <c r="AF1696" s="11">
        <f t="shared" si="78"/>
        <v>0.42</v>
      </c>
      <c r="AG1696" s="11">
        <f t="shared" si="79"/>
        <v>7.42</v>
      </c>
      <c r="AH1696" s="11">
        <v>0</v>
      </c>
      <c r="AI1696" s="11">
        <f t="shared" si="80"/>
        <v>7.42</v>
      </c>
      <c r="AJ1696" t="s">
        <v>62</v>
      </c>
    </row>
    <row r="1697" spans="1:36" ht="15" customHeight="1" x14ac:dyDescent="0.35">
      <c r="A1697">
        <v>10428918</v>
      </c>
      <c r="B1697" t="s">
        <v>36</v>
      </c>
      <c r="C1697" t="s">
        <v>37</v>
      </c>
      <c r="D1697" s="6" t="s">
        <v>38</v>
      </c>
      <c r="E1697" t="s">
        <v>5009</v>
      </c>
      <c r="G1697" t="s">
        <v>41</v>
      </c>
      <c r="H1697" t="s">
        <v>5010</v>
      </c>
      <c r="I1697" t="s">
        <v>43</v>
      </c>
      <c r="J1697">
        <v>2</v>
      </c>
      <c r="K1697" t="s">
        <v>44</v>
      </c>
      <c r="L1697" t="s">
        <v>45</v>
      </c>
      <c r="M1697" t="s">
        <v>46</v>
      </c>
      <c r="N1697" s="7">
        <v>1</v>
      </c>
      <c r="O1697" s="8">
        <v>45655.664548611108</v>
      </c>
      <c r="P1697" s="9">
        <v>45656</v>
      </c>
      <c r="Q1697" t="s">
        <v>74</v>
      </c>
      <c r="R1697" t="s">
        <v>48</v>
      </c>
      <c r="S1697" t="s">
        <v>49</v>
      </c>
      <c r="T1697" t="s">
        <v>90</v>
      </c>
      <c r="U1697" t="s">
        <v>5011</v>
      </c>
      <c r="V1697">
        <v>24300</v>
      </c>
      <c r="W1697" t="s">
        <v>48</v>
      </c>
      <c r="X1697" t="s">
        <v>92</v>
      </c>
      <c r="Y1697" t="s">
        <v>54</v>
      </c>
      <c r="Z1697" s="12">
        <f>IF(N1697&lt;=1,9,9+0.8*ROUNDUP(N1697-1,0))</f>
        <v>9</v>
      </c>
      <c r="AA1697" s="11">
        <v>-2</v>
      </c>
      <c r="AB1697" s="11">
        <v>0</v>
      </c>
      <c r="AC1697" s="11">
        <v>0</v>
      </c>
      <c r="AD1697" s="11">
        <v>0</v>
      </c>
      <c r="AE1697" s="11">
        <v>0</v>
      </c>
      <c r="AF1697" s="11">
        <f t="shared" si="78"/>
        <v>0.42</v>
      </c>
      <c r="AG1697" s="11">
        <f t="shared" si="79"/>
        <v>7.42</v>
      </c>
      <c r="AH1697" s="11">
        <v>0</v>
      </c>
      <c r="AI1697" s="11">
        <f t="shared" si="80"/>
        <v>7.42</v>
      </c>
      <c r="AJ1697" t="s">
        <v>62</v>
      </c>
    </row>
    <row r="1698" spans="1:36" ht="15" customHeight="1" x14ac:dyDescent="0.35">
      <c r="A1698">
        <v>10428918</v>
      </c>
      <c r="B1698" t="s">
        <v>36</v>
      </c>
      <c r="C1698" t="s">
        <v>37</v>
      </c>
      <c r="D1698" s="6" t="s">
        <v>38</v>
      </c>
      <c r="E1698" t="s">
        <v>5012</v>
      </c>
      <c r="G1698" t="s">
        <v>41</v>
      </c>
      <c r="H1698" t="s">
        <v>5013</v>
      </c>
      <c r="I1698" t="s">
        <v>43</v>
      </c>
      <c r="J1698">
        <v>2</v>
      </c>
      <c r="K1698" t="s">
        <v>44</v>
      </c>
      <c r="L1698" t="s">
        <v>45</v>
      </c>
      <c r="M1698" t="s">
        <v>46</v>
      </c>
      <c r="N1698" s="7">
        <v>2</v>
      </c>
      <c r="O1698" s="8">
        <v>45654.416643518518</v>
      </c>
      <c r="P1698" s="9">
        <v>45656</v>
      </c>
      <c r="Q1698" t="s">
        <v>74</v>
      </c>
      <c r="R1698" t="s">
        <v>48</v>
      </c>
      <c r="S1698" t="s">
        <v>49</v>
      </c>
      <c r="T1698" t="s">
        <v>101</v>
      </c>
      <c r="U1698" t="s">
        <v>5014</v>
      </c>
      <c r="V1698">
        <v>31000</v>
      </c>
      <c r="W1698" t="s">
        <v>48</v>
      </c>
      <c r="X1698" t="s">
        <v>53</v>
      </c>
      <c r="Y1698" t="s">
        <v>54</v>
      </c>
      <c r="Z1698" s="12">
        <f>IF(N1698&lt;=1,9,9+0.8*ROUNDUP(N1698-1,0))</f>
        <v>9.8000000000000007</v>
      </c>
      <c r="AA1698" s="11">
        <v>-2</v>
      </c>
      <c r="AB1698" s="11">
        <v>0</v>
      </c>
      <c r="AC1698" s="11">
        <v>0</v>
      </c>
      <c r="AD1698" s="11">
        <v>0</v>
      </c>
      <c r="AE1698" s="11">
        <v>0</v>
      </c>
      <c r="AF1698" s="11">
        <f t="shared" si="78"/>
        <v>0.46800000000000003</v>
      </c>
      <c r="AG1698" s="11">
        <f t="shared" si="79"/>
        <v>8.2680000000000007</v>
      </c>
      <c r="AH1698" s="11">
        <v>0</v>
      </c>
      <c r="AI1698" s="11">
        <f t="shared" si="80"/>
        <v>8.2680000000000007</v>
      </c>
      <c r="AJ1698" t="s">
        <v>62</v>
      </c>
    </row>
    <row r="1699" spans="1:36" ht="15" customHeight="1" x14ac:dyDescent="0.35">
      <c r="A1699">
        <v>10428918</v>
      </c>
      <c r="B1699" t="s">
        <v>36</v>
      </c>
      <c r="C1699" t="s">
        <v>37</v>
      </c>
      <c r="D1699" s="6" t="s">
        <v>38</v>
      </c>
      <c r="E1699" t="s">
        <v>5015</v>
      </c>
      <c r="G1699" t="s">
        <v>41</v>
      </c>
      <c r="H1699" t="s">
        <v>5016</v>
      </c>
      <c r="I1699" t="s">
        <v>43</v>
      </c>
      <c r="J1699">
        <v>2</v>
      </c>
      <c r="K1699" t="s">
        <v>44</v>
      </c>
      <c r="L1699" t="s">
        <v>45</v>
      </c>
      <c r="M1699" t="s">
        <v>46</v>
      </c>
      <c r="N1699" s="7">
        <v>1</v>
      </c>
      <c r="O1699" s="8">
        <v>45654.650868055556</v>
      </c>
      <c r="P1699" s="9">
        <v>45656</v>
      </c>
      <c r="Q1699" t="s">
        <v>74</v>
      </c>
      <c r="R1699" t="s">
        <v>48</v>
      </c>
      <c r="S1699" t="s">
        <v>49</v>
      </c>
      <c r="T1699" t="s">
        <v>59</v>
      </c>
      <c r="U1699" t="s">
        <v>5017</v>
      </c>
      <c r="V1699">
        <v>16080</v>
      </c>
      <c r="W1699" t="s">
        <v>48</v>
      </c>
      <c r="X1699" t="s">
        <v>2317</v>
      </c>
      <c r="Y1699" t="s">
        <v>54</v>
      </c>
      <c r="Z1699" s="12">
        <f>IF(N1699&lt;=1,9,9+0.8*ROUNDUP(N1699-1,0))</f>
        <v>9</v>
      </c>
      <c r="AA1699" s="11">
        <v>-2</v>
      </c>
      <c r="AB1699" s="11">
        <v>0</v>
      </c>
      <c r="AC1699" s="11">
        <v>0</v>
      </c>
      <c r="AD1699" s="11">
        <v>0</v>
      </c>
      <c r="AE1699" s="11">
        <v>0</v>
      </c>
      <c r="AF1699" s="11">
        <f t="shared" si="78"/>
        <v>0.42</v>
      </c>
      <c r="AG1699" s="11">
        <f t="shared" si="79"/>
        <v>7.42</v>
      </c>
      <c r="AH1699" s="11">
        <v>0</v>
      </c>
      <c r="AI1699" s="11">
        <f t="shared" si="80"/>
        <v>7.42</v>
      </c>
      <c r="AJ1699" t="s">
        <v>62</v>
      </c>
    </row>
    <row r="1700" spans="1:36" ht="15" customHeight="1" x14ac:dyDescent="0.35">
      <c r="A1700">
        <v>10428918</v>
      </c>
      <c r="B1700" t="s">
        <v>36</v>
      </c>
      <c r="C1700" t="s">
        <v>37</v>
      </c>
      <c r="D1700" s="6" t="s">
        <v>38</v>
      </c>
      <c r="E1700" t="s">
        <v>5018</v>
      </c>
      <c r="G1700" t="s">
        <v>41</v>
      </c>
      <c r="H1700" t="s">
        <v>5019</v>
      </c>
      <c r="I1700" t="s">
        <v>43</v>
      </c>
      <c r="J1700">
        <v>2</v>
      </c>
      <c r="K1700" t="s">
        <v>44</v>
      </c>
      <c r="L1700" t="s">
        <v>45</v>
      </c>
      <c r="M1700" t="s">
        <v>46</v>
      </c>
      <c r="N1700" s="7">
        <v>1</v>
      </c>
      <c r="O1700" s="8">
        <v>45654.483726851853</v>
      </c>
      <c r="P1700" s="9">
        <v>45656</v>
      </c>
      <c r="Q1700" t="s">
        <v>74</v>
      </c>
      <c r="R1700" t="s">
        <v>48</v>
      </c>
      <c r="S1700" t="s">
        <v>49</v>
      </c>
      <c r="T1700" t="s">
        <v>69</v>
      </c>
      <c r="U1700" t="s">
        <v>5020</v>
      </c>
      <c r="V1700">
        <v>83000</v>
      </c>
      <c r="W1700" t="s">
        <v>48</v>
      </c>
      <c r="X1700" t="s">
        <v>71</v>
      </c>
      <c r="Y1700" t="s">
        <v>54</v>
      </c>
      <c r="Z1700" s="12">
        <f>IF(N1700&lt;=1,9,9+0.8*ROUNDUP(N1700-1,0))</f>
        <v>9</v>
      </c>
      <c r="AA1700" s="11">
        <v>-2</v>
      </c>
      <c r="AB1700" s="11">
        <v>0</v>
      </c>
      <c r="AC1700" s="11">
        <v>0</v>
      </c>
      <c r="AD1700" s="11">
        <v>0</v>
      </c>
      <c r="AE1700" s="11">
        <v>0</v>
      </c>
      <c r="AF1700" s="11">
        <f t="shared" si="78"/>
        <v>0.42</v>
      </c>
      <c r="AG1700" s="11">
        <f t="shared" si="79"/>
        <v>7.42</v>
      </c>
      <c r="AH1700" s="11">
        <v>0</v>
      </c>
      <c r="AI1700" s="11">
        <f t="shared" si="80"/>
        <v>7.42</v>
      </c>
      <c r="AJ1700" t="s">
        <v>62</v>
      </c>
    </row>
    <row r="1701" spans="1:36" ht="15" customHeight="1" x14ac:dyDescent="0.35">
      <c r="A1701">
        <v>10428918</v>
      </c>
      <c r="B1701" t="s">
        <v>36</v>
      </c>
      <c r="C1701" t="s">
        <v>37</v>
      </c>
      <c r="D1701" s="6" t="s">
        <v>38</v>
      </c>
      <c r="E1701" t="s">
        <v>5021</v>
      </c>
      <c r="G1701" t="s">
        <v>41</v>
      </c>
      <c r="H1701" t="s">
        <v>5022</v>
      </c>
      <c r="I1701" t="s">
        <v>43</v>
      </c>
      <c r="J1701">
        <v>2</v>
      </c>
      <c r="K1701" t="s">
        <v>44</v>
      </c>
      <c r="L1701" t="s">
        <v>45</v>
      </c>
      <c r="M1701" t="s">
        <v>46</v>
      </c>
      <c r="N1701" s="7">
        <v>1</v>
      </c>
      <c r="O1701" s="8">
        <v>45653.793009259258</v>
      </c>
      <c r="P1701" s="9">
        <v>45656</v>
      </c>
      <c r="Q1701" t="s">
        <v>74</v>
      </c>
      <c r="R1701" t="s">
        <v>48</v>
      </c>
      <c r="S1701" t="s">
        <v>49</v>
      </c>
      <c r="T1701" t="s">
        <v>80</v>
      </c>
      <c r="U1701" t="s">
        <v>5023</v>
      </c>
      <c r="V1701">
        <v>9200</v>
      </c>
      <c r="W1701" t="s">
        <v>48</v>
      </c>
      <c r="X1701" t="s">
        <v>1388</v>
      </c>
      <c r="Y1701" t="s">
        <v>54</v>
      </c>
      <c r="Z1701" s="12">
        <f>IF(N1701&lt;=1,9,9+0.8*ROUNDUP(N1701-1,0))</f>
        <v>9</v>
      </c>
      <c r="AA1701" s="11">
        <v>-2</v>
      </c>
      <c r="AB1701" s="11">
        <v>0</v>
      </c>
      <c r="AC1701" s="11">
        <v>0</v>
      </c>
      <c r="AD1701" s="11">
        <v>0</v>
      </c>
      <c r="AE1701" s="11">
        <v>0</v>
      </c>
      <c r="AF1701" s="11">
        <f t="shared" si="78"/>
        <v>0.42</v>
      </c>
      <c r="AG1701" s="11">
        <f t="shared" si="79"/>
        <v>7.42</v>
      </c>
      <c r="AH1701" s="11">
        <v>0</v>
      </c>
      <c r="AI1701" s="11">
        <f t="shared" si="80"/>
        <v>7.42</v>
      </c>
      <c r="AJ1701" t="s">
        <v>62</v>
      </c>
    </row>
    <row r="1702" spans="1:36" ht="15" customHeight="1" x14ac:dyDescent="0.35">
      <c r="A1702">
        <v>10428918</v>
      </c>
      <c r="B1702" t="s">
        <v>36</v>
      </c>
      <c r="C1702" t="s">
        <v>37</v>
      </c>
      <c r="D1702" s="6" t="s">
        <v>38</v>
      </c>
      <c r="E1702" t="s">
        <v>5024</v>
      </c>
      <c r="G1702" t="s">
        <v>41</v>
      </c>
      <c r="H1702" t="s">
        <v>4418</v>
      </c>
      <c r="I1702" t="s">
        <v>43</v>
      </c>
      <c r="J1702">
        <v>2</v>
      </c>
      <c r="K1702" t="s">
        <v>44</v>
      </c>
      <c r="L1702" t="s">
        <v>45</v>
      </c>
      <c r="M1702" t="s">
        <v>46</v>
      </c>
      <c r="N1702" s="7">
        <v>1</v>
      </c>
      <c r="O1702" s="8">
        <v>45652.882372685184</v>
      </c>
      <c r="P1702" s="9">
        <v>45656</v>
      </c>
      <c r="Q1702" t="s">
        <v>58</v>
      </c>
      <c r="R1702" t="s">
        <v>48</v>
      </c>
      <c r="S1702" t="s">
        <v>49</v>
      </c>
      <c r="T1702" t="s">
        <v>65</v>
      </c>
      <c r="U1702" t="s">
        <v>4419</v>
      </c>
      <c r="V1702">
        <v>75000</v>
      </c>
      <c r="W1702" t="s">
        <v>48</v>
      </c>
      <c r="X1702" t="s">
        <v>53</v>
      </c>
      <c r="Y1702" t="s">
        <v>54</v>
      </c>
      <c r="Z1702" s="12">
        <f>IF(N1702&lt;=1,9,9+0.8*ROUNDUP(N1702-1,0))</f>
        <v>9</v>
      </c>
      <c r="AA1702" s="11">
        <v>-2</v>
      </c>
      <c r="AB1702" s="11">
        <v>0</v>
      </c>
      <c r="AC1702" s="11">
        <v>0</v>
      </c>
      <c r="AD1702" s="11">
        <v>0</v>
      </c>
      <c r="AE1702" s="11">
        <v>0</v>
      </c>
      <c r="AF1702" s="11">
        <f t="shared" si="78"/>
        <v>0.42</v>
      </c>
      <c r="AG1702" s="11">
        <f t="shared" si="79"/>
        <v>7.42</v>
      </c>
      <c r="AH1702" s="11">
        <v>0</v>
      </c>
      <c r="AI1702" s="11">
        <f t="shared" si="80"/>
        <v>7.42</v>
      </c>
      <c r="AJ1702" t="s">
        <v>62</v>
      </c>
    </row>
    <row r="1703" spans="1:36" ht="15" customHeight="1" x14ac:dyDescent="0.35">
      <c r="A1703">
        <v>10428918</v>
      </c>
      <c r="B1703" t="s">
        <v>36</v>
      </c>
      <c r="C1703" t="s">
        <v>37</v>
      </c>
      <c r="D1703" s="6" t="s">
        <v>38</v>
      </c>
      <c r="E1703" t="s">
        <v>5025</v>
      </c>
      <c r="G1703" t="s">
        <v>41</v>
      </c>
      <c r="H1703" t="s">
        <v>5026</v>
      </c>
      <c r="I1703" t="s">
        <v>43</v>
      </c>
      <c r="J1703">
        <v>2</v>
      </c>
      <c r="K1703" t="s">
        <v>44</v>
      </c>
      <c r="L1703" t="s">
        <v>45</v>
      </c>
      <c r="M1703" t="s">
        <v>46</v>
      </c>
      <c r="N1703" s="7">
        <v>1</v>
      </c>
      <c r="O1703" s="8">
        <v>45654.778796296298</v>
      </c>
      <c r="P1703" s="9">
        <v>45656</v>
      </c>
      <c r="Q1703" t="s">
        <v>74</v>
      </c>
      <c r="R1703" t="s">
        <v>48</v>
      </c>
      <c r="S1703" t="s">
        <v>49</v>
      </c>
      <c r="T1703" t="s">
        <v>117</v>
      </c>
      <c r="U1703" t="s">
        <v>5027</v>
      </c>
      <c r="V1703">
        <v>43800</v>
      </c>
      <c r="W1703" t="s">
        <v>48</v>
      </c>
      <c r="X1703" t="s">
        <v>532</v>
      </c>
      <c r="Y1703" t="s">
        <v>54</v>
      </c>
      <c r="Z1703" s="12">
        <f>IF(N1703&lt;=1,9,9+0.8*ROUNDUP(N1703-1,0))</f>
        <v>9</v>
      </c>
      <c r="AA1703" s="11">
        <v>-2</v>
      </c>
      <c r="AB1703" s="11">
        <v>0</v>
      </c>
      <c r="AC1703" s="11">
        <v>0</v>
      </c>
      <c r="AD1703" s="11">
        <v>0</v>
      </c>
      <c r="AE1703" s="11">
        <v>0</v>
      </c>
      <c r="AF1703" s="11">
        <f t="shared" si="78"/>
        <v>0.42</v>
      </c>
      <c r="AG1703" s="11">
        <f t="shared" si="79"/>
        <v>7.42</v>
      </c>
      <c r="AH1703" s="11">
        <v>0</v>
      </c>
      <c r="AI1703" s="11">
        <f t="shared" si="80"/>
        <v>7.42</v>
      </c>
      <c r="AJ1703" t="s">
        <v>62</v>
      </c>
    </row>
    <row r="1704" spans="1:36" ht="15" customHeight="1" x14ac:dyDescent="0.35">
      <c r="A1704">
        <v>10428918</v>
      </c>
      <c r="B1704" t="s">
        <v>36</v>
      </c>
      <c r="C1704" t="s">
        <v>37</v>
      </c>
      <c r="D1704" s="6" t="s">
        <v>38</v>
      </c>
      <c r="E1704" t="s">
        <v>5028</v>
      </c>
      <c r="G1704" t="s">
        <v>41</v>
      </c>
      <c r="H1704" t="s">
        <v>554</v>
      </c>
      <c r="I1704" t="s">
        <v>43</v>
      </c>
      <c r="J1704">
        <v>2</v>
      </c>
      <c r="K1704" t="s">
        <v>44</v>
      </c>
      <c r="L1704" t="s">
        <v>45</v>
      </c>
      <c r="M1704" t="s">
        <v>46</v>
      </c>
      <c r="N1704" s="7">
        <v>1</v>
      </c>
      <c r="O1704" s="8">
        <v>45654.64403935185</v>
      </c>
      <c r="P1704" s="9">
        <v>45656</v>
      </c>
      <c r="Q1704" t="s">
        <v>74</v>
      </c>
      <c r="R1704" t="s">
        <v>48</v>
      </c>
      <c r="S1704" t="s">
        <v>49</v>
      </c>
      <c r="T1704" t="s">
        <v>117</v>
      </c>
      <c r="U1704" t="s">
        <v>555</v>
      </c>
      <c r="V1704">
        <v>47000</v>
      </c>
      <c r="W1704" t="s">
        <v>48</v>
      </c>
      <c r="X1704" t="s">
        <v>556</v>
      </c>
      <c r="Y1704" t="s">
        <v>54</v>
      </c>
      <c r="Z1704" s="12">
        <f>IF(N1704&lt;=1,9,9+0.8*ROUNDUP(N1704-1,0))</f>
        <v>9</v>
      </c>
      <c r="AA1704" s="11">
        <v>-2</v>
      </c>
      <c r="AB1704" s="11">
        <v>0</v>
      </c>
      <c r="AC1704" s="11">
        <v>0</v>
      </c>
      <c r="AD1704" s="11">
        <v>0</v>
      </c>
      <c r="AE1704" s="11">
        <v>0</v>
      </c>
      <c r="AF1704" s="11">
        <f t="shared" si="78"/>
        <v>0.42</v>
      </c>
      <c r="AG1704" s="11">
        <f t="shared" si="79"/>
        <v>7.42</v>
      </c>
      <c r="AH1704" s="11">
        <v>0</v>
      </c>
      <c r="AI1704" s="11">
        <f t="shared" si="80"/>
        <v>7.42</v>
      </c>
      <c r="AJ1704" t="s">
        <v>62</v>
      </c>
    </row>
    <row r="1705" spans="1:36" ht="15" customHeight="1" x14ac:dyDescent="0.35">
      <c r="A1705">
        <v>10428918</v>
      </c>
      <c r="B1705" t="s">
        <v>36</v>
      </c>
      <c r="C1705" t="s">
        <v>37</v>
      </c>
      <c r="D1705" s="6" t="s">
        <v>38</v>
      </c>
      <c r="E1705" t="s">
        <v>5029</v>
      </c>
      <c r="G1705" t="s">
        <v>41</v>
      </c>
      <c r="H1705" t="s">
        <v>5030</v>
      </c>
      <c r="I1705" t="s">
        <v>43</v>
      </c>
      <c r="J1705">
        <v>2</v>
      </c>
      <c r="K1705" t="s">
        <v>44</v>
      </c>
      <c r="L1705" t="s">
        <v>45</v>
      </c>
      <c r="M1705" t="s">
        <v>46</v>
      </c>
      <c r="N1705" s="7">
        <v>1</v>
      </c>
      <c r="O1705" s="8">
        <v>45654.729837962965</v>
      </c>
      <c r="P1705" s="9">
        <v>45656</v>
      </c>
      <c r="Q1705" t="s">
        <v>74</v>
      </c>
      <c r="R1705" t="s">
        <v>48</v>
      </c>
      <c r="S1705" t="s">
        <v>49</v>
      </c>
      <c r="T1705" t="s">
        <v>65</v>
      </c>
      <c r="U1705" t="s">
        <v>5031</v>
      </c>
      <c r="V1705">
        <v>78000</v>
      </c>
      <c r="W1705" t="s">
        <v>48</v>
      </c>
      <c r="X1705" t="s">
        <v>448</v>
      </c>
      <c r="Y1705" t="s">
        <v>54</v>
      </c>
      <c r="Z1705" s="12">
        <f>IF(N1705&lt;=1,9,9+0.8*ROUNDUP(N1705-1,0))</f>
        <v>9</v>
      </c>
      <c r="AA1705" s="11">
        <v>-2</v>
      </c>
      <c r="AB1705" s="11">
        <v>0</v>
      </c>
      <c r="AC1705" s="11">
        <v>0</v>
      </c>
      <c r="AD1705" s="11">
        <v>0</v>
      </c>
      <c r="AE1705" s="11">
        <v>0</v>
      </c>
      <c r="AF1705" s="11">
        <f t="shared" si="78"/>
        <v>0.42</v>
      </c>
      <c r="AG1705" s="11">
        <f t="shared" si="79"/>
        <v>7.42</v>
      </c>
      <c r="AH1705" s="11">
        <v>0</v>
      </c>
      <c r="AI1705" s="11">
        <f t="shared" si="80"/>
        <v>7.42</v>
      </c>
      <c r="AJ1705" t="s">
        <v>62</v>
      </c>
    </row>
    <row r="1706" spans="1:36" ht="15" customHeight="1" x14ac:dyDescent="0.35">
      <c r="A1706">
        <v>10428918</v>
      </c>
      <c r="B1706" t="s">
        <v>36</v>
      </c>
      <c r="C1706" t="s">
        <v>37</v>
      </c>
      <c r="D1706" s="6" t="s">
        <v>38</v>
      </c>
      <c r="E1706" t="s">
        <v>5032</v>
      </c>
      <c r="G1706" t="s">
        <v>41</v>
      </c>
      <c r="H1706" t="s">
        <v>5033</v>
      </c>
      <c r="I1706" t="s">
        <v>43</v>
      </c>
      <c r="J1706">
        <v>2</v>
      </c>
      <c r="K1706" t="s">
        <v>44</v>
      </c>
      <c r="L1706" t="s">
        <v>45</v>
      </c>
      <c r="M1706" t="s">
        <v>46</v>
      </c>
      <c r="N1706" s="7">
        <v>1</v>
      </c>
      <c r="O1706" s="8">
        <v>45655.600856481484</v>
      </c>
      <c r="P1706" s="9">
        <v>45656</v>
      </c>
      <c r="Q1706" t="s">
        <v>74</v>
      </c>
      <c r="R1706" t="s">
        <v>48</v>
      </c>
      <c r="S1706" t="s">
        <v>49</v>
      </c>
      <c r="T1706" t="s">
        <v>117</v>
      </c>
      <c r="U1706" t="s">
        <v>5034</v>
      </c>
      <c r="V1706">
        <v>43650</v>
      </c>
      <c r="W1706" t="s">
        <v>48</v>
      </c>
      <c r="X1706" t="s">
        <v>191</v>
      </c>
      <c r="Y1706" t="s">
        <v>54</v>
      </c>
      <c r="Z1706" s="12">
        <f>IF(N1706&lt;=1,9,9+0.8*ROUNDUP(N1706-1,0))</f>
        <v>9</v>
      </c>
      <c r="AA1706" s="11">
        <v>-2</v>
      </c>
      <c r="AB1706" s="11">
        <v>0</v>
      </c>
      <c r="AC1706" s="11">
        <v>0</v>
      </c>
      <c r="AD1706" s="11">
        <v>0</v>
      </c>
      <c r="AE1706" s="11">
        <v>0</v>
      </c>
      <c r="AF1706" s="11">
        <f t="shared" si="78"/>
        <v>0.42</v>
      </c>
      <c r="AG1706" s="11">
        <f t="shared" si="79"/>
        <v>7.42</v>
      </c>
      <c r="AH1706" s="11">
        <v>0</v>
      </c>
      <c r="AI1706" s="11">
        <f t="shared" si="80"/>
        <v>7.42</v>
      </c>
      <c r="AJ1706" t="s">
        <v>62</v>
      </c>
    </row>
    <row r="1707" spans="1:36" ht="15" customHeight="1" x14ac:dyDescent="0.35">
      <c r="A1707">
        <v>10428918</v>
      </c>
      <c r="B1707" t="s">
        <v>36</v>
      </c>
      <c r="C1707" t="s">
        <v>37</v>
      </c>
      <c r="D1707" s="6" t="s">
        <v>38</v>
      </c>
      <c r="E1707" t="s">
        <v>5035</v>
      </c>
      <c r="G1707" t="s">
        <v>41</v>
      </c>
      <c r="H1707" t="s">
        <v>5036</v>
      </c>
      <c r="I1707" t="s">
        <v>43</v>
      </c>
      <c r="J1707">
        <v>2</v>
      </c>
      <c r="K1707" t="s">
        <v>44</v>
      </c>
      <c r="L1707" t="s">
        <v>45</v>
      </c>
      <c r="M1707" t="s">
        <v>46</v>
      </c>
      <c r="N1707" s="7">
        <v>3</v>
      </c>
      <c r="O1707" s="8">
        <v>45654.64403935185</v>
      </c>
      <c r="P1707" s="9">
        <v>45656</v>
      </c>
      <c r="Q1707" t="s">
        <v>74</v>
      </c>
      <c r="R1707" t="s">
        <v>48</v>
      </c>
      <c r="S1707" t="s">
        <v>49</v>
      </c>
      <c r="T1707" t="s">
        <v>59</v>
      </c>
      <c r="U1707" t="s">
        <v>5037</v>
      </c>
      <c r="V1707">
        <v>15200</v>
      </c>
      <c r="W1707" t="s">
        <v>48</v>
      </c>
      <c r="X1707" t="s">
        <v>61</v>
      </c>
      <c r="Y1707" t="s">
        <v>54</v>
      </c>
      <c r="Z1707" s="12">
        <f>IF(N1707&lt;=1,9,9+0.8*ROUNDUP(N1707-1,0))</f>
        <v>10.6</v>
      </c>
      <c r="AA1707" s="11">
        <v>-2</v>
      </c>
      <c r="AB1707" s="11">
        <v>0</v>
      </c>
      <c r="AC1707" s="11">
        <v>0</v>
      </c>
      <c r="AD1707" s="11">
        <v>0</v>
      </c>
      <c r="AE1707" s="11">
        <v>0</v>
      </c>
      <c r="AF1707" s="11">
        <f t="shared" si="78"/>
        <v>0.51600000000000001</v>
      </c>
      <c r="AG1707" s="11">
        <f t="shared" si="79"/>
        <v>9.1159999999999997</v>
      </c>
      <c r="AH1707" s="11">
        <v>0</v>
      </c>
      <c r="AI1707" s="11">
        <f t="shared" si="80"/>
        <v>9.1159999999999997</v>
      </c>
      <c r="AJ1707" t="s">
        <v>62</v>
      </c>
    </row>
    <row r="1708" spans="1:36" ht="15" customHeight="1" x14ac:dyDescent="0.35">
      <c r="A1708">
        <v>10428918</v>
      </c>
      <c r="B1708" t="s">
        <v>36</v>
      </c>
      <c r="C1708" t="s">
        <v>37</v>
      </c>
      <c r="D1708" s="6" t="s">
        <v>38</v>
      </c>
      <c r="E1708" t="s">
        <v>5038</v>
      </c>
      <c r="G1708" t="s">
        <v>41</v>
      </c>
      <c r="H1708" t="s">
        <v>5039</v>
      </c>
      <c r="I1708" t="s">
        <v>43</v>
      </c>
      <c r="J1708">
        <v>2</v>
      </c>
      <c r="K1708" t="s">
        <v>44</v>
      </c>
      <c r="L1708" t="s">
        <v>45</v>
      </c>
      <c r="M1708" t="s">
        <v>46</v>
      </c>
      <c r="N1708" s="7">
        <v>1</v>
      </c>
      <c r="O1708" s="8">
        <v>45655.61215277778</v>
      </c>
      <c r="P1708" s="9">
        <v>45656</v>
      </c>
      <c r="Q1708" t="s">
        <v>74</v>
      </c>
      <c r="R1708" t="s">
        <v>48</v>
      </c>
      <c r="S1708" t="s">
        <v>49</v>
      </c>
      <c r="T1708" t="s">
        <v>90</v>
      </c>
      <c r="U1708" t="s">
        <v>5040</v>
      </c>
      <c r="V1708">
        <v>24000</v>
      </c>
      <c r="W1708" t="s">
        <v>48</v>
      </c>
      <c r="X1708" t="s">
        <v>77</v>
      </c>
      <c r="Y1708" t="s">
        <v>54</v>
      </c>
      <c r="Z1708" s="12">
        <f>IF(N1708&lt;=1,9,9+0.8*ROUNDUP(N1708-1,0))</f>
        <v>9</v>
      </c>
      <c r="AA1708" s="11">
        <v>-2</v>
      </c>
      <c r="AB1708" s="11">
        <v>0</v>
      </c>
      <c r="AC1708" s="11">
        <v>0</v>
      </c>
      <c r="AD1708" s="11">
        <v>0</v>
      </c>
      <c r="AE1708" s="11">
        <v>0</v>
      </c>
      <c r="AF1708" s="11">
        <f t="shared" si="78"/>
        <v>0.42</v>
      </c>
      <c r="AG1708" s="11">
        <f t="shared" si="79"/>
        <v>7.42</v>
      </c>
      <c r="AH1708" s="11">
        <v>0</v>
      </c>
      <c r="AI1708" s="11">
        <f t="shared" si="80"/>
        <v>7.42</v>
      </c>
      <c r="AJ1708" t="s">
        <v>62</v>
      </c>
    </row>
    <row r="1709" spans="1:36" ht="15" customHeight="1" x14ac:dyDescent="0.35">
      <c r="A1709">
        <v>10428918</v>
      </c>
      <c r="B1709" t="s">
        <v>36</v>
      </c>
      <c r="C1709" t="s">
        <v>37</v>
      </c>
      <c r="D1709" s="6" t="s">
        <v>38</v>
      </c>
      <c r="E1709" t="s">
        <v>5041</v>
      </c>
      <c r="G1709" t="s">
        <v>41</v>
      </c>
      <c r="H1709" t="s">
        <v>5042</v>
      </c>
      <c r="I1709" t="s">
        <v>43</v>
      </c>
      <c r="J1709">
        <v>2</v>
      </c>
      <c r="K1709" t="s">
        <v>44</v>
      </c>
      <c r="L1709" t="s">
        <v>45</v>
      </c>
      <c r="M1709" t="s">
        <v>46</v>
      </c>
      <c r="N1709" s="7">
        <v>1</v>
      </c>
      <c r="O1709" s="8">
        <v>45655.659074074072</v>
      </c>
      <c r="P1709" s="9">
        <v>45656</v>
      </c>
      <c r="Q1709" t="s">
        <v>74</v>
      </c>
      <c r="R1709" t="s">
        <v>48</v>
      </c>
      <c r="S1709" t="s">
        <v>49</v>
      </c>
      <c r="T1709" t="s">
        <v>59</v>
      </c>
      <c r="U1709" t="s">
        <v>5043</v>
      </c>
      <c r="V1709">
        <v>18000</v>
      </c>
      <c r="W1709" t="s">
        <v>48</v>
      </c>
      <c r="X1709" t="s">
        <v>2151</v>
      </c>
      <c r="Y1709" t="s">
        <v>54</v>
      </c>
      <c r="Z1709" s="12">
        <f>IF(N1709&lt;=1,9,9+0.8*ROUNDUP(N1709-1,0))</f>
        <v>9</v>
      </c>
      <c r="AA1709" s="11">
        <v>-2</v>
      </c>
      <c r="AB1709" s="11">
        <v>0</v>
      </c>
      <c r="AC1709" s="11">
        <v>0</v>
      </c>
      <c r="AD1709" s="11">
        <v>0</v>
      </c>
      <c r="AE1709" s="11">
        <v>0</v>
      </c>
      <c r="AF1709" s="11">
        <f t="shared" si="78"/>
        <v>0.42</v>
      </c>
      <c r="AG1709" s="11">
        <f t="shared" si="79"/>
        <v>7.42</v>
      </c>
      <c r="AH1709" s="11">
        <v>0</v>
      </c>
      <c r="AI1709" s="11">
        <f t="shared" si="80"/>
        <v>7.42</v>
      </c>
      <c r="AJ1709" t="s">
        <v>62</v>
      </c>
    </row>
    <row r="1710" spans="1:36" ht="15" customHeight="1" x14ac:dyDescent="0.35">
      <c r="A1710">
        <v>10428918</v>
      </c>
      <c r="B1710" t="s">
        <v>36</v>
      </c>
      <c r="C1710" t="s">
        <v>37</v>
      </c>
      <c r="D1710" s="6" t="s">
        <v>38</v>
      </c>
      <c r="E1710" t="s">
        <v>5044</v>
      </c>
      <c r="G1710" t="s">
        <v>41</v>
      </c>
      <c r="H1710" t="s">
        <v>810</v>
      </c>
      <c r="I1710" t="s">
        <v>43</v>
      </c>
      <c r="J1710">
        <v>2</v>
      </c>
      <c r="K1710" t="s">
        <v>44</v>
      </c>
      <c r="L1710" t="s">
        <v>45</v>
      </c>
      <c r="M1710" t="s">
        <v>46</v>
      </c>
      <c r="N1710" s="7">
        <v>1</v>
      </c>
      <c r="O1710" s="8">
        <v>45654.452175925922</v>
      </c>
      <c r="P1710" s="9">
        <v>45656</v>
      </c>
      <c r="Q1710" t="s">
        <v>74</v>
      </c>
      <c r="R1710" t="s">
        <v>48</v>
      </c>
      <c r="S1710" t="s">
        <v>49</v>
      </c>
      <c r="T1710" t="s">
        <v>161</v>
      </c>
      <c r="U1710" t="s">
        <v>811</v>
      </c>
      <c r="V1710">
        <v>13200</v>
      </c>
      <c r="W1710" t="s">
        <v>48</v>
      </c>
      <c r="X1710" t="s">
        <v>812</v>
      </c>
      <c r="Y1710" t="s">
        <v>54</v>
      </c>
      <c r="Z1710" s="12">
        <f>IF(N1710&lt;=1,9,9+0.8*ROUNDUP(N1710-1,0))</f>
        <v>9</v>
      </c>
      <c r="AA1710" s="11">
        <v>-2</v>
      </c>
      <c r="AB1710" s="11">
        <v>0</v>
      </c>
      <c r="AC1710" s="11">
        <v>0</v>
      </c>
      <c r="AD1710" s="11">
        <v>0</v>
      </c>
      <c r="AE1710" s="11">
        <v>0</v>
      </c>
      <c r="AF1710" s="11">
        <f t="shared" si="78"/>
        <v>0.42</v>
      </c>
      <c r="AG1710" s="11">
        <f t="shared" si="79"/>
        <v>7.42</v>
      </c>
      <c r="AH1710" s="11">
        <v>0</v>
      </c>
      <c r="AI1710" s="11">
        <f t="shared" si="80"/>
        <v>7.42</v>
      </c>
      <c r="AJ1710" t="s">
        <v>62</v>
      </c>
    </row>
    <row r="1711" spans="1:36" ht="15" customHeight="1" x14ac:dyDescent="0.35">
      <c r="A1711">
        <v>10428918</v>
      </c>
      <c r="B1711" t="s">
        <v>36</v>
      </c>
      <c r="C1711" t="s">
        <v>37</v>
      </c>
      <c r="D1711" s="6" t="s">
        <v>38</v>
      </c>
      <c r="E1711" t="s">
        <v>5045</v>
      </c>
      <c r="G1711" t="s">
        <v>41</v>
      </c>
      <c r="H1711" t="s">
        <v>5046</v>
      </c>
      <c r="I1711" t="s">
        <v>43</v>
      </c>
      <c r="J1711">
        <v>2</v>
      </c>
      <c r="K1711" t="s">
        <v>44</v>
      </c>
      <c r="L1711" t="s">
        <v>45</v>
      </c>
      <c r="M1711" t="s">
        <v>46</v>
      </c>
      <c r="N1711" s="7">
        <v>2</v>
      </c>
      <c r="O1711" s="8">
        <v>45655.532708333332</v>
      </c>
      <c r="P1711" s="9">
        <v>45656</v>
      </c>
      <c r="Q1711" t="s">
        <v>74</v>
      </c>
      <c r="R1711" t="s">
        <v>48</v>
      </c>
      <c r="S1711" t="s">
        <v>49</v>
      </c>
      <c r="T1711" t="s">
        <v>117</v>
      </c>
      <c r="U1711" t="s">
        <v>5047</v>
      </c>
      <c r="V1711">
        <v>40400</v>
      </c>
      <c r="W1711" t="s">
        <v>48</v>
      </c>
      <c r="X1711" t="s">
        <v>943</v>
      </c>
      <c r="Y1711" t="s">
        <v>54</v>
      </c>
      <c r="Z1711" s="12">
        <f>IF(N1711&lt;=1,9,9+0.8*ROUNDUP(N1711-1,0))</f>
        <v>9.8000000000000007</v>
      </c>
      <c r="AA1711" s="11">
        <v>-2</v>
      </c>
      <c r="AB1711" s="11">
        <v>0</v>
      </c>
      <c r="AC1711" s="11">
        <v>0</v>
      </c>
      <c r="AD1711" s="11">
        <v>0</v>
      </c>
      <c r="AE1711" s="11">
        <v>0</v>
      </c>
      <c r="AF1711" s="11">
        <f t="shared" si="78"/>
        <v>0.46800000000000003</v>
      </c>
      <c r="AG1711" s="11">
        <f t="shared" si="79"/>
        <v>8.2680000000000007</v>
      </c>
      <c r="AH1711" s="11">
        <v>0</v>
      </c>
      <c r="AI1711" s="11">
        <f t="shared" si="80"/>
        <v>8.2680000000000007</v>
      </c>
      <c r="AJ1711" t="s">
        <v>62</v>
      </c>
    </row>
    <row r="1712" spans="1:36" ht="15" customHeight="1" x14ac:dyDescent="0.35">
      <c r="A1712">
        <v>10428918</v>
      </c>
      <c r="B1712" t="s">
        <v>36</v>
      </c>
      <c r="C1712" t="s">
        <v>37</v>
      </c>
      <c r="D1712" s="6" t="s">
        <v>38</v>
      </c>
      <c r="E1712" t="s">
        <v>5048</v>
      </c>
      <c r="G1712" t="s">
        <v>41</v>
      </c>
      <c r="H1712" t="s">
        <v>5049</v>
      </c>
      <c r="I1712" t="s">
        <v>43</v>
      </c>
      <c r="J1712">
        <v>2</v>
      </c>
      <c r="K1712" t="s">
        <v>44</v>
      </c>
      <c r="L1712" t="s">
        <v>45</v>
      </c>
      <c r="M1712" t="s">
        <v>46</v>
      </c>
      <c r="N1712" s="7">
        <v>1</v>
      </c>
      <c r="O1712" s="8">
        <v>45653.813715277778</v>
      </c>
      <c r="P1712" s="9">
        <v>45656</v>
      </c>
      <c r="Q1712" t="s">
        <v>74</v>
      </c>
      <c r="R1712" t="s">
        <v>48</v>
      </c>
      <c r="S1712" t="s">
        <v>49</v>
      </c>
      <c r="T1712" t="s">
        <v>65</v>
      </c>
      <c r="U1712" t="s">
        <v>5050</v>
      </c>
      <c r="V1712">
        <v>76100</v>
      </c>
      <c r="W1712" t="s">
        <v>48</v>
      </c>
      <c r="X1712" t="s">
        <v>448</v>
      </c>
      <c r="Y1712" t="s">
        <v>54</v>
      </c>
      <c r="Z1712" s="12">
        <f>IF(N1712&lt;=1,9,9+0.8*ROUNDUP(N1712-1,0))</f>
        <v>9</v>
      </c>
      <c r="AA1712" s="11">
        <v>-2</v>
      </c>
      <c r="AB1712" s="11">
        <v>0</v>
      </c>
      <c r="AC1712" s="11">
        <v>0</v>
      </c>
      <c r="AD1712" s="11">
        <v>0</v>
      </c>
      <c r="AE1712" s="11">
        <v>0</v>
      </c>
      <c r="AF1712" s="11">
        <f t="shared" si="78"/>
        <v>0.42</v>
      </c>
      <c r="AG1712" s="11">
        <f t="shared" si="79"/>
        <v>7.42</v>
      </c>
      <c r="AH1712" s="11">
        <v>0</v>
      </c>
      <c r="AI1712" s="11">
        <f t="shared" si="80"/>
        <v>7.42</v>
      </c>
      <c r="AJ1712" t="s">
        <v>62</v>
      </c>
    </row>
    <row r="1713" spans="1:36" ht="15" customHeight="1" x14ac:dyDescent="0.35">
      <c r="A1713">
        <v>10428918</v>
      </c>
      <c r="B1713" t="s">
        <v>36</v>
      </c>
      <c r="C1713" t="s">
        <v>37</v>
      </c>
      <c r="D1713" s="6" t="s">
        <v>38</v>
      </c>
      <c r="E1713" t="s">
        <v>5051</v>
      </c>
      <c r="G1713" t="s">
        <v>41</v>
      </c>
      <c r="H1713" t="s">
        <v>5052</v>
      </c>
      <c r="I1713" t="s">
        <v>43</v>
      </c>
      <c r="J1713">
        <v>2</v>
      </c>
      <c r="K1713" t="s">
        <v>44</v>
      </c>
      <c r="L1713" t="s">
        <v>45</v>
      </c>
      <c r="M1713" t="s">
        <v>46</v>
      </c>
      <c r="N1713" s="7">
        <v>2</v>
      </c>
      <c r="O1713" s="8">
        <v>45654.65965277778</v>
      </c>
      <c r="P1713" s="9">
        <v>45656</v>
      </c>
      <c r="Q1713" t="s">
        <v>74</v>
      </c>
      <c r="R1713" t="s">
        <v>48</v>
      </c>
      <c r="S1713" t="s">
        <v>49</v>
      </c>
      <c r="T1713" t="s">
        <v>75</v>
      </c>
      <c r="U1713" t="s">
        <v>5053</v>
      </c>
      <c r="V1713">
        <v>27040</v>
      </c>
      <c r="W1713" t="s">
        <v>48</v>
      </c>
      <c r="X1713" t="s">
        <v>77</v>
      </c>
      <c r="Y1713" t="s">
        <v>54</v>
      </c>
      <c r="Z1713" s="12">
        <f>IF(N1713&lt;=1,9,9+0.8*ROUNDUP(N1713-1,0))</f>
        <v>9.8000000000000007</v>
      </c>
      <c r="AA1713" s="11">
        <v>-2</v>
      </c>
      <c r="AB1713" s="11">
        <v>0</v>
      </c>
      <c r="AC1713" s="11">
        <v>0</v>
      </c>
      <c r="AD1713" s="11">
        <v>0</v>
      </c>
      <c r="AE1713" s="11">
        <v>0</v>
      </c>
      <c r="AF1713" s="11">
        <f t="shared" si="78"/>
        <v>0.46800000000000003</v>
      </c>
      <c r="AG1713" s="11">
        <f t="shared" si="79"/>
        <v>8.2680000000000007</v>
      </c>
      <c r="AH1713" s="11">
        <v>0</v>
      </c>
      <c r="AI1713" s="11">
        <f t="shared" si="80"/>
        <v>8.2680000000000007</v>
      </c>
      <c r="AJ1713" t="s">
        <v>62</v>
      </c>
    </row>
    <row r="1714" spans="1:36" ht="15" customHeight="1" x14ac:dyDescent="0.35">
      <c r="A1714">
        <v>10428918</v>
      </c>
      <c r="B1714" t="s">
        <v>36</v>
      </c>
      <c r="C1714" t="s">
        <v>37</v>
      </c>
      <c r="D1714" s="6" t="s">
        <v>38</v>
      </c>
      <c r="E1714" t="s">
        <v>5054</v>
      </c>
      <c r="G1714" t="s">
        <v>41</v>
      </c>
      <c r="H1714" t="s">
        <v>450</v>
      </c>
      <c r="I1714" t="s">
        <v>43</v>
      </c>
      <c r="J1714">
        <v>2</v>
      </c>
      <c r="K1714" t="s">
        <v>44</v>
      </c>
      <c r="L1714" t="s">
        <v>45</v>
      </c>
      <c r="M1714" t="s">
        <v>46</v>
      </c>
      <c r="N1714" s="7">
        <v>2</v>
      </c>
      <c r="O1714" s="8">
        <v>45655.532708333332</v>
      </c>
      <c r="P1714" s="9">
        <v>45656</v>
      </c>
      <c r="Q1714" t="s">
        <v>74</v>
      </c>
      <c r="R1714" t="s">
        <v>48</v>
      </c>
      <c r="S1714" t="s">
        <v>49</v>
      </c>
      <c r="T1714" t="s">
        <v>90</v>
      </c>
      <c r="U1714" t="s">
        <v>5055</v>
      </c>
      <c r="V1714">
        <v>23000</v>
      </c>
      <c r="W1714" t="s">
        <v>48</v>
      </c>
      <c r="X1714" t="s">
        <v>92</v>
      </c>
      <c r="Y1714" t="s">
        <v>54</v>
      </c>
      <c r="Z1714" s="12">
        <f>IF(N1714&lt;=1,9,9+0.8*ROUNDUP(N1714-1,0))</f>
        <v>9.8000000000000007</v>
      </c>
      <c r="AA1714" s="11">
        <v>-2</v>
      </c>
      <c r="AB1714" s="11">
        <v>0</v>
      </c>
      <c r="AC1714" s="11">
        <v>0</v>
      </c>
      <c r="AD1714" s="11">
        <v>0</v>
      </c>
      <c r="AE1714" s="11">
        <v>0</v>
      </c>
      <c r="AF1714" s="11">
        <f t="shared" si="78"/>
        <v>0.46800000000000003</v>
      </c>
      <c r="AG1714" s="11">
        <f t="shared" si="79"/>
        <v>8.2680000000000007</v>
      </c>
      <c r="AH1714" s="11">
        <v>0</v>
      </c>
      <c r="AI1714" s="11">
        <f t="shared" si="80"/>
        <v>8.2680000000000007</v>
      </c>
      <c r="AJ1714" t="s">
        <v>62</v>
      </c>
    </row>
    <row r="1715" spans="1:36" ht="15" customHeight="1" x14ac:dyDescent="0.35">
      <c r="A1715">
        <v>10428918</v>
      </c>
      <c r="B1715" t="s">
        <v>36</v>
      </c>
      <c r="C1715" t="s">
        <v>37</v>
      </c>
      <c r="D1715" s="6" t="s">
        <v>38</v>
      </c>
      <c r="E1715" t="s">
        <v>5056</v>
      </c>
      <c r="G1715" t="s">
        <v>41</v>
      </c>
      <c r="H1715" t="s">
        <v>5057</v>
      </c>
      <c r="I1715" t="s">
        <v>43</v>
      </c>
      <c r="J1715">
        <v>2</v>
      </c>
      <c r="K1715" t="s">
        <v>44</v>
      </c>
      <c r="L1715" t="s">
        <v>45</v>
      </c>
      <c r="M1715" t="s">
        <v>46</v>
      </c>
      <c r="N1715" s="7">
        <v>1</v>
      </c>
      <c r="O1715" s="8">
        <v>45654.556828703702</v>
      </c>
      <c r="P1715" s="9">
        <v>45656</v>
      </c>
      <c r="Q1715" t="s">
        <v>74</v>
      </c>
      <c r="R1715" t="s">
        <v>48</v>
      </c>
      <c r="S1715" t="s">
        <v>49</v>
      </c>
      <c r="T1715" t="s">
        <v>69</v>
      </c>
      <c r="U1715" t="s">
        <v>5058</v>
      </c>
      <c r="V1715">
        <v>81900</v>
      </c>
      <c r="W1715" t="s">
        <v>48</v>
      </c>
      <c r="X1715" t="s">
        <v>1310</v>
      </c>
      <c r="Y1715" t="s">
        <v>54</v>
      </c>
      <c r="Z1715" s="12">
        <f>IF(N1715&lt;=1,9,9+0.8*ROUNDUP(N1715-1,0))</f>
        <v>9</v>
      </c>
      <c r="AA1715" s="11">
        <v>-2</v>
      </c>
      <c r="AB1715" s="11">
        <v>0</v>
      </c>
      <c r="AC1715" s="11">
        <v>0</v>
      </c>
      <c r="AD1715" s="11">
        <v>0</v>
      </c>
      <c r="AE1715" s="11">
        <v>0</v>
      </c>
      <c r="AF1715" s="11">
        <f t="shared" si="78"/>
        <v>0.42</v>
      </c>
      <c r="AG1715" s="11">
        <f t="shared" si="79"/>
        <v>7.42</v>
      </c>
      <c r="AH1715" s="11">
        <v>0</v>
      </c>
      <c r="AI1715" s="11">
        <f t="shared" si="80"/>
        <v>7.42</v>
      </c>
      <c r="AJ1715" t="s">
        <v>62</v>
      </c>
    </row>
    <row r="1716" spans="1:36" ht="15" customHeight="1" x14ac:dyDescent="0.35">
      <c r="A1716">
        <v>10428918</v>
      </c>
      <c r="B1716" t="s">
        <v>36</v>
      </c>
      <c r="C1716" t="s">
        <v>37</v>
      </c>
      <c r="D1716" s="6" t="s">
        <v>38</v>
      </c>
      <c r="E1716" t="s">
        <v>5059</v>
      </c>
      <c r="G1716" t="s">
        <v>41</v>
      </c>
      <c r="H1716" t="s">
        <v>5060</v>
      </c>
      <c r="I1716" t="s">
        <v>43</v>
      </c>
      <c r="J1716">
        <v>2</v>
      </c>
      <c r="K1716" t="s">
        <v>44</v>
      </c>
      <c r="L1716" t="s">
        <v>45</v>
      </c>
      <c r="M1716" t="s">
        <v>46</v>
      </c>
      <c r="N1716" s="7">
        <v>1</v>
      </c>
      <c r="O1716" s="8">
        <v>45654.475173611114</v>
      </c>
      <c r="P1716" s="9">
        <v>45656</v>
      </c>
      <c r="Q1716" t="s">
        <v>74</v>
      </c>
      <c r="R1716" t="s">
        <v>48</v>
      </c>
      <c r="S1716" t="s">
        <v>49</v>
      </c>
      <c r="T1716" t="s">
        <v>161</v>
      </c>
      <c r="U1716" t="s">
        <v>5061</v>
      </c>
      <c r="V1716">
        <v>11900</v>
      </c>
      <c r="W1716" t="s">
        <v>48</v>
      </c>
      <c r="X1716" t="s">
        <v>820</v>
      </c>
      <c r="Y1716" t="s">
        <v>54</v>
      </c>
      <c r="Z1716" s="12">
        <f>IF(N1716&lt;=1,9,9+0.8*ROUNDUP(N1716-1,0))</f>
        <v>9</v>
      </c>
      <c r="AA1716" s="11">
        <v>-2</v>
      </c>
      <c r="AB1716" s="11">
        <v>0</v>
      </c>
      <c r="AC1716" s="11">
        <v>0</v>
      </c>
      <c r="AD1716" s="11">
        <v>0</v>
      </c>
      <c r="AE1716" s="11">
        <v>0</v>
      </c>
      <c r="AF1716" s="11">
        <f t="shared" si="78"/>
        <v>0.42</v>
      </c>
      <c r="AG1716" s="11">
        <f t="shared" si="79"/>
        <v>7.42</v>
      </c>
      <c r="AH1716" s="11">
        <v>0</v>
      </c>
      <c r="AI1716" s="11">
        <f t="shared" si="80"/>
        <v>7.42</v>
      </c>
      <c r="AJ1716" t="s">
        <v>62</v>
      </c>
    </row>
    <row r="1717" spans="1:36" ht="15" customHeight="1" x14ac:dyDescent="0.35">
      <c r="A1717">
        <v>10428918</v>
      </c>
      <c r="B1717" t="s">
        <v>36</v>
      </c>
      <c r="C1717" t="s">
        <v>37</v>
      </c>
      <c r="D1717" s="6" t="s">
        <v>38</v>
      </c>
      <c r="E1717" t="s">
        <v>5062</v>
      </c>
      <c r="G1717" t="s">
        <v>41</v>
      </c>
      <c r="H1717" t="s">
        <v>2109</v>
      </c>
      <c r="I1717" t="s">
        <v>43</v>
      </c>
      <c r="J1717">
        <v>2</v>
      </c>
      <c r="K1717" t="s">
        <v>44</v>
      </c>
      <c r="L1717" t="s">
        <v>45</v>
      </c>
      <c r="M1717" t="s">
        <v>46</v>
      </c>
      <c r="N1717" s="7">
        <v>1</v>
      </c>
      <c r="O1717" s="8">
        <v>45652.655439814815</v>
      </c>
      <c r="P1717" s="9">
        <v>45656</v>
      </c>
      <c r="Q1717" t="s">
        <v>47</v>
      </c>
      <c r="R1717" t="s">
        <v>48</v>
      </c>
      <c r="S1717" t="s">
        <v>49</v>
      </c>
      <c r="T1717" t="s">
        <v>170</v>
      </c>
      <c r="U1717" t="s">
        <v>1133</v>
      </c>
      <c r="V1717">
        <v>50050</v>
      </c>
      <c r="W1717" t="s">
        <v>48</v>
      </c>
      <c r="X1717" t="s">
        <v>53</v>
      </c>
      <c r="Y1717" t="s">
        <v>54</v>
      </c>
      <c r="Z1717" s="12">
        <f>IF(N1717&lt;=1,9,9+0.8*ROUNDUP(N1717-1,0))</f>
        <v>9</v>
      </c>
      <c r="AA1717" s="11">
        <v>-2</v>
      </c>
      <c r="AB1717" s="11">
        <v>0</v>
      </c>
      <c r="AC1717" s="11">
        <v>0</v>
      </c>
      <c r="AD1717" s="11">
        <v>0</v>
      </c>
      <c r="AE1717" s="11">
        <v>0</v>
      </c>
      <c r="AF1717" s="11">
        <f t="shared" si="78"/>
        <v>0.42</v>
      </c>
      <c r="AG1717" s="11">
        <f t="shared" si="79"/>
        <v>7.42</v>
      </c>
      <c r="AH1717" s="11">
        <v>0</v>
      </c>
      <c r="AI1717" s="11">
        <f t="shared" si="80"/>
        <v>7.42</v>
      </c>
      <c r="AJ1717" t="s">
        <v>62</v>
      </c>
    </row>
    <row r="1718" spans="1:36" ht="15" customHeight="1" x14ac:dyDescent="0.35">
      <c r="A1718">
        <v>10428918</v>
      </c>
      <c r="B1718" t="s">
        <v>36</v>
      </c>
      <c r="C1718" t="s">
        <v>37</v>
      </c>
      <c r="D1718" s="6" t="s">
        <v>38</v>
      </c>
      <c r="E1718" t="s">
        <v>5063</v>
      </c>
      <c r="G1718" t="s">
        <v>41</v>
      </c>
      <c r="H1718" t="s">
        <v>5064</v>
      </c>
      <c r="I1718" t="s">
        <v>43</v>
      </c>
      <c r="J1718">
        <v>2</v>
      </c>
      <c r="K1718" t="s">
        <v>44</v>
      </c>
      <c r="L1718" t="s">
        <v>45</v>
      </c>
      <c r="M1718" t="s">
        <v>46</v>
      </c>
      <c r="N1718" s="7">
        <v>1</v>
      </c>
      <c r="O1718" s="8">
        <v>45654.552951388891</v>
      </c>
      <c r="P1718" s="9">
        <v>45656</v>
      </c>
      <c r="Q1718" t="s">
        <v>74</v>
      </c>
      <c r="R1718" t="s">
        <v>48</v>
      </c>
      <c r="S1718" t="s">
        <v>49</v>
      </c>
      <c r="T1718" t="s">
        <v>69</v>
      </c>
      <c r="U1718" t="s">
        <v>5065</v>
      </c>
      <c r="V1718">
        <v>81750</v>
      </c>
      <c r="W1718" t="s">
        <v>48</v>
      </c>
      <c r="X1718" t="s">
        <v>2125</v>
      </c>
      <c r="Y1718" t="s">
        <v>54</v>
      </c>
      <c r="Z1718" s="12">
        <f>IF(N1718&lt;=1,9,9+0.8*ROUNDUP(N1718-1,0))</f>
        <v>9</v>
      </c>
      <c r="AA1718" s="11">
        <v>-2</v>
      </c>
      <c r="AB1718" s="11">
        <v>0</v>
      </c>
      <c r="AC1718" s="11">
        <v>0</v>
      </c>
      <c r="AD1718" s="11">
        <v>0</v>
      </c>
      <c r="AE1718" s="11">
        <v>0</v>
      </c>
      <c r="AF1718" s="11">
        <f t="shared" si="78"/>
        <v>0.42</v>
      </c>
      <c r="AG1718" s="11">
        <f t="shared" si="79"/>
        <v>7.42</v>
      </c>
      <c r="AH1718" s="11">
        <v>0</v>
      </c>
      <c r="AI1718" s="11">
        <f t="shared" si="80"/>
        <v>7.42</v>
      </c>
      <c r="AJ1718" t="s">
        <v>62</v>
      </c>
    </row>
    <row r="1719" spans="1:36" ht="15" customHeight="1" x14ac:dyDescent="0.35">
      <c r="A1719">
        <v>10428918</v>
      </c>
      <c r="B1719" t="s">
        <v>36</v>
      </c>
      <c r="C1719" t="s">
        <v>37</v>
      </c>
      <c r="D1719" s="6" t="s">
        <v>38</v>
      </c>
      <c r="E1719" t="s">
        <v>5066</v>
      </c>
      <c r="G1719" t="s">
        <v>41</v>
      </c>
      <c r="H1719" t="s">
        <v>5067</v>
      </c>
      <c r="I1719" t="s">
        <v>43</v>
      </c>
      <c r="J1719">
        <v>2</v>
      </c>
      <c r="K1719" t="s">
        <v>44</v>
      </c>
      <c r="L1719" t="s">
        <v>45</v>
      </c>
      <c r="M1719" t="s">
        <v>46</v>
      </c>
      <c r="N1719" s="7">
        <v>1</v>
      </c>
      <c r="O1719" s="8">
        <v>45655.612129629626</v>
      </c>
      <c r="P1719" s="9">
        <v>45656</v>
      </c>
      <c r="Q1719" t="s">
        <v>74</v>
      </c>
      <c r="R1719" t="s">
        <v>48</v>
      </c>
      <c r="S1719" t="s">
        <v>49</v>
      </c>
      <c r="T1719" t="s">
        <v>90</v>
      </c>
      <c r="U1719" t="s">
        <v>5068</v>
      </c>
      <c r="V1719">
        <v>20050</v>
      </c>
      <c r="W1719" t="s">
        <v>48</v>
      </c>
      <c r="X1719" t="s">
        <v>92</v>
      </c>
      <c r="Y1719" t="s">
        <v>54</v>
      </c>
      <c r="Z1719" s="12">
        <f>IF(N1719&lt;=1,9,9+0.8*ROUNDUP(N1719-1,0))</f>
        <v>9</v>
      </c>
      <c r="AA1719" s="11">
        <v>-2</v>
      </c>
      <c r="AB1719" s="11">
        <v>0</v>
      </c>
      <c r="AC1719" s="11">
        <v>0</v>
      </c>
      <c r="AD1719" s="11">
        <v>0</v>
      </c>
      <c r="AE1719" s="11">
        <v>0</v>
      </c>
      <c r="AF1719" s="11">
        <f t="shared" si="78"/>
        <v>0.42</v>
      </c>
      <c r="AG1719" s="11">
        <f t="shared" si="79"/>
        <v>7.42</v>
      </c>
      <c r="AH1719" s="11">
        <v>0</v>
      </c>
      <c r="AI1719" s="11">
        <f t="shared" si="80"/>
        <v>7.42</v>
      </c>
      <c r="AJ1719" t="s">
        <v>62</v>
      </c>
    </row>
    <row r="1720" spans="1:36" ht="15" customHeight="1" x14ac:dyDescent="0.35">
      <c r="A1720">
        <v>10428918</v>
      </c>
      <c r="B1720" t="s">
        <v>36</v>
      </c>
      <c r="C1720" t="s">
        <v>37</v>
      </c>
      <c r="D1720" s="6" t="s">
        <v>38</v>
      </c>
      <c r="E1720" t="s">
        <v>5069</v>
      </c>
      <c r="G1720" t="s">
        <v>41</v>
      </c>
      <c r="H1720" t="s">
        <v>5070</v>
      </c>
      <c r="I1720" t="s">
        <v>43</v>
      </c>
      <c r="J1720">
        <v>2</v>
      </c>
      <c r="K1720" t="s">
        <v>44</v>
      </c>
      <c r="L1720" t="s">
        <v>45</v>
      </c>
      <c r="M1720" t="s">
        <v>46</v>
      </c>
      <c r="N1720" s="7">
        <v>1</v>
      </c>
      <c r="O1720" s="8">
        <v>45654.441666666666</v>
      </c>
      <c r="P1720" s="9">
        <v>45656</v>
      </c>
      <c r="Q1720" t="s">
        <v>74</v>
      </c>
      <c r="R1720" t="s">
        <v>48</v>
      </c>
      <c r="S1720" t="s">
        <v>49</v>
      </c>
      <c r="T1720" t="s">
        <v>59</v>
      </c>
      <c r="U1720" t="s">
        <v>5071</v>
      </c>
      <c r="V1720">
        <v>15300</v>
      </c>
      <c r="W1720" t="s">
        <v>48</v>
      </c>
      <c r="X1720" t="s">
        <v>61</v>
      </c>
      <c r="Y1720" t="s">
        <v>54</v>
      </c>
      <c r="Z1720" s="12">
        <f>IF(N1720&lt;=1,9,9+0.8*ROUNDUP(N1720-1,0))</f>
        <v>9</v>
      </c>
      <c r="AA1720" s="11">
        <v>-2</v>
      </c>
      <c r="AB1720" s="11">
        <v>0</v>
      </c>
      <c r="AC1720" s="11">
        <v>0</v>
      </c>
      <c r="AD1720" s="11">
        <v>0</v>
      </c>
      <c r="AE1720" s="11">
        <v>0</v>
      </c>
      <c r="AF1720" s="11">
        <f t="shared" si="78"/>
        <v>0.42</v>
      </c>
      <c r="AG1720" s="11">
        <f t="shared" si="79"/>
        <v>7.42</v>
      </c>
      <c r="AH1720" s="11">
        <v>0</v>
      </c>
      <c r="AI1720" s="11">
        <f t="shared" si="80"/>
        <v>7.42</v>
      </c>
      <c r="AJ1720" t="s">
        <v>62</v>
      </c>
    </row>
    <row r="1721" spans="1:36" ht="15" customHeight="1" x14ac:dyDescent="0.35">
      <c r="A1721">
        <v>10428918</v>
      </c>
      <c r="B1721" t="s">
        <v>36</v>
      </c>
      <c r="C1721" t="s">
        <v>37</v>
      </c>
      <c r="D1721" s="6" t="s">
        <v>38</v>
      </c>
      <c r="E1721" t="s">
        <v>5072</v>
      </c>
      <c r="G1721" t="s">
        <v>41</v>
      </c>
      <c r="H1721" t="s">
        <v>5073</v>
      </c>
      <c r="I1721" t="s">
        <v>43</v>
      </c>
      <c r="J1721">
        <v>2</v>
      </c>
      <c r="K1721" t="s">
        <v>44</v>
      </c>
      <c r="L1721" t="s">
        <v>45</v>
      </c>
      <c r="M1721" t="s">
        <v>46</v>
      </c>
      <c r="N1721" s="7">
        <v>1</v>
      </c>
      <c r="O1721" s="8">
        <v>45655.532708333332</v>
      </c>
      <c r="P1721" s="9">
        <v>45656</v>
      </c>
      <c r="Q1721" t="s">
        <v>74</v>
      </c>
      <c r="R1721" t="s">
        <v>48</v>
      </c>
      <c r="S1721" t="s">
        <v>49</v>
      </c>
      <c r="T1721" t="s">
        <v>90</v>
      </c>
      <c r="U1721" t="s">
        <v>5074</v>
      </c>
      <c r="V1721">
        <v>20000</v>
      </c>
      <c r="W1721" t="s">
        <v>48</v>
      </c>
      <c r="X1721" t="s">
        <v>92</v>
      </c>
      <c r="Y1721" t="s">
        <v>54</v>
      </c>
      <c r="Z1721" s="12">
        <f>IF(N1721&lt;=1,9,9+0.8*ROUNDUP(N1721-1,0))</f>
        <v>9</v>
      </c>
      <c r="AA1721" s="11">
        <v>-2</v>
      </c>
      <c r="AB1721" s="11">
        <v>0</v>
      </c>
      <c r="AC1721" s="11">
        <v>0</v>
      </c>
      <c r="AD1721" s="11">
        <v>0</v>
      </c>
      <c r="AE1721" s="11">
        <v>0</v>
      </c>
      <c r="AF1721" s="11">
        <f t="shared" si="78"/>
        <v>0.42</v>
      </c>
      <c r="AG1721" s="11">
        <f t="shared" si="79"/>
        <v>7.42</v>
      </c>
      <c r="AH1721" s="11">
        <v>0</v>
      </c>
      <c r="AI1721" s="11">
        <f t="shared" si="80"/>
        <v>7.42</v>
      </c>
      <c r="AJ1721" t="s">
        <v>62</v>
      </c>
    </row>
    <row r="1722" spans="1:36" ht="15" customHeight="1" x14ac:dyDescent="0.35">
      <c r="A1722">
        <v>10428918</v>
      </c>
      <c r="B1722" t="s">
        <v>36</v>
      </c>
      <c r="C1722" t="s">
        <v>37</v>
      </c>
      <c r="D1722" s="6" t="s">
        <v>38</v>
      </c>
      <c r="E1722" t="s">
        <v>5075</v>
      </c>
      <c r="G1722" t="s">
        <v>41</v>
      </c>
      <c r="H1722" t="s">
        <v>5076</v>
      </c>
      <c r="I1722" t="s">
        <v>43</v>
      </c>
      <c r="J1722">
        <v>2</v>
      </c>
      <c r="K1722" t="s">
        <v>44</v>
      </c>
      <c r="L1722" t="s">
        <v>45</v>
      </c>
      <c r="M1722" t="s">
        <v>46</v>
      </c>
      <c r="N1722" s="7">
        <v>1</v>
      </c>
      <c r="O1722" s="8">
        <v>45655.612129629626</v>
      </c>
      <c r="P1722" s="9">
        <v>45656</v>
      </c>
      <c r="Q1722" t="s">
        <v>74</v>
      </c>
      <c r="R1722" t="s">
        <v>48</v>
      </c>
      <c r="S1722" t="s">
        <v>49</v>
      </c>
      <c r="T1722" t="s">
        <v>75</v>
      </c>
      <c r="U1722" t="s">
        <v>5077</v>
      </c>
      <c r="V1722">
        <v>26140</v>
      </c>
      <c r="W1722" t="s">
        <v>48</v>
      </c>
      <c r="X1722" t="s">
        <v>77</v>
      </c>
      <c r="Y1722" t="s">
        <v>54</v>
      </c>
      <c r="Z1722" s="12">
        <f>IF(N1722&lt;=1,9,9+0.8*ROUNDUP(N1722-1,0))</f>
        <v>9</v>
      </c>
      <c r="AA1722" s="11">
        <v>-2</v>
      </c>
      <c r="AB1722" s="11">
        <v>0</v>
      </c>
      <c r="AC1722" s="11">
        <v>0</v>
      </c>
      <c r="AD1722" s="11">
        <v>0</v>
      </c>
      <c r="AE1722" s="11">
        <v>0</v>
      </c>
      <c r="AF1722" s="11">
        <f t="shared" si="78"/>
        <v>0.42</v>
      </c>
      <c r="AG1722" s="11">
        <f t="shared" si="79"/>
        <v>7.42</v>
      </c>
      <c r="AH1722" s="11">
        <v>0</v>
      </c>
      <c r="AI1722" s="11">
        <f t="shared" si="80"/>
        <v>7.42</v>
      </c>
      <c r="AJ1722" t="s">
        <v>62</v>
      </c>
    </row>
    <row r="1723" spans="1:36" ht="15" customHeight="1" x14ac:dyDescent="0.35">
      <c r="A1723">
        <v>10428918</v>
      </c>
      <c r="B1723" t="s">
        <v>36</v>
      </c>
      <c r="C1723" t="s">
        <v>37</v>
      </c>
      <c r="D1723" s="6" t="s">
        <v>38</v>
      </c>
      <c r="E1723" t="s">
        <v>5078</v>
      </c>
      <c r="G1723" t="s">
        <v>41</v>
      </c>
      <c r="H1723" t="s">
        <v>5079</v>
      </c>
      <c r="I1723" t="s">
        <v>43</v>
      </c>
      <c r="J1723">
        <v>2</v>
      </c>
      <c r="K1723" t="s">
        <v>44</v>
      </c>
      <c r="L1723" t="s">
        <v>45</v>
      </c>
      <c r="M1723" t="s">
        <v>46</v>
      </c>
      <c r="N1723" s="7">
        <v>1</v>
      </c>
      <c r="O1723" s="8">
        <v>45655.539699074077</v>
      </c>
      <c r="P1723" s="9">
        <v>45656</v>
      </c>
      <c r="Q1723" t="s">
        <v>74</v>
      </c>
      <c r="R1723" t="s">
        <v>48</v>
      </c>
      <c r="S1723" t="s">
        <v>49</v>
      </c>
      <c r="T1723" t="s">
        <v>117</v>
      </c>
      <c r="U1723" t="s">
        <v>5080</v>
      </c>
      <c r="V1723">
        <v>48200</v>
      </c>
      <c r="W1723" t="s">
        <v>48</v>
      </c>
      <c r="X1723" t="s">
        <v>254</v>
      </c>
      <c r="Y1723" t="s">
        <v>54</v>
      </c>
      <c r="Z1723" s="12">
        <f>IF(N1723&lt;=1,9,9+0.8*ROUNDUP(N1723-1,0))</f>
        <v>9</v>
      </c>
      <c r="AA1723" s="11">
        <v>-2</v>
      </c>
      <c r="AB1723" s="11">
        <v>0</v>
      </c>
      <c r="AC1723" s="11">
        <v>0</v>
      </c>
      <c r="AD1723" s="11">
        <v>0</v>
      </c>
      <c r="AE1723" s="11">
        <v>0</v>
      </c>
      <c r="AF1723" s="11">
        <f t="shared" si="78"/>
        <v>0.42</v>
      </c>
      <c r="AG1723" s="11">
        <f t="shared" si="79"/>
        <v>7.42</v>
      </c>
      <c r="AH1723" s="11">
        <v>0</v>
      </c>
      <c r="AI1723" s="11">
        <f t="shared" si="80"/>
        <v>7.42</v>
      </c>
      <c r="AJ1723" t="s">
        <v>62</v>
      </c>
    </row>
    <row r="1724" spans="1:36" ht="15" customHeight="1" x14ac:dyDescent="0.35">
      <c r="A1724">
        <v>10428918</v>
      </c>
      <c r="B1724" t="s">
        <v>36</v>
      </c>
      <c r="C1724" t="s">
        <v>37</v>
      </c>
      <c r="D1724" s="6" t="s">
        <v>38</v>
      </c>
      <c r="E1724" t="s">
        <v>5081</v>
      </c>
      <c r="G1724" t="s">
        <v>41</v>
      </c>
      <c r="H1724" t="s">
        <v>5082</v>
      </c>
      <c r="I1724" t="s">
        <v>43</v>
      </c>
      <c r="J1724">
        <v>2</v>
      </c>
      <c r="K1724" t="s">
        <v>44</v>
      </c>
      <c r="L1724" t="s">
        <v>45</v>
      </c>
      <c r="M1724" t="s">
        <v>46</v>
      </c>
      <c r="N1724" s="7">
        <v>3</v>
      </c>
      <c r="O1724" s="8">
        <v>45654.70758101852</v>
      </c>
      <c r="P1724" s="9">
        <v>45656</v>
      </c>
      <c r="Q1724" t="s">
        <v>74</v>
      </c>
      <c r="R1724" t="s">
        <v>48</v>
      </c>
      <c r="S1724" t="s">
        <v>49</v>
      </c>
      <c r="T1724" t="s">
        <v>117</v>
      </c>
      <c r="U1724" t="s">
        <v>5083</v>
      </c>
      <c r="V1724">
        <v>43200</v>
      </c>
      <c r="W1724" t="s">
        <v>48</v>
      </c>
      <c r="X1724" t="s">
        <v>330</v>
      </c>
      <c r="Y1724" t="s">
        <v>54</v>
      </c>
      <c r="Z1724" s="12">
        <f>IF(N1724&lt;=1,9,9+0.8*ROUNDUP(N1724-1,0))</f>
        <v>10.6</v>
      </c>
      <c r="AA1724" s="11">
        <v>-2</v>
      </c>
      <c r="AB1724" s="11">
        <v>0</v>
      </c>
      <c r="AC1724" s="11">
        <v>0</v>
      </c>
      <c r="AD1724" s="11">
        <v>0</v>
      </c>
      <c r="AE1724" s="11">
        <v>0</v>
      </c>
      <c r="AF1724" s="11">
        <f t="shared" si="78"/>
        <v>0.51600000000000001</v>
      </c>
      <c r="AG1724" s="11">
        <f t="shared" si="79"/>
        <v>9.1159999999999997</v>
      </c>
      <c r="AH1724" s="11">
        <v>0</v>
      </c>
      <c r="AI1724" s="11">
        <f t="shared" si="80"/>
        <v>9.1159999999999997</v>
      </c>
      <c r="AJ1724" t="s">
        <v>62</v>
      </c>
    </row>
    <row r="1725" spans="1:36" ht="15" customHeight="1" x14ac:dyDescent="0.35">
      <c r="A1725">
        <v>10428918</v>
      </c>
      <c r="B1725" t="s">
        <v>36</v>
      </c>
      <c r="C1725" t="s">
        <v>37</v>
      </c>
      <c r="D1725" s="6" t="s">
        <v>38</v>
      </c>
      <c r="E1725" t="s">
        <v>5084</v>
      </c>
      <c r="G1725" t="s">
        <v>41</v>
      </c>
      <c r="H1725" t="s">
        <v>5085</v>
      </c>
      <c r="I1725" t="s">
        <v>43</v>
      </c>
      <c r="J1725">
        <v>2</v>
      </c>
      <c r="K1725" t="s">
        <v>44</v>
      </c>
      <c r="L1725" t="s">
        <v>45</v>
      </c>
      <c r="M1725" t="s">
        <v>46</v>
      </c>
      <c r="N1725" s="7">
        <v>1</v>
      </c>
      <c r="O1725" s="8">
        <v>45654.441678240742</v>
      </c>
      <c r="P1725" s="9">
        <v>45656</v>
      </c>
      <c r="Q1725" t="s">
        <v>74</v>
      </c>
      <c r="R1725" t="s">
        <v>48</v>
      </c>
      <c r="S1725" t="s">
        <v>49</v>
      </c>
      <c r="T1725" t="s">
        <v>117</v>
      </c>
      <c r="U1725" t="s">
        <v>5086</v>
      </c>
      <c r="V1725">
        <v>42500</v>
      </c>
      <c r="W1725" t="s">
        <v>48</v>
      </c>
      <c r="X1725" t="s">
        <v>455</v>
      </c>
      <c r="Y1725" t="s">
        <v>54</v>
      </c>
      <c r="Z1725" s="12">
        <f>IF(N1725&lt;=1,9,9+0.8*ROUNDUP(N1725-1,0))</f>
        <v>9</v>
      </c>
      <c r="AA1725" s="11">
        <v>-2</v>
      </c>
      <c r="AB1725" s="11">
        <v>0</v>
      </c>
      <c r="AC1725" s="11">
        <v>0</v>
      </c>
      <c r="AD1725" s="11">
        <v>0</v>
      </c>
      <c r="AE1725" s="11">
        <v>0</v>
      </c>
      <c r="AF1725" s="11">
        <f t="shared" si="78"/>
        <v>0.42</v>
      </c>
      <c r="AG1725" s="11">
        <f t="shared" si="79"/>
        <v>7.42</v>
      </c>
      <c r="AH1725" s="11">
        <v>0</v>
      </c>
      <c r="AI1725" s="11">
        <f t="shared" si="80"/>
        <v>7.42</v>
      </c>
      <c r="AJ1725" t="s">
        <v>62</v>
      </c>
    </row>
    <row r="1726" spans="1:36" ht="15" customHeight="1" x14ac:dyDescent="0.35">
      <c r="A1726">
        <v>10428918</v>
      </c>
      <c r="B1726" t="s">
        <v>36</v>
      </c>
      <c r="C1726" t="s">
        <v>37</v>
      </c>
      <c r="D1726" s="6" t="s">
        <v>38</v>
      </c>
      <c r="E1726" t="s">
        <v>5087</v>
      </c>
      <c r="G1726" t="s">
        <v>41</v>
      </c>
      <c r="H1726" t="s">
        <v>5088</v>
      </c>
      <c r="I1726" t="s">
        <v>43</v>
      </c>
      <c r="J1726">
        <v>2</v>
      </c>
      <c r="K1726" t="s">
        <v>44</v>
      </c>
      <c r="L1726" t="s">
        <v>45</v>
      </c>
      <c r="M1726" t="s">
        <v>46</v>
      </c>
      <c r="N1726" s="7">
        <v>1</v>
      </c>
      <c r="O1726" s="8">
        <v>45655.732511574075</v>
      </c>
      <c r="P1726" s="9">
        <v>45656</v>
      </c>
      <c r="Q1726" t="s">
        <v>74</v>
      </c>
      <c r="R1726" t="s">
        <v>48</v>
      </c>
      <c r="S1726" t="s">
        <v>49</v>
      </c>
      <c r="T1726" t="s">
        <v>90</v>
      </c>
      <c r="U1726" t="s">
        <v>5089</v>
      </c>
      <c r="V1726">
        <v>21080</v>
      </c>
      <c r="W1726" t="s">
        <v>48</v>
      </c>
      <c r="X1726" t="s">
        <v>92</v>
      </c>
      <c r="Y1726" t="s">
        <v>54</v>
      </c>
      <c r="Z1726" s="12">
        <f>IF(N1726&lt;=1,9,9+0.8*ROUNDUP(N1726-1,0))</f>
        <v>9</v>
      </c>
      <c r="AA1726" s="11">
        <v>-2</v>
      </c>
      <c r="AB1726" s="11">
        <v>0</v>
      </c>
      <c r="AC1726" s="11">
        <v>0</v>
      </c>
      <c r="AD1726" s="11">
        <v>0</v>
      </c>
      <c r="AE1726" s="11">
        <v>0</v>
      </c>
      <c r="AF1726" s="11">
        <f t="shared" si="78"/>
        <v>0.42</v>
      </c>
      <c r="AG1726" s="11">
        <f t="shared" si="79"/>
        <v>7.42</v>
      </c>
      <c r="AH1726" s="11">
        <v>0</v>
      </c>
      <c r="AI1726" s="11">
        <f t="shared" si="80"/>
        <v>7.42</v>
      </c>
      <c r="AJ1726" t="s">
        <v>62</v>
      </c>
    </row>
    <row r="1727" spans="1:36" ht="15" customHeight="1" x14ac:dyDescent="0.35">
      <c r="A1727">
        <v>10428918</v>
      </c>
      <c r="B1727" t="s">
        <v>36</v>
      </c>
      <c r="C1727" t="s">
        <v>37</v>
      </c>
      <c r="D1727" s="6" t="s">
        <v>38</v>
      </c>
      <c r="E1727" t="s">
        <v>5090</v>
      </c>
      <c r="G1727" t="s">
        <v>41</v>
      </c>
      <c r="H1727" t="s">
        <v>5091</v>
      </c>
      <c r="I1727" t="s">
        <v>43</v>
      </c>
      <c r="J1727">
        <v>2</v>
      </c>
      <c r="K1727" t="s">
        <v>44</v>
      </c>
      <c r="L1727" t="s">
        <v>45</v>
      </c>
      <c r="M1727" t="s">
        <v>46</v>
      </c>
      <c r="N1727" s="7">
        <v>1</v>
      </c>
      <c r="O1727" s="8">
        <v>45653.793240740742</v>
      </c>
      <c r="P1727" s="9">
        <v>45656</v>
      </c>
      <c r="Q1727" t="s">
        <v>74</v>
      </c>
      <c r="R1727" t="s">
        <v>48</v>
      </c>
      <c r="S1727" t="s">
        <v>49</v>
      </c>
      <c r="T1727" t="s">
        <v>80</v>
      </c>
      <c r="U1727" t="s">
        <v>5092</v>
      </c>
      <c r="V1727">
        <v>9000</v>
      </c>
      <c r="W1727" t="s">
        <v>48</v>
      </c>
      <c r="X1727" t="s">
        <v>690</v>
      </c>
      <c r="Y1727" t="s">
        <v>54</v>
      </c>
      <c r="Z1727" s="12">
        <f>IF(N1727&lt;=1,9,9+0.8*ROUNDUP(N1727-1,0))</f>
        <v>9</v>
      </c>
      <c r="AA1727" s="11">
        <v>-2</v>
      </c>
      <c r="AB1727" s="11">
        <v>0</v>
      </c>
      <c r="AC1727" s="11">
        <v>0</v>
      </c>
      <c r="AD1727" s="11">
        <v>0</v>
      </c>
      <c r="AE1727" s="11">
        <v>0</v>
      </c>
      <c r="AF1727" s="11">
        <f t="shared" si="78"/>
        <v>0.42</v>
      </c>
      <c r="AG1727" s="11">
        <f t="shared" si="79"/>
        <v>7.42</v>
      </c>
      <c r="AH1727" s="11">
        <v>0</v>
      </c>
      <c r="AI1727" s="11">
        <f t="shared" si="80"/>
        <v>7.42</v>
      </c>
      <c r="AJ1727" t="s">
        <v>62</v>
      </c>
    </row>
    <row r="1728" spans="1:36" ht="15" customHeight="1" x14ac:dyDescent="0.35">
      <c r="A1728">
        <v>10428918</v>
      </c>
      <c r="B1728" t="s">
        <v>36</v>
      </c>
      <c r="C1728" t="s">
        <v>37</v>
      </c>
      <c r="D1728" s="6" t="s">
        <v>38</v>
      </c>
      <c r="E1728" t="s">
        <v>5093</v>
      </c>
      <c r="G1728" t="s">
        <v>41</v>
      </c>
      <c r="H1728" t="s">
        <v>5094</v>
      </c>
      <c r="I1728" t="s">
        <v>43</v>
      </c>
      <c r="J1728">
        <v>2</v>
      </c>
      <c r="K1728" t="s">
        <v>44</v>
      </c>
      <c r="L1728" t="s">
        <v>45</v>
      </c>
      <c r="M1728" t="s">
        <v>46</v>
      </c>
      <c r="N1728" s="7">
        <v>2</v>
      </c>
      <c r="O1728" s="8">
        <v>45655.550729166665</v>
      </c>
      <c r="P1728" s="9">
        <v>45656</v>
      </c>
      <c r="Q1728" t="s">
        <v>74</v>
      </c>
      <c r="R1728" t="s">
        <v>48</v>
      </c>
      <c r="S1728" t="s">
        <v>49</v>
      </c>
      <c r="T1728" t="s">
        <v>59</v>
      </c>
      <c r="U1728" t="s">
        <v>5095</v>
      </c>
      <c r="V1728">
        <v>16250</v>
      </c>
      <c r="W1728" t="s">
        <v>48</v>
      </c>
      <c r="X1728" t="s">
        <v>61</v>
      </c>
      <c r="Y1728" t="s">
        <v>54</v>
      </c>
      <c r="Z1728" s="12">
        <f>IF(N1728&lt;=1,9,9+0.8*ROUNDUP(N1728-1,0))</f>
        <v>9.8000000000000007</v>
      </c>
      <c r="AA1728" s="11">
        <v>-2</v>
      </c>
      <c r="AB1728" s="11">
        <v>0</v>
      </c>
      <c r="AC1728" s="11">
        <v>0</v>
      </c>
      <c r="AD1728" s="11">
        <v>0</v>
      </c>
      <c r="AE1728" s="11">
        <v>0</v>
      </c>
      <c r="AF1728" s="11">
        <f t="shared" si="78"/>
        <v>0.46800000000000003</v>
      </c>
      <c r="AG1728" s="11">
        <f t="shared" si="79"/>
        <v>8.2680000000000007</v>
      </c>
      <c r="AH1728" s="11">
        <v>0</v>
      </c>
      <c r="AI1728" s="11">
        <f t="shared" si="80"/>
        <v>8.2680000000000007</v>
      </c>
      <c r="AJ1728" t="s">
        <v>62</v>
      </c>
    </row>
    <row r="1729" spans="1:36" ht="15" customHeight="1" x14ac:dyDescent="0.35">
      <c r="A1729">
        <v>10428918</v>
      </c>
      <c r="B1729" t="s">
        <v>36</v>
      </c>
      <c r="C1729" t="s">
        <v>37</v>
      </c>
      <c r="D1729" s="6" t="s">
        <v>38</v>
      </c>
      <c r="E1729" t="s">
        <v>5096</v>
      </c>
      <c r="G1729" t="s">
        <v>41</v>
      </c>
      <c r="H1729" t="s">
        <v>5097</v>
      </c>
      <c r="I1729" t="s">
        <v>43</v>
      </c>
      <c r="J1729">
        <v>2</v>
      </c>
      <c r="K1729" t="s">
        <v>44</v>
      </c>
      <c r="L1729" t="s">
        <v>45</v>
      </c>
      <c r="M1729" t="s">
        <v>46</v>
      </c>
      <c r="N1729" s="7">
        <v>1</v>
      </c>
      <c r="O1729" s="8">
        <v>45654.452175925922</v>
      </c>
      <c r="P1729" s="9">
        <v>45656</v>
      </c>
      <c r="Q1729" t="s">
        <v>74</v>
      </c>
      <c r="R1729" t="s">
        <v>48</v>
      </c>
      <c r="S1729" t="s">
        <v>49</v>
      </c>
      <c r="T1729" t="s">
        <v>69</v>
      </c>
      <c r="U1729" t="s">
        <v>5098</v>
      </c>
      <c r="V1729">
        <v>83500</v>
      </c>
      <c r="W1729" t="s">
        <v>48</v>
      </c>
      <c r="X1729" t="s">
        <v>71</v>
      </c>
      <c r="Y1729" t="s">
        <v>54</v>
      </c>
      <c r="Z1729" s="12">
        <f>IF(N1729&lt;=1,9,9+0.8*ROUNDUP(N1729-1,0))</f>
        <v>9</v>
      </c>
      <c r="AA1729" s="11">
        <v>-2</v>
      </c>
      <c r="AB1729" s="11">
        <v>0</v>
      </c>
      <c r="AC1729" s="11">
        <v>0</v>
      </c>
      <c r="AD1729" s="11">
        <v>0</v>
      </c>
      <c r="AE1729" s="11">
        <v>0</v>
      </c>
      <c r="AF1729" s="11">
        <f t="shared" si="78"/>
        <v>0.42</v>
      </c>
      <c r="AG1729" s="11">
        <f t="shared" si="79"/>
        <v>7.42</v>
      </c>
      <c r="AH1729" s="11">
        <v>0</v>
      </c>
      <c r="AI1729" s="11">
        <f t="shared" si="80"/>
        <v>7.42</v>
      </c>
      <c r="AJ1729" t="s">
        <v>62</v>
      </c>
    </row>
    <row r="1730" spans="1:36" ht="15" customHeight="1" x14ac:dyDescent="0.35">
      <c r="A1730">
        <v>10428918</v>
      </c>
      <c r="B1730" t="s">
        <v>36</v>
      </c>
      <c r="C1730" t="s">
        <v>37</v>
      </c>
      <c r="D1730" s="6" t="s">
        <v>38</v>
      </c>
      <c r="E1730" t="s">
        <v>5099</v>
      </c>
      <c r="G1730" t="s">
        <v>41</v>
      </c>
      <c r="H1730" t="s">
        <v>5100</v>
      </c>
      <c r="I1730" t="s">
        <v>43</v>
      </c>
      <c r="J1730">
        <v>2</v>
      </c>
      <c r="K1730" t="s">
        <v>44</v>
      </c>
      <c r="L1730" t="s">
        <v>45</v>
      </c>
      <c r="M1730" t="s">
        <v>46</v>
      </c>
      <c r="N1730" s="7">
        <v>1</v>
      </c>
      <c r="O1730" s="8">
        <v>45652.880706018521</v>
      </c>
      <c r="P1730" s="9">
        <v>45656</v>
      </c>
      <c r="Q1730" t="s">
        <v>58</v>
      </c>
      <c r="R1730" t="s">
        <v>48</v>
      </c>
      <c r="S1730" t="s">
        <v>49</v>
      </c>
      <c r="T1730" t="s">
        <v>101</v>
      </c>
      <c r="U1730" t="s">
        <v>5101</v>
      </c>
      <c r="V1730">
        <v>31650</v>
      </c>
      <c r="W1730" t="s">
        <v>48</v>
      </c>
      <c r="X1730" t="s">
        <v>2545</v>
      </c>
      <c r="Y1730" t="s">
        <v>54</v>
      </c>
      <c r="Z1730" s="12">
        <f>IF(N1730&lt;=1,9,9+0.8*ROUNDUP(N1730-1,0))</f>
        <v>9</v>
      </c>
      <c r="AA1730" s="11">
        <v>-2</v>
      </c>
      <c r="AB1730" s="11">
        <v>0</v>
      </c>
      <c r="AC1730" s="11">
        <v>0</v>
      </c>
      <c r="AD1730" s="11">
        <v>0</v>
      </c>
      <c r="AE1730" s="11">
        <v>0</v>
      </c>
      <c r="AF1730" s="11">
        <f t="shared" ref="AF1730:AF1793" si="81">(Z1730+AA1730+AC1730+AE1730)*6%</f>
        <v>0.42</v>
      </c>
      <c r="AG1730" s="11">
        <f t="shared" ref="AG1730:AG1793" si="82">Z1730+AA1730+AC1730+AE1730+AF1730</f>
        <v>7.42</v>
      </c>
      <c r="AH1730" s="11">
        <v>0</v>
      </c>
      <c r="AI1730" s="11">
        <f t="shared" ref="AI1730:AI1793" si="83">AG1730+AH1730</f>
        <v>7.42</v>
      </c>
      <c r="AJ1730" t="s">
        <v>62</v>
      </c>
    </row>
    <row r="1731" spans="1:36" ht="15" customHeight="1" x14ac:dyDescent="0.35">
      <c r="A1731">
        <v>10428918</v>
      </c>
      <c r="B1731" t="s">
        <v>36</v>
      </c>
      <c r="C1731" t="s">
        <v>37</v>
      </c>
      <c r="D1731" s="6" t="s">
        <v>38</v>
      </c>
      <c r="E1731" t="s">
        <v>5102</v>
      </c>
      <c r="G1731" t="s">
        <v>41</v>
      </c>
      <c r="H1731" t="s">
        <v>234</v>
      </c>
      <c r="I1731" t="s">
        <v>43</v>
      </c>
      <c r="J1731">
        <v>2</v>
      </c>
      <c r="K1731" t="s">
        <v>44</v>
      </c>
      <c r="L1731" t="s">
        <v>45</v>
      </c>
      <c r="M1731" t="s">
        <v>46</v>
      </c>
      <c r="N1731" s="7">
        <v>1</v>
      </c>
      <c r="O1731" s="8">
        <v>45654.650081018517</v>
      </c>
      <c r="P1731" s="9">
        <v>45656</v>
      </c>
      <c r="Q1731" t="s">
        <v>74</v>
      </c>
      <c r="R1731" t="s">
        <v>48</v>
      </c>
      <c r="S1731" t="s">
        <v>49</v>
      </c>
      <c r="T1731" t="s">
        <v>117</v>
      </c>
      <c r="U1731" t="s">
        <v>235</v>
      </c>
      <c r="V1731">
        <v>47140</v>
      </c>
      <c r="W1731" t="s">
        <v>48</v>
      </c>
      <c r="X1731" t="s">
        <v>232</v>
      </c>
      <c r="Y1731" t="s">
        <v>54</v>
      </c>
      <c r="Z1731" s="12">
        <f>IF(N1731&lt;=1,9,9+0.8*ROUNDUP(N1731-1,0))</f>
        <v>9</v>
      </c>
      <c r="AA1731" s="11">
        <v>-2</v>
      </c>
      <c r="AB1731" s="11">
        <v>0</v>
      </c>
      <c r="AC1731" s="11">
        <v>0</v>
      </c>
      <c r="AD1731" s="11">
        <v>0</v>
      </c>
      <c r="AE1731" s="11">
        <v>0</v>
      </c>
      <c r="AF1731" s="11">
        <f t="shared" si="81"/>
        <v>0.42</v>
      </c>
      <c r="AG1731" s="11">
        <f t="shared" si="82"/>
        <v>7.42</v>
      </c>
      <c r="AH1731" s="11">
        <v>0</v>
      </c>
      <c r="AI1731" s="11">
        <f t="shared" si="83"/>
        <v>7.42</v>
      </c>
      <c r="AJ1731" t="s">
        <v>62</v>
      </c>
    </row>
    <row r="1732" spans="1:36" ht="15" customHeight="1" x14ac:dyDescent="0.35">
      <c r="A1732">
        <v>10428918</v>
      </c>
      <c r="B1732" t="s">
        <v>36</v>
      </c>
      <c r="C1732" t="s">
        <v>37</v>
      </c>
      <c r="D1732" s="6" t="s">
        <v>38</v>
      </c>
      <c r="E1732" t="s">
        <v>5103</v>
      </c>
      <c r="G1732" t="s">
        <v>41</v>
      </c>
      <c r="H1732" t="s">
        <v>5104</v>
      </c>
      <c r="I1732" t="s">
        <v>43</v>
      </c>
      <c r="J1732">
        <v>2</v>
      </c>
      <c r="K1732" t="s">
        <v>44</v>
      </c>
      <c r="L1732" t="s">
        <v>45</v>
      </c>
      <c r="M1732" t="s">
        <v>46</v>
      </c>
      <c r="N1732" s="7">
        <v>1</v>
      </c>
      <c r="O1732" s="8">
        <v>45653.813726851855</v>
      </c>
      <c r="P1732" s="9">
        <v>45656</v>
      </c>
      <c r="Q1732" t="s">
        <v>74</v>
      </c>
      <c r="R1732" t="s">
        <v>48</v>
      </c>
      <c r="S1732" t="s">
        <v>49</v>
      </c>
      <c r="T1732" t="s">
        <v>101</v>
      </c>
      <c r="U1732" t="s">
        <v>5105</v>
      </c>
      <c r="V1732">
        <v>31100</v>
      </c>
      <c r="W1732" t="s">
        <v>48</v>
      </c>
      <c r="X1732" t="s">
        <v>103</v>
      </c>
      <c r="Y1732" t="s">
        <v>54</v>
      </c>
      <c r="Z1732" s="12">
        <f>IF(N1732&lt;=1,9,9+0.8*ROUNDUP(N1732-1,0))</f>
        <v>9</v>
      </c>
      <c r="AA1732" s="11">
        <v>-2</v>
      </c>
      <c r="AB1732" s="11">
        <v>0</v>
      </c>
      <c r="AC1732" s="11">
        <v>0</v>
      </c>
      <c r="AD1732" s="11">
        <v>0</v>
      </c>
      <c r="AE1732" s="11">
        <v>0</v>
      </c>
      <c r="AF1732" s="11">
        <f t="shared" si="81"/>
        <v>0.42</v>
      </c>
      <c r="AG1732" s="11">
        <f t="shared" si="82"/>
        <v>7.42</v>
      </c>
      <c r="AH1732" s="11">
        <v>0</v>
      </c>
      <c r="AI1732" s="11">
        <f t="shared" si="83"/>
        <v>7.42</v>
      </c>
      <c r="AJ1732" t="s">
        <v>62</v>
      </c>
    </row>
    <row r="1733" spans="1:36" ht="15" customHeight="1" x14ac:dyDescent="0.35">
      <c r="A1733">
        <v>10428918</v>
      </c>
      <c r="B1733" t="s">
        <v>36</v>
      </c>
      <c r="C1733" t="s">
        <v>37</v>
      </c>
      <c r="D1733" s="6" t="s">
        <v>38</v>
      </c>
      <c r="E1733" t="s">
        <v>5106</v>
      </c>
      <c r="G1733" t="s">
        <v>41</v>
      </c>
      <c r="H1733" t="s">
        <v>5107</v>
      </c>
      <c r="I1733" t="s">
        <v>43</v>
      </c>
      <c r="J1733">
        <v>2</v>
      </c>
      <c r="K1733" t="s">
        <v>44</v>
      </c>
      <c r="L1733" t="s">
        <v>45</v>
      </c>
      <c r="M1733" t="s">
        <v>46</v>
      </c>
      <c r="N1733" s="7">
        <v>1</v>
      </c>
      <c r="O1733" s="8">
        <v>45655.732511574075</v>
      </c>
      <c r="P1733" s="9">
        <v>45656</v>
      </c>
      <c r="Q1733" t="s">
        <v>74</v>
      </c>
      <c r="R1733" t="s">
        <v>48</v>
      </c>
      <c r="S1733" t="s">
        <v>49</v>
      </c>
      <c r="T1733" t="s">
        <v>90</v>
      </c>
      <c r="U1733" t="s">
        <v>5108</v>
      </c>
      <c r="V1733">
        <v>21700</v>
      </c>
      <c r="W1733" t="s">
        <v>48</v>
      </c>
      <c r="X1733" t="s">
        <v>92</v>
      </c>
      <c r="Y1733" t="s">
        <v>54</v>
      </c>
      <c r="Z1733" s="12">
        <f>IF(N1733&lt;=1,9,9+0.8*ROUNDUP(N1733-1,0))</f>
        <v>9</v>
      </c>
      <c r="AA1733" s="11">
        <v>-2</v>
      </c>
      <c r="AB1733" s="11">
        <v>0</v>
      </c>
      <c r="AC1733" s="11">
        <v>0</v>
      </c>
      <c r="AD1733" s="11">
        <v>0</v>
      </c>
      <c r="AE1733" s="11">
        <v>0</v>
      </c>
      <c r="AF1733" s="11">
        <f t="shared" si="81"/>
        <v>0.42</v>
      </c>
      <c r="AG1733" s="11">
        <f t="shared" si="82"/>
        <v>7.42</v>
      </c>
      <c r="AH1733" s="11">
        <v>0</v>
      </c>
      <c r="AI1733" s="11">
        <f t="shared" si="83"/>
        <v>7.42</v>
      </c>
      <c r="AJ1733" t="s">
        <v>62</v>
      </c>
    </row>
    <row r="1734" spans="1:36" ht="15" customHeight="1" x14ac:dyDescent="0.35">
      <c r="A1734">
        <v>10428918</v>
      </c>
      <c r="B1734" t="s">
        <v>36</v>
      </c>
      <c r="C1734" t="s">
        <v>37</v>
      </c>
      <c r="D1734" s="6" t="s">
        <v>38</v>
      </c>
      <c r="E1734" t="s">
        <v>5109</v>
      </c>
      <c r="G1734" t="s">
        <v>41</v>
      </c>
      <c r="H1734" t="s">
        <v>5110</v>
      </c>
      <c r="I1734" t="s">
        <v>43</v>
      </c>
      <c r="J1734">
        <v>2</v>
      </c>
      <c r="K1734" t="s">
        <v>44</v>
      </c>
      <c r="L1734" t="s">
        <v>45</v>
      </c>
      <c r="M1734" t="s">
        <v>46</v>
      </c>
      <c r="N1734" s="7">
        <v>1</v>
      </c>
      <c r="O1734" s="8">
        <v>45652.868287037039</v>
      </c>
      <c r="P1734" s="9">
        <v>45656</v>
      </c>
      <c r="Q1734" t="s">
        <v>58</v>
      </c>
      <c r="R1734" t="s">
        <v>48</v>
      </c>
      <c r="S1734" t="s">
        <v>49</v>
      </c>
      <c r="T1734" t="s">
        <v>117</v>
      </c>
      <c r="U1734" t="s">
        <v>5111</v>
      </c>
      <c r="V1734">
        <v>42300</v>
      </c>
      <c r="W1734" t="s">
        <v>48</v>
      </c>
      <c r="X1734" t="s">
        <v>53</v>
      </c>
      <c r="Y1734" t="s">
        <v>54</v>
      </c>
      <c r="Z1734" s="12">
        <f>IF(N1734&lt;=1,9,9+0.8*ROUNDUP(N1734-1,0))</f>
        <v>9</v>
      </c>
      <c r="AA1734" s="11">
        <v>-2</v>
      </c>
      <c r="AB1734" s="11">
        <v>0</v>
      </c>
      <c r="AC1734" s="11">
        <v>0</v>
      </c>
      <c r="AD1734" s="11">
        <v>0</v>
      </c>
      <c r="AE1734" s="11">
        <v>0</v>
      </c>
      <c r="AF1734" s="11">
        <f t="shared" si="81"/>
        <v>0.42</v>
      </c>
      <c r="AG1734" s="11">
        <f t="shared" si="82"/>
        <v>7.42</v>
      </c>
      <c r="AH1734" s="11">
        <v>0</v>
      </c>
      <c r="AI1734" s="11">
        <f t="shared" si="83"/>
        <v>7.42</v>
      </c>
      <c r="AJ1734" t="s">
        <v>62</v>
      </c>
    </row>
    <row r="1735" spans="1:36" ht="15" customHeight="1" x14ac:dyDescent="0.35">
      <c r="A1735">
        <v>10428918</v>
      </c>
      <c r="B1735" t="s">
        <v>36</v>
      </c>
      <c r="C1735" t="s">
        <v>37</v>
      </c>
      <c r="D1735" s="6" t="s">
        <v>38</v>
      </c>
      <c r="E1735" t="s">
        <v>5112</v>
      </c>
      <c r="G1735" t="s">
        <v>41</v>
      </c>
      <c r="H1735" t="s">
        <v>5113</v>
      </c>
      <c r="I1735" t="s">
        <v>43</v>
      </c>
      <c r="J1735">
        <v>2</v>
      </c>
      <c r="K1735" t="s">
        <v>44</v>
      </c>
      <c r="L1735" t="s">
        <v>45</v>
      </c>
      <c r="M1735" t="s">
        <v>46</v>
      </c>
      <c r="N1735" s="7">
        <v>2</v>
      </c>
      <c r="O1735" s="8">
        <v>45653.793009259258</v>
      </c>
      <c r="P1735" s="9">
        <v>45656</v>
      </c>
      <c r="Q1735" t="s">
        <v>74</v>
      </c>
      <c r="R1735" t="s">
        <v>48</v>
      </c>
      <c r="S1735" t="s">
        <v>49</v>
      </c>
      <c r="T1735" t="s">
        <v>101</v>
      </c>
      <c r="U1735" t="s">
        <v>5114</v>
      </c>
      <c r="V1735">
        <v>32000</v>
      </c>
      <c r="W1735" t="s">
        <v>48</v>
      </c>
      <c r="X1735" t="s">
        <v>1120</v>
      </c>
      <c r="Y1735" t="s">
        <v>54</v>
      </c>
      <c r="Z1735" s="12">
        <f>IF(N1735&lt;=1,9,9+0.8*ROUNDUP(N1735-1,0))</f>
        <v>9.8000000000000007</v>
      </c>
      <c r="AA1735" s="11">
        <v>-2</v>
      </c>
      <c r="AB1735" s="11">
        <v>0</v>
      </c>
      <c r="AC1735" s="11">
        <v>0</v>
      </c>
      <c r="AD1735" s="11">
        <v>0</v>
      </c>
      <c r="AE1735" s="11">
        <v>0</v>
      </c>
      <c r="AF1735" s="11">
        <f t="shared" si="81"/>
        <v>0.46800000000000003</v>
      </c>
      <c r="AG1735" s="11">
        <f t="shared" si="82"/>
        <v>8.2680000000000007</v>
      </c>
      <c r="AH1735" s="11">
        <v>0</v>
      </c>
      <c r="AI1735" s="11">
        <f t="shared" si="83"/>
        <v>8.2680000000000007</v>
      </c>
      <c r="AJ1735" t="s">
        <v>62</v>
      </c>
    </row>
    <row r="1736" spans="1:36" ht="15" customHeight="1" x14ac:dyDescent="0.35">
      <c r="A1736">
        <v>10428918</v>
      </c>
      <c r="B1736" t="s">
        <v>36</v>
      </c>
      <c r="C1736" t="s">
        <v>37</v>
      </c>
      <c r="D1736" s="6" t="s">
        <v>38</v>
      </c>
      <c r="E1736" t="s">
        <v>5115</v>
      </c>
      <c r="G1736" t="s">
        <v>3661</v>
      </c>
      <c r="H1736" t="s">
        <v>5116</v>
      </c>
      <c r="I1736" t="s">
        <v>43</v>
      </c>
      <c r="J1736">
        <v>2</v>
      </c>
      <c r="K1736" t="s">
        <v>44</v>
      </c>
      <c r="L1736" t="s">
        <v>45</v>
      </c>
      <c r="M1736" t="s">
        <v>46</v>
      </c>
      <c r="N1736" s="7">
        <v>2</v>
      </c>
      <c r="O1736" s="8">
        <v>45652.691111111111</v>
      </c>
      <c r="P1736" s="9">
        <v>45656</v>
      </c>
      <c r="Q1736" t="s">
        <v>47</v>
      </c>
      <c r="R1736" t="s">
        <v>48</v>
      </c>
      <c r="S1736" t="s">
        <v>5117</v>
      </c>
      <c r="T1736" t="s">
        <v>59</v>
      </c>
      <c r="U1736" t="s">
        <v>49</v>
      </c>
      <c r="V1736">
        <v>16100</v>
      </c>
      <c r="W1736" t="s">
        <v>48</v>
      </c>
      <c r="X1736" t="s">
        <v>53</v>
      </c>
      <c r="Y1736" t="s">
        <v>54</v>
      </c>
      <c r="Z1736" s="12">
        <f>IF(N1736&lt;=1,9,9+0.8*ROUNDUP(N1736-1,0))</f>
        <v>9.8000000000000007</v>
      </c>
      <c r="AA1736" s="11">
        <v>-2</v>
      </c>
      <c r="AB1736" s="11">
        <v>0</v>
      </c>
      <c r="AC1736" s="11">
        <v>0</v>
      </c>
      <c r="AD1736" s="11">
        <v>0</v>
      </c>
      <c r="AE1736" s="11">
        <v>0</v>
      </c>
      <c r="AF1736" s="11">
        <f t="shared" si="81"/>
        <v>0.46800000000000003</v>
      </c>
      <c r="AG1736" s="11">
        <f t="shared" si="82"/>
        <v>8.2680000000000007</v>
      </c>
      <c r="AH1736" s="11">
        <v>0</v>
      </c>
      <c r="AI1736" s="11">
        <f t="shared" si="83"/>
        <v>8.2680000000000007</v>
      </c>
      <c r="AJ1736" t="s">
        <v>62</v>
      </c>
    </row>
    <row r="1737" spans="1:36" ht="15" customHeight="1" x14ac:dyDescent="0.35">
      <c r="A1737">
        <v>10428918</v>
      </c>
      <c r="B1737" t="s">
        <v>36</v>
      </c>
      <c r="C1737" t="s">
        <v>37</v>
      </c>
      <c r="D1737" s="6" t="s">
        <v>38</v>
      </c>
      <c r="E1737" t="s">
        <v>5118</v>
      </c>
      <c r="G1737" t="s">
        <v>41</v>
      </c>
      <c r="H1737" t="s">
        <v>5119</v>
      </c>
      <c r="I1737" t="s">
        <v>43</v>
      </c>
      <c r="J1737">
        <v>2</v>
      </c>
      <c r="K1737" t="s">
        <v>44</v>
      </c>
      <c r="L1737" t="s">
        <v>45</v>
      </c>
      <c r="M1737" t="s">
        <v>46</v>
      </c>
      <c r="N1737" s="7">
        <v>1</v>
      </c>
      <c r="O1737" s="8">
        <v>45654.465231481481</v>
      </c>
      <c r="P1737" s="9">
        <v>45656</v>
      </c>
      <c r="Q1737" t="s">
        <v>74</v>
      </c>
      <c r="R1737" t="s">
        <v>48</v>
      </c>
      <c r="S1737" t="s">
        <v>49</v>
      </c>
      <c r="T1737" t="s">
        <v>80</v>
      </c>
      <c r="U1737" t="s">
        <v>5120</v>
      </c>
      <c r="V1737">
        <v>5400</v>
      </c>
      <c r="W1737" t="s">
        <v>48</v>
      </c>
      <c r="X1737" t="s">
        <v>53</v>
      </c>
      <c r="Y1737" t="s">
        <v>54</v>
      </c>
      <c r="Z1737" s="12">
        <f>IF(N1737&lt;=1,9,9+0.8*ROUNDUP(N1737-1,0))</f>
        <v>9</v>
      </c>
      <c r="AA1737" s="11">
        <v>-2</v>
      </c>
      <c r="AB1737" s="11">
        <v>0</v>
      </c>
      <c r="AC1737" s="11">
        <v>0</v>
      </c>
      <c r="AD1737" s="11">
        <v>0</v>
      </c>
      <c r="AE1737" s="11">
        <v>0</v>
      </c>
      <c r="AF1737" s="11">
        <f t="shared" si="81"/>
        <v>0.42</v>
      </c>
      <c r="AG1737" s="11">
        <f t="shared" si="82"/>
        <v>7.42</v>
      </c>
      <c r="AH1737" s="11">
        <v>0</v>
      </c>
      <c r="AI1737" s="11">
        <f t="shared" si="83"/>
        <v>7.42</v>
      </c>
      <c r="AJ1737" t="s">
        <v>62</v>
      </c>
    </row>
    <row r="1738" spans="1:36" ht="15" customHeight="1" x14ac:dyDescent="0.35">
      <c r="A1738">
        <v>10428918</v>
      </c>
      <c r="B1738" t="s">
        <v>36</v>
      </c>
      <c r="C1738" t="s">
        <v>37</v>
      </c>
      <c r="D1738" s="6" t="s">
        <v>38</v>
      </c>
      <c r="E1738" t="s">
        <v>5121</v>
      </c>
      <c r="G1738" t="s">
        <v>41</v>
      </c>
      <c r="H1738" t="s">
        <v>5122</v>
      </c>
      <c r="I1738" t="s">
        <v>43</v>
      </c>
      <c r="J1738">
        <v>2</v>
      </c>
      <c r="K1738" t="s">
        <v>44</v>
      </c>
      <c r="L1738" t="s">
        <v>45</v>
      </c>
      <c r="M1738" t="s">
        <v>46</v>
      </c>
      <c r="N1738" s="7">
        <v>1</v>
      </c>
      <c r="O1738" s="8">
        <v>45654.573171296295</v>
      </c>
      <c r="P1738" s="9">
        <v>45656</v>
      </c>
      <c r="Q1738" t="s">
        <v>74</v>
      </c>
      <c r="R1738" t="s">
        <v>48</v>
      </c>
      <c r="S1738" t="s">
        <v>49</v>
      </c>
      <c r="T1738" t="s">
        <v>117</v>
      </c>
      <c r="U1738" t="s">
        <v>5123</v>
      </c>
      <c r="V1738">
        <v>43800</v>
      </c>
      <c r="W1738" t="s">
        <v>48</v>
      </c>
      <c r="X1738" t="s">
        <v>532</v>
      </c>
      <c r="Y1738" t="s">
        <v>54</v>
      </c>
      <c r="Z1738" s="12">
        <f>IF(N1738&lt;=1,9,9+0.8*ROUNDUP(N1738-1,0))</f>
        <v>9</v>
      </c>
      <c r="AA1738" s="11">
        <v>-2</v>
      </c>
      <c r="AB1738" s="11">
        <v>0</v>
      </c>
      <c r="AC1738" s="11">
        <v>0</v>
      </c>
      <c r="AD1738" s="11">
        <v>0</v>
      </c>
      <c r="AE1738" s="11">
        <v>0</v>
      </c>
      <c r="AF1738" s="11">
        <f t="shared" si="81"/>
        <v>0.42</v>
      </c>
      <c r="AG1738" s="11">
        <f t="shared" si="82"/>
        <v>7.42</v>
      </c>
      <c r="AH1738" s="11">
        <v>0</v>
      </c>
      <c r="AI1738" s="11">
        <f t="shared" si="83"/>
        <v>7.42</v>
      </c>
      <c r="AJ1738" t="s">
        <v>62</v>
      </c>
    </row>
    <row r="1739" spans="1:36" ht="15" customHeight="1" x14ac:dyDescent="0.35">
      <c r="A1739">
        <v>10428918</v>
      </c>
      <c r="B1739" t="s">
        <v>36</v>
      </c>
      <c r="C1739" t="s">
        <v>37</v>
      </c>
      <c r="D1739" s="6" t="s">
        <v>38</v>
      </c>
      <c r="E1739" t="s">
        <v>5124</v>
      </c>
      <c r="G1739" t="s">
        <v>41</v>
      </c>
      <c r="H1739" t="s">
        <v>4596</v>
      </c>
      <c r="I1739" t="s">
        <v>43</v>
      </c>
      <c r="J1739">
        <v>2</v>
      </c>
      <c r="K1739" t="s">
        <v>44</v>
      </c>
      <c r="L1739" t="s">
        <v>45</v>
      </c>
      <c r="M1739" t="s">
        <v>46</v>
      </c>
      <c r="N1739" s="7">
        <v>2</v>
      </c>
      <c r="O1739" s="8">
        <v>45653.813715277778</v>
      </c>
      <c r="P1739" s="9">
        <v>45656</v>
      </c>
      <c r="Q1739" t="s">
        <v>74</v>
      </c>
      <c r="R1739" t="s">
        <v>48</v>
      </c>
      <c r="S1739" t="s">
        <v>49</v>
      </c>
      <c r="T1739" t="s">
        <v>117</v>
      </c>
      <c r="U1739" t="s">
        <v>4597</v>
      </c>
      <c r="V1739">
        <v>47600</v>
      </c>
      <c r="W1739" t="s">
        <v>48</v>
      </c>
      <c r="X1739" t="s">
        <v>53</v>
      </c>
      <c r="Y1739" t="s">
        <v>54</v>
      </c>
      <c r="Z1739" s="12">
        <f>IF(N1739&lt;=1,9,9+0.8*ROUNDUP(N1739-1,0))</f>
        <v>9.8000000000000007</v>
      </c>
      <c r="AA1739" s="11">
        <v>-2</v>
      </c>
      <c r="AB1739" s="11">
        <v>0</v>
      </c>
      <c r="AC1739" s="11">
        <v>0</v>
      </c>
      <c r="AD1739" s="11">
        <v>0</v>
      </c>
      <c r="AE1739" s="11">
        <v>0</v>
      </c>
      <c r="AF1739" s="11">
        <f t="shared" si="81"/>
        <v>0.46800000000000003</v>
      </c>
      <c r="AG1739" s="11">
        <f t="shared" si="82"/>
        <v>8.2680000000000007</v>
      </c>
      <c r="AH1739" s="11">
        <v>0</v>
      </c>
      <c r="AI1739" s="11">
        <f t="shared" si="83"/>
        <v>8.2680000000000007</v>
      </c>
      <c r="AJ1739" t="s">
        <v>62</v>
      </c>
    </row>
    <row r="1740" spans="1:36" ht="15" customHeight="1" x14ac:dyDescent="0.35">
      <c r="A1740">
        <v>10428918</v>
      </c>
      <c r="B1740" t="s">
        <v>36</v>
      </c>
      <c r="C1740" t="s">
        <v>37</v>
      </c>
      <c r="D1740" s="6" t="s">
        <v>38</v>
      </c>
      <c r="E1740" t="s">
        <v>5125</v>
      </c>
      <c r="G1740" t="s">
        <v>41</v>
      </c>
      <c r="H1740" t="s">
        <v>5126</v>
      </c>
      <c r="I1740" t="s">
        <v>43</v>
      </c>
      <c r="J1740">
        <v>2</v>
      </c>
      <c r="K1740" t="s">
        <v>44</v>
      </c>
      <c r="L1740" t="s">
        <v>45</v>
      </c>
      <c r="M1740" t="s">
        <v>46</v>
      </c>
      <c r="N1740" s="7">
        <v>2</v>
      </c>
      <c r="O1740" s="8">
        <v>45654.416643518518</v>
      </c>
      <c r="P1740" s="9">
        <v>45656</v>
      </c>
      <c r="Q1740" t="s">
        <v>74</v>
      </c>
      <c r="R1740" t="s">
        <v>48</v>
      </c>
      <c r="S1740" t="s">
        <v>49</v>
      </c>
      <c r="T1740" t="s">
        <v>693</v>
      </c>
      <c r="U1740" t="s">
        <v>5127</v>
      </c>
      <c r="V1740">
        <v>2700</v>
      </c>
      <c r="W1740" t="s">
        <v>48</v>
      </c>
      <c r="X1740" t="s">
        <v>53</v>
      </c>
      <c r="Y1740" t="s">
        <v>54</v>
      </c>
      <c r="Z1740" s="12">
        <f>IF(N1740&lt;=1,9,9+0.8*ROUNDUP(N1740-1,0))</f>
        <v>9.8000000000000007</v>
      </c>
      <c r="AA1740" s="11">
        <v>-2</v>
      </c>
      <c r="AB1740" s="11">
        <v>0</v>
      </c>
      <c r="AC1740" s="11">
        <v>0</v>
      </c>
      <c r="AD1740" s="11">
        <v>0</v>
      </c>
      <c r="AE1740" s="11">
        <v>0</v>
      </c>
      <c r="AF1740" s="11">
        <f t="shared" si="81"/>
        <v>0.46800000000000003</v>
      </c>
      <c r="AG1740" s="11">
        <f t="shared" si="82"/>
        <v>8.2680000000000007</v>
      </c>
      <c r="AH1740" s="11">
        <v>0</v>
      </c>
      <c r="AI1740" s="11">
        <f t="shared" si="83"/>
        <v>8.2680000000000007</v>
      </c>
      <c r="AJ1740" t="s">
        <v>62</v>
      </c>
    </row>
    <row r="1741" spans="1:36" ht="15" customHeight="1" x14ac:dyDescent="0.35">
      <c r="A1741">
        <v>10428918</v>
      </c>
      <c r="B1741" t="s">
        <v>36</v>
      </c>
      <c r="C1741" t="s">
        <v>37</v>
      </c>
      <c r="D1741" s="6" t="s">
        <v>38</v>
      </c>
      <c r="E1741" t="s">
        <v>5128</v>
      </c>
      <c r="G1741" t="s">
        <v>41</v>
      </c>
      <c r="H1741" t="s">
        <v>5129</v>
      </c>
      <c r="I1741" t="s">
        <v>43</v>
      </c>
      <c r="J1741">
        <v>2</v>
      </c>
      <c r="K1741" t="s">
        <v>44</v>
      </c>
      <c r="L1741" t="s">
        <v>45</v>
      </c>
      <c r="M1741" t="s">
        <v>46</v>
      </c>
      <c r="N1741" s="7">
        <v>2</v>
      </c>
      <c r="O1741" s="8">
        <v>45654.416631944441</v>
      </c>
      <c r="P1741" s="9">
        <v>45656</v>
      </c>
      <c r="Q1741" t="s">
        <v>74</v>
      </c>
      <c r="R1741" t="s">
        <v>48</v>
      </c>
      <c r="S1741" t="s">
        <v>49</v>
      </c>
      <c r="T1741" t="s">
        <v>69</v>
      </c>
      <c r="U1741" t="s">
        <v>5130</v>
      </c>
      <c r="V1741">
        <v>85000</v>
      </c>
      <c r="W1741" t="s">
        <v>48</v>
      </c>
      <c r="X1741" t="s">
        <v>402</v>
      </c>
      <c r="Y1741" t="s">
        <v>54</v>
      </c>
      <c r="Z1741" s="12">
        <f>IF(N1741&lt;=1,9,9+0.8*ROUNDUP(N1741-1,0))</f>
        <v>9.8000000000000007</v>
      </c>
      <c r="AA1741" s="11">
        <v>-2</v>
      </c>
      <c r="AB1741" s="11">
        <v>0</v>
      </c>
      <c r="AC1741" s="11">
        <v>0</v>
      </c>
      <c r="AD1741" s="11">
        <v>0</v>
      </c>
      <c r="AE1741" s="11">
        <v>0</v>
      </c>
      <c r="AF1741" s="11">
        <f t="shared" si="81"/>
        <v>0.46800000000000003</v>
      </c>
      <c r="AG1741" s="11">
        <f t="shared" si="82"/>
        <v>8.2680000000000007</v>
      </c>
      <c r="AH1741" s="11">
        <v>0</v>
      </c>
      <c r="AI1741" s="11">
        <f t="shared" si="83"/>
        <v>8.2680000000000007</v>
      </c>
      <c r="AJ1741" t="s">
        <v>62</v>
      </c>
    </row>
    <row r="1742" spans="1:36" ht="15" customHeight="1" x14ac:dyDescent="0.35">
      <c r="A1742">
        <v>10428918</v>
      </c>
      <c r="B1742" t="s">
        <v>36</v>
      </c>
      <c r="C1742" t="s">
        <v>37</v>
      </c>
      <c r="D1742" s="6" t="s">
        <v>38</v>
      </c>
      <c r="E1742" t="s">
        <v>5131</v>
      </c>
      <c r="G1742" t="s">
        <v>41</v>
      </c>
      <c r="H1742" t="s">
        <v>5132</v>
      </c>
      <c r="I1742" t="s">
        <v>43</v>
      </c>
      <c r="J1742">
        <v>2</v>
      </c>
      <c r="K1742" t="s">
        <v>44</v>
      </c>
      <c r="L1742" t="s">
        <v>45</v>
      </c>
      <c r="M1742" t="s">
        <v>46</v>
      </c>
      <c r="N1742" s="7">
        <v>1</v>
      </c>
      <c r="O1742" s="8">
        <v>45655.664548611108</v>
      </c>
      <c r="P1742" s="9">
        <v>45656</v>
      </c>
      <c r="Q1742" t="s">
        <v>74</v>
      </c>
      <c r="R1742" t="s">
        <v>48</v>
      </c>
      <c r="S1742" t="s">
        <v>49</v>
      </c>
      <c r="T1742" t="s">
        <v>117</v>
      </c>
      <c r="U1742" t="s">
        <v>5133</v>
      </c>
      <c r="V1742">
        <v>43000</v>
      </c>
      <c r="W1742" t="s">
        <v>48</v>
      </c>
      <c r="X1742" t="s">
        <v>228</v>
      </c>
      <c r="Y1742" t="s">
        <v>54</v>
      </c>
      <c r="Z1742" s="12">
        <f>IF(N1742&lt;=1,9,9+0.8*ROUNDUP(N1742-1,0))</f>
        <v>9</v>
      </c>
      <c r="AA1742" s="11">
        <v>-2</v>
      </c>
      <c r="AB1742" s="11">
        <v>0</v>
      </c>
      <c r="AC1742" s="11">
        <v>0</v>
      </c>
      <c r="AD1742" s="11">
        <v>0</v>
      </c>
      <c r="AE1742" s="11">
        <v>0</v>
      </c>
      <c r="AF1742" s="11">
        <f t="shared" si="81"/>
        <v>0.42</v>
      </c>
      <c r="AG1742" s="11">
        <f t="shared" si="82"/>
        <v>7.42</v>
      </c>
      <c r="AH1742" s="11">
        <v>0</v>
      </c>
      <c r="AI1742" s="11">
        <f t="shared" si="83"/>
        <v>7.42</v>
      </c>
      <c r="AJ1742" t="s">
        <v>62</v>
      </c>
    </row>
    <row r="1743" spans="1:36" ht="15" customHeight="1" x14ac:dyDescent="0.35">
      <c r="A1743">
        <v>10428918</v>
      </c>
      <c r="B1743" t="s">
        <v>36</v>
      </c>
      <c r="C1743" t="s">
        <v>37</v>
      </c>
      <c r="D1743" s="6" t="s">
        <v>38</v>
      </c>
      <c r="E1743" t="s">
        <v>5134</v>
      </c>
      <c r="G1743" t="s">
        <v>41</v>
      </c>
      <c r="H1743" t="s">
        <v>570</v>
      </c>
      <c r="I1743" t="s">
        <v>43</v>
      </c>
      <c r="J1743">
        <v>2</v>
      </c>
      <c r="K1743" t="s">
        <v>44</v>
      </c>
      <c r="L1743" t="s">
        <v>45</v>
      </c>
      <c r="M1743" t="s">
        <v>46</v>
      </c>
      <c r="N1743" s="7">
        <v>6</v>
      </c>
      <c r="O1743" s="8">
        <v>45652.653020833335</v>
      </c>
      <c r="P1743" s="9">
        <v>45656</v>
      </c>
      <c r="Q1743" t="s">
        <v>74</v>
      </c>
      <c r="R1743" t="s">
        <v>48</v>
      </c>
      <c r="S1743" t="s">
        <v>49</v>
      </c>
      <c r="T1743" t="s">
        <v>117</v>
      </c>
      <c r="U1743" t="s">
        <v>571</v>
      </c>
      <c r="V1743">
        <v>40000</v>
      </c>
      <c r="W1743" t="s">
        <v>48</v>
      </c>
      <c r="X1743" t="s">
        <v>53</v>
      </c>
      <c r="Y1743" t="s">
        <v>54</v>
      </c>
      <c r="Z1743" s="12">
        <f>IF(N1743&lt;=1,9,9+0.8*ROUNDUP(N1743-1,0))</f>
        <v>13</v>
      </c>
      <c r="AA1743" s="11">
        <v>-2</v>
      </c>
      <c r="AB1743" s="11">
        <v>0</v>
      </c>
      <c r="AC1743" s="11">
        <v>0</v>
      </c>
      <c r="AD1743" s="11">
        <v>0</v>
      </c>
      <c r="AE1743" s="11">
        <v>0</v>
      </c>
      <c r="AF1743" s="11">
        <f t="shared" si="81"/>
        <v>0.65999999999999992</v>
      </c>
      <c r="AG1743" s="11">
        <f t="shared" si="82"/>
        <v>11.66</v>
      </c>
      <c r="AH1743" s="11">
        <v>0</v>
      </c>
      <c r="AI1743" s="11">
        <f t="shared" si="83"/>
        <v>11.66</v>
      </c>
      <c r="AJ1743" t="s">
        <v>62</v>
      </c>
    </row>
    <row r="1744" spans="1:36" ht="15" customHeight="1" x14ac:dyDescent="0.35">
      <c r="A1744">
        <v>10428918</v>
      </c>
      <c r="B1744" t="s">
        <v>36</v>
      </c>
      <c r="C1744" t="s">
        <v>37</v>
      </c>
      <c r="D1744" s="6" t="s">
        <v>38</v>
      </c>
      <c r="E1744" t="s">
        <v>5135</v>
      </c>
      <c r="G1744" t="s">
        <v>41</v>
      </c>
      <c r="H1744" t="s">
        <v>5136</v>
      </c>
      <c r="I1744" t="s">
        <v>43</v>
      </c>
      <c r="J1744">
        <v>2</v>
      </c>
      <c r="K1744" t="s">
        <v>44</v>
      </c>
      <c r="L1744" t="s">
        <v>45</v>
      </c>
      <c r="M1744" t="s">
        <v>46</v>
      </c>
      <c r="N1744" s="7">
        <v>1</v>
      </c>
      <c r="O1744" s="8">
        <v>45654.650081018517</v>
      </c>
      <c r="P1744" s="9">
        <v>45656</v>
      </c>
      <c r="Q1744" t="s">
        <v>74</v>
      </c>
      <c r="R1744" t="s">
        <v>48</v>
      </c>
      <c r="S1744" t="s">
        <v>49</v>
      </c>
      <c r="T1744" t="s">
        <v>59</v>
      </c>
      <c r="U1744" t="s">
        <v>5137</v>
      </c>
      <c r="V1744">
        <v>18300</v>
      </c>
      <c r="W1744" t="s">
        <v>48</v>
      </c>
      <c r="X1744" t="s">
        <v>61</v>
      </c>
      <c r="Y1744" t="s">
        <v>54</v>
      </c>
      <c r="Z1744" s="12">
        <f>IF(N1744&lt;=1,9,9+0.8*ROUNDUP(N1744-1,0))</f>
        <v>9</v>
      </c>
      <c r="AA1744" s="11">
        <v>-2</v>
      </c>
      <c r="AB1744" s="11">
        <v>0</v>
      </c>
      <c r="AC1744" s="11">
        <v>0</v>
      </c>
      <c r="AD1744" s="11">
        <v>0</v>
      </c>
      <c r="AE1744" s="11">
        <v>0</v>
      </c>
      <c r="AF1744" s="11">
        <f t="shared" si="81"/>
        <v>0.42</v>
      </c>
      <c r="AG1744" s="11">
        <f t="shared" si="82"/>
        <v>7.42</v>
      </c>
      <c r="AH1744" s="11">
        <v>0</v>
      </c>
      <c r="AI1744" s="11">
        <f t="shared" si="83"/>
        <v>7.42</v>
      </c>
      <c r="AJ1744" t="s">
        <v>62</v>
      </c>
    </row>
    <row r="1745" spans="1:36" ht="15" customHeight="1" x14ac:dyDescent="0.35">
      <c r="A1745">
        <v>10428918</v>
      </c>
      <c r="B1745" t="s">
        <v>36</v>
      </c>
      <c r="C1745" t="s">
        <v>37</v>
      </c>
      <c r="D1745" s="6" t="s">
        <v>38</v>
      </c>
      <c r="E1745" t="s">
        <v>5138</v>
      </c>
      <c r="G1745" t="s">
        <v>41</v>
      </c>
      <c r="H1745" t="s">
        <v>5139</v>
      </c>
      <c r="I1745" t="s">
        <v>43</v>
      </c>
      <c r="J1745">
        <v>2</v>
      </c>
      <c r="K1745" t="s">
        <v>44</v>
      </c>
      <c r="L1745" t="s">
        <v>45</v>
      </c>
      <c r="M1745" t="s">
        <v>46</v>
      </c>
      <c r="N1745" s="7">
        <v>1</v>
      </c>
      <c r="O1745" s="8">
        <v>45652.895891203705</v>
      </c>
      <c r="P1745" s="9">
        <v>45656</v>
      </c>
      <c r="Q1745" t="s">
        <v>58</v>
      </c>
      <c r="R1745" t="s">
        <v>48</v>
      </c>
      <c r="S1745" t="s">
        <v>49</v>
      </c>
      <c r="T1745" t="s">
        <v>161</v>
      </c>
      <c r="U1745" t="s">
        <v>5140</v>
      </c>
      <c r="V1745">
        <v>11900</v>
      </c>
      <c r="W1745" t="s">
        <v>48</v>
      </c>
      <c r="X1745" t="s">
        <v>820</v>
      </c>
      <c r="Y1745" t="s">
        <v>54</v>
      </c>
      <c r="Z1745" s="12">
        <f>IF(N1745&lt;=1,9,9+0.8*ROUNDUP(N1745-1,0))</f>
        <v>9</v>
      </c>
      <c r="AA1745" s="11">
        <v>-2</v>
      </c>
      <c r="AB1745" s="11">
        <v>0</v>
      </c>
      <c r="AC1745" s="11">
        <v>0</v>
      </c>
      <c r="AD1745" s="11">
        <v>0</v>
      </c>
      <c r="AE1745" s="11">
        <v>0</v>
      </c>
      <c r="AF1745" s="11">
        <f t="shared" si="81"/>
        <v>0.42</v>
      </c>
      <c r="AG1745" s="11">
        <f t="shared" si="82"/>
        <v>7.42</v>
      </c>
      <c r="AH1745" s="11">
        <v>0</v>
      </c>
      <c r="AI1745" s="11">
        <f t="shared" si="83"/>
        <v>7.42</v>
      </c>
      <c r="AJ1745" t="s">
        <v>62</v>
      </c>
    </row>
    <row r="1746" spans="1:36" ht="15" customHeight="1" x14ac:dyDescent="0.35">
      <c r="A1746">
        <v>10428918</v>
      </c>
      <c r="B1746" t="s">
        <v>36</v>
      </c>
      <c r="C1746" t="s">
        <v>37</v>
      </c>
      <c r="D1746" s="6" t="s">
        <v>38</v>
      </c>
      <c r="E1746" t="s">
        <v>5141</v>
      </c>
      <c r="G1746" t="s">
        <v>41</v>
      </c>
      <c r="H1746" t="s">
        <v>5142</v>
      </c>
      <c r="I1746" t="s">
        <v>43</v>
      </c>
      <c r="J1746">
        <v>2</v>
      </c>
      <c r="K1746" t="s">
        <v>44</v>
      </c>
      <c r="L1746" t="s">
        <v>45</v>
      </c>
      <c r="M1746" t="s">
        <v>46</v>
      </c>
      <c r="N1746" s="7">
        <v>2</v>
      </c>
      <c r="O1746" s="8">
        <v>45655.61215277778</v>
      </c>
      <c r="P1746" s="9">
        <v>45656</v>
      </c>
      <c r="Q1746" t="s">
        <v>74</v>
      </c>
      <c r="R1746" t="s">
        <v>48</v>
      </c>
      <c r="S1746" t="s">
        <v>49</v>
      </c>
      <c r="T1746" t="s">
        <v>117</v>
      </c>
      <c r="U1746" t="s">
        <v>5143</v>
      </c>
      <c r="V1746">
        <v>40150</v>
      </c>
      <c r="W1746" t="s">
        <v>48</v>
      </c>
      <c r="X1746" t="s">
        <v>473</v>
      </c>
      <c r="Y1746" t="s">
        <v>54</v>
      </c>
      <c r="Z1746" s="12">
        <f>IF(N1746&lt;=1,9,9+0.8*ROUNDUP(N1746-1,0))</f>
        <v>9.8000000000000007</v>
      </c>
      <c r="AA1746" s="11">
        <v>-2</v>
      </c>
      <c r="AB1746" s="11">
        <v>0</v>
      </c>
      <c r="AC1746" s="11">
        <v>0</v>
      </c>
      <c r="AD1746" s="11">
        <v>0</v>
      </c>
      <c r="AE1746" s="11">
        <v>0</v>
      </c>
      <c r="AF1746" s="11">
        <f t="shared" si="81"/>
        <v>0.46800000000000003</v>
      </c>
      <c r="AG1746" s="11">
        <f t="shared" si="82"/>
        <v>8.2680000000000007</v>
      </c>
      <c r="AH1746" s="11">
        <v>0</v>
      </c>
      <c r="AI1746" s="11">
        <f t="shared" si="83"/>
        <v>8.2680000000000007</v>
      </c>
      <c r="AJ1746" t="s">
        <v>62</v>
      </c>
    </row>
    <row r="1747" spans="1:36" ht="15" customHeight="1" x14ac:dyDescent="0.35">
      <c r="A1747">
        <v>10428918</v>
      </c>
      <c r="B1747" t="s">
        <v>36</v>
      </c>
      <c r="C1747" t="s">
        <v>37</v>
      </c>
      <c r="D1747" s="6" t="s">
        <v>38</v>
      </c>
      <c r="E1747" t="s">
        <v>5144</v>
      </c>
      <c r="G1747" t="s">
        <v>41</v>
      </c>
      <c r="H1747" t="s">
        <v>5145</v>
      </c>
      <c r="I1747" t="s">
        <v>43</v>
      </c>
      <c r="J1747">
        <v>2</v>
      </c>
      <c r="K1747" t="s">
        <v>44</v>
      </c>
      <c r="L1747" t="s">
        <v>45</v>
      </c>
      <c r="M1747" t="s">
        <v>46</v>
      </c>
      <c r="N1747" s="7">
        <v>1</v>
      </c>
      <c r="O1747" s="8">
        <v>45655.454583333332</v>
      </c>
      <c r="P1747" s="9">
        <v>45656</v>
      </c>
      <c r="Q1747" t="s">
        <v>74</v>
      </c>
      <c r="R1747" t="s">
        <v>48</v>
      </c>
      <c r="S1747" t="s">
        <v>49</v>
      </c>
      <c r="T1747" t="s">
        <v>90</v>
      </c>
      <c r="U1747" t="s">
        <v>5146</v>
      </c>
      <c r="V1747">
        <v>22300</v>
      </c>
      <c r="W1747" t="s">
        <v>48</v>
      </c>
      <c r="X1747" t="s">
        <v>61</v>
      </c>
      <c r="Y1747" t="s">
        <v>54</v>
      </c>
      <c r="Z1747" s="12">
        <f>IF(N1747&lt;=1,9,9+0.8*ROUNDUP(N1747-1,0))</f>
        <v>9</v>
      </c>
      <c r="AA1747" s="11">
        <v>-2</v>
      </c>
      <c r="AB1747" s="11">
        <v>0</v>
      </c>
      <c r="AC1747" s="11">
        <v>0</v>
      </c>
      <c r="AD1747" s="11">
        <v>0</v>
      </c>
      <c r="AE1747" s="11">
        <v>0</v>
      </c>
      <c r="AF1747" s="11">
        <f t="shared" si="81"/>
        <v>0.42</v>
      </c>
      <c r="AG1747" s="11">
        <f t="shared" si="82"/>
        <v>7.42</v>
      </c>
      <c r="AH1747" s="11">
        <v>0</v>
      </c>
      <c r="AI1747" s="11">
        <f t="shared" si="83"/>
        <v>7.42</v>
      </c>
      <c r="AJ1747" t="s">
        <v>62</v>
      </c>
    </row>
    <row r="1748" spans="1:36" ht="15" customHeight="1" x14ac:dyDescent="0.35">
      <c r="A1748">
        <v>10428918</v>
      </c>
      <c r="B1748" t="s">
        <v>36</v>
      </c>
      <c r="C1748" t="s">
        <v>37</v>
      </c>
      <c r="D1748" s="6" t="s">
        <v>38</v>
      </c>
      <c r="E1748" t="s">
        <v>5147</v>
      </c>
      <c r="G1748" t="s">
        <v>41</v>
      </c>
      <c r="H1748" t="s">
        <v>5148</v>
      </c>
      <c r="I1748" t="s">
        <v>43</v>
      </c>
      <c r="J1748">
        <v>2</v>
      </c>
      <c r="K1748" t="s">
        <v>44</v>
      </c>
      <c r="L1748" t="s">
        <v>45</v>
      </c>
      <c r="M1748" t="s">
        <v>46</v>
      </c>
      <c r="N1748" s="7">
        <v>2</v>
      </c>
      <c r="O1748" s="8">
        <v>45654.441666666666</v>
      </c>
      <c r="P1748" s="9">
        <v>45656</v>
      </c>
      <c r="Q1748" t="s">
        <v>74</v>
      </c>
      <c r="R1748" t="s">
        <v>48</v>
      </c>
      <c r="S1748" t="s">
        <v>49</v>
      </c>
      <c r="T1748" t="s">
        <v>117</v>
      </c>
      <c r="U1748" t="s">
        <v>5149</v>
      </c>
      <c r="V1748">
        <v>41000</v>
      </c>
      <c r="W1748" t="s">
        <v>48</v>
      </c>
      <c r="X1748" t="s">
        <v>1458</v>
      </c>
      <c r="Y1748" t="s">
        <v>54</v>
      </c>
      <c r="Z1748" s="12">
        <f>IF(N1748&lt;=1,9,9+0.8*ROUNDUP(N1748-1,0))</f>
        <v>9.8000000000000007</v>
      </c>
      <c r="AA1748" s="11">
        <v>-2</v>
      </c>
      <c r="AB1748" s="11">
        <v>0</v>
      </c>
      <c r="AC1748" s="11">
        <v>0</v>
      </c>
      <c r="AD1748" s="11">
        <v>0</v>
      </c>
      <c r="AE1748" s="11">
        <v>0</v>
      </c>
      <c r="AF1748" s="11">
        <f t="shared" si="81"/>
        <v>0.46800000000000003</v>
      </c>
      <c r="AG1748" s="11">
        <f t="shared" si="82"/>
        <v>8.2680000000000007</v>
      </c>
      <c r="AH1748" s="11">
        <v>0</v>
      </c>
      <c r="AI1748" s="11">
        <f t="shared" si="83"/>
        <v>8.2680000000000007</v>
      </c>
      <c r="AJ1748" t="s">
        <v>62</v>
      </c>
    </row>
    <row r="1749" spans="1:36" ht="15" customHeight="1" x14ac:dyDescent="0.35">
      <c r="A1749">
        <v>10428918</v>
      </c>
      <c r="B1749" t="s">
        <v>36</v>
      </c>
      <c r="C1749" t="s">
        <v>37</v>
      </c>
      <c r="D1749" s="6" t="s">
        <v>38</v>
      </c>
      <c r="E1749" t="s">
        <v>5150</v>
      </c>
      <c r="G1749" t="s">
        <v>41</v>
      </c>
      <c r="H1749" t="s">
        <v>5151</v>
      </c>
      <c r="I1749" t="s">
        <v>43</v>
      </c>
      <c r="J1749">
        <v>2</v>
      </c>
      <c r="K1749" t="s">
        <v>44</v>
      </c>
      <c r="L1749" t="s">
        <v>45</v>
      </c>
      <c r="M1749" t="s">
        <v>46</v>
      </c>
      <c r="N1749" s="7">
        <v>1</v>
      </c>
      <c r="O1749" s="8">
        <v>45653.813726851855</v>
      </c>
      <c r="P1749" s="9">
        <v>45656</v>
      </c>
      <c r="Q1749" t="s">
        <v>74</v>
      </c>
      <c r="R1749" t="s">
        <v>48</v>
      </c>
      <c r="S1749" t="s">
        <v>49</v>
      </c>
      <c r="T1749" t="s">
        <v>69</v>
      </c>
      <c r="U1749" t="s">
        <v>5152</v>
      </c>
      <c r="V1749">
        <v>82000</v>
      </c>
      <c r="W1749" t="s">
        <v>48</v>
      </c>
      <c r="X1749" t="s">
        <v>53</v>
      </c>
      <c r="Y1749" t="s">
        <v>54</v>
      </c>
      <c r="Z1749" s="12">
        <f>IF(N1749&lt;=1,9,9+0.8*ROUNDUP(N1749-1,0))</f>
        <v>9</v>
      </c>
      <c r="AA1749" s="11">
        <v>-2</v>
      </c>
      <c r="AB1749" s="11">
        <v>0</v>
      </c>
      <c r="AC1749" s="11">
        <v>0</v>
      </c>
      <c r="AD1749" s="11">
        <v>0</v>
      </c>
      <c r="AE1749" s="11">
        <v>0</v>
      </c>
      <c r="AF1749" s="11">
        <f t="shared" si="81"/>
        <v>0.42</v>
      </c>
      <c r="AG1749" s="11">
        <f t="shared" si="82"/>
        <v>7.42</v>
      </c>
      <c r="AH1749" s="11">
        <v>0</v>
      </c>
      <c r="AI1749" s="11">
        <f t="shared" si="83"/>
        <v>7.42</v>
      </c>
      <c r="AJ1749" t="s">
        <v>62</v>
      </c>
    </row>
    <row r="1750" spans="1:36" ht="15" customHeight="1" x14ac:dyDescent="0.35">
      <c r="A1750">
        <v>10428918</v>
      </c>
      <c r="B1750" t="s">
        <v>36</v>
      </c>
      <c r="C1750" t="s">
        <v>37</v>
      </c>
      <c r="D1750" s="6" t="s">
        <v>38</v>
      </c>
      <c r="E1750" t="s">
        <v>5153</v>
      </c>
      <c r="G1750" t="s">
        <v>41</v>
      </c>
      <c r="H1750" t="s">
        <v>5154</v>
      </c>
      <c r="I1750" t="s">
        <v>43</v>
      </c>
      <c r="J1750">
        <v>2</v>
      </c>
      <c r="K1750" t="s">
        <v>44</v>
      </c>
      <c r="L1750" t="s">
        <v>45</v>
      </c>
      <c r="M1750" t="s">
        <v>46</v>
      </c>
      <c r="N1750" s="7">
        <v>1</v>
      </c>
      <c r="O1750" s="8">
        <v>45653.793009259258</v>
      </c>
      <c r="P1750" s="9">
        <v>45656</v>
      </c>
      <c r="Q1750" t="s">
        <v>74</v>
      </c>
      <c r="R1750" t="s">
        <v>48</v>
      </c>
      <c r="S1750" t="s">
        <v>49</v>
      </c>
      <c r="T1750" t="s">
        <v>85</v>
      </c>
      <c r="U1750" t="s">
        <v>5155</v>
      </c>
      <c r="V1750">
        <v>73200</v>
      </c>
      <c r="W1750" t="s">
        <v>48</v>
      </c>
      <c r="X1750" t="s">
        <v>53</v>
      </c>
      <c r="Y1750" t="s">
        <v>54</v>
      </c>
      <c r="Z1750" s="12">
        <f>IF(N1750&lt;=1,9,9+0.8*ROUNDUP(N1750-1,0))</f>
        <v>9</v>
      </c>
      <c r="AA1750" s="11">
        <v>-2</v>
      </c>
      <c r="AB1750" s="11">
        <v>0</v>
      </c>
      <c r="AC1750" s="11">
        <v>0</v>
      </c>
      <c r="AD1750" s="11">
        <v>0</v>
      </c>
      <c r="AE1750" s="11">
        <v>0</v>
      </c>
      <c r="AF1750" s="11">
        <f t="shared" si="81"/>
        <v>0.42</v>
      </c>
      <c r="AG1750" s="11">
        <f t="shared" si="82"/>
        <v>7.42</v>
      </c>
      <c r="AH1750" s="11">
        <v>0</v>
      </c>
      <c r="AI1750" s="11">
        <f t="shared" si="83"/>
        <v>7.42</v>
      </c>
      <c r="AJ1750" t="s">
        <v>62</v>
      </c>
    </row>
    <row r="1751" spans="1:36" ht="15" customHeight="1" x14ac:dyDescent="0.35">
      <c r="A1751">
        <v>10428918</v>
      </c>
      <c r="B1751" t="s">
        <v>36</v>
      </c>
      <c r="C1751" t="s">
        <v>37</v>
      </c>
      <c r="D1751" s="6" t="s">
        <v>38</v>
      </c>
      <c r="E1751" t="s">
        <v>5156</v>
      </c>
      <c r="G1751" t="s">
        <v>41</v>
      </c>
      <c r="H1751" t="s">
        <v>576</v>
      </c>
      <c r="I1751" t="s">
        <v>43</v>
      </c>
      <c r="J1751">
        <v>2</v>
      </c>
      <c r="K1751" t="s">
        <v>44</v>
      </c>
      <c r="L1751" t="s">
        <v>45</v>
      </c>
      <c r="M1751" t="s">
        <v>46</v>
      </c>
      <c r="N1751" s="7">
        <v>3</v>
      </c>
      <c r="O1751" s="8">
        <v>45655.536608796298</v>
      </c>
      <c r="P1751" s="9">
        <v>45656</v>
      </c>
      <c r="Q1751" t="s">
        <v>74</v>
      </c>
      <c r="R1751" t="s">
        <v>48</v>
      </c>
      <c r="S1751" t="s">
        <v>49</v>
      </c>
      <c r="T1751" t="s">
        <v>59</v>
      </c>
      <c r="U1751" t="s">
        <v>577</v>
      </c>
      <c r="V1751">
        <v>17000</v>
      </c>
      <c r="W1751" t="s">
        <v>48</v>
      </c>
      <c r="X1751" t="s">
        <v>61</v>
      </c>
      <c r="Y1751" t="s">
        <v>54</v>
      </c>
      <c r="Z1751" s="12">
        <f>IF(N1751&lt;=1,9,9+0.8*ROUNDUP(N1751-1,0))</f>
        <v>10.6</v>
      </c>
      <c r="AA1751" s="11">
        <v>-2</v>
      </c>
      <c r="AB1751" s="11">
        <v>0</v>
      </c>
      <c r="AC1751" s="11">
        <v>0</v>
      </c>
      <c r="AD1751" s="11">
        <v>0</v>
      </c>
      <c r="AE1751" s="11">
        <v>0</v>
      </c>
      <c r="AF1751" s="11">
        <f t="shared" si="81"/>
        <v>0.51600000000000001</v>
      </c>
      <c r="AG1751" s="11">
        <f t="shared" si="82"/>
        <v>9.1159999999999997</v>
      </c>
      <c r="AH1751" s="11">
        <v>0</v>
      </c>
      <c r="AI1751" s="11">
        <f t="shared" si="83"/>
        <v>9.1159999999999997</v>
      </c>
      <c r="AJ1751" t="s">
        <v>62</v>
      </c>
    </row>
    <row r="1752" spans="1:36" ht="15" customHeight="1" x14ac:dyDescent="0.35">
      <c r="A1752">
        <v>10428918</v>
      </c>
      <c r="B1752" t="s">
        <v>36</v>
      </c>
      <c r="C1752" t="s">
        <v>37</v>
      </c>
      <c r="D1752" s="6" t="s">
        <v>38</v>
      </c>
      <c r="E1752" t="s">
        <v>5157</v>
      </c>
      <c r="G1752" t="s">
        <v>41</v>
      </c>
      <c r="H1752" t="s">
        <v>5158</v>
      </c>
      <c r="I1752" t="s">
        <v>43</v>
      </c>
      <c r="J1752">
        <v>2</v>
      </c>
      <c r="K1752" t="s">
        <v>44</v>
      </c>
      <c r="L1752" t="s">
        <v>45</v>
      </c>
      <c r="M1752" t="s">
        <v>46</v>
      </c>
      <c r="N1752" s="7">
        <v>2</v>
      </c>
      <c r="O1752" s="8">
        <v>45655.654398148145</v>
      </c>
      <c r="P1752" s="9">
        <v>45656</v>
      </c>
      <c r="Q1752" t="s">
        <v>74</v>
      </c>
      <c r="R1752" t="s">
        <v>48</v>
      </c>
      <c r="S1752" t="s">
        <v>49</v>
      </c>
      <c r="T1752" t="s">
        <v>75</v>
      </c>
      <c r="U1752" t="s">
        <v>5159</v>
      </c>
      <c r="V1752">
        <v>28050</v>
      </c>
      <c r="W1752" t="s">
        <v>48</v>
      </c>
      <c r="X1752" t="s">
        <v>77</v>
      </c>
      <c r="Y1752" t="s">
        <v>54</v>
      </c>
      <c r="Z1752" s="12">
        <f>IF(N1752&lt;=1,9,9+0.8*ROUNDUP(N1752-1,0))</f>
        <v>9.8000000000000007</v>
      </c>
      <c r="AA1752" s="11">
        <v>-2</v>
      </c>
      <c r="AB1752" s="11">
        <v>0</v>
      </c>
      <c r="AC1752" s="11">
        <v>0</v>
      </c>
      <c r="AD1752" s="11">
        <v>0</v>
      </c>
      <c r="AE1752" s="11">
        <v>0</v>
      </c>
      <c r="AF1752" s="11">
        <f t="shared" si="81"/>
        <v>0.46800000000000003</v>
      </c>
      <c r="AG1752" s="11">
        <f t="shared" si="82"/>
        <v>8.2680000000000007</v>
      </c>
      <c r="AH1752" s="11">
        <v>0</v>
      </c>
      <c r="AI1752" s="11">
        <f t="shared" si="83"/>
        <v>8.2680000000000007</v>
      </c>
      <c r="AJ1752" t="s">
        <v>62</v>
      </c>
    </row>
    <row r="1753" spans="1:36" ht="15" customHeight="1" x14ac:dyDescent="0.35">
      <c r="A1753">
        <v>10428918</v>
      </c>
      <c r="B1753" t="s">
        <v>36</v>
      </c>
      <c r="C1753" t="s">
        <v>37</v>
      </c>
      <c r="D1753" s="6" t="s">
        <v>38</v>
      </c>
      <c r="E1753" t="s">
        <v>5160</v>
      </c>
      <c r="G1753" t="s">
        <v>41</v>
      </c>
      <c r="H1753" t="s">
        <v>341</v>
      </c>
      <c r="I1753" t="s">
        <v>43</v>
      </c>
      <c r="J1753">
        <v>2</v>
      </c>
      <c r="K1753" t="s">
        <v>44</v>
      </c>
      <c r="L1753" t="s">
        <v>45</v>
      </c>
      <c r="M1753" t="s">
        <v>46</v>
      </c>
      <c r="N1753" s="7">
        <v>1</v>
      </c>
      <c r="O1753" s="8">
        <v>45655.454583333332</v>
      </c>
      <c r="P1753" s="9">
        <v>45656</v>
      </c>
      <c r="Q1753" t="s">
        <v>74</v>
      </c>
      <c r="R1753" t="s">
        <v>48</v>
      </c>
      <c r="S1753" t="s">
        <v>49</v>
      </c>
      <c r="T1753" t="s">
        <v>170</v>
      </c>
      <c r="U1753" t="s">
        <v>342</v>
      </c>
      <c r="V1753">
        <v>56100</v>
      </c>
      <c r="W1753" t="s">
        <v>48</v>
      </c>
      <c r="X1753" t="s">
        <v>343</v>
      </c>
      <c r="Y1753" t="s">
        <v>54</v>
      </c>
      <c r="Z1753" s="12">
        <f>IF(N1753&lt;=1,9,9+0.8*ROUNDUP(N1753-1,0))</f>
        <v>9</v>
      </c>
      <c r="AA1753" s="11">
        <v>-2</v>
      </c>
      <c r="AB1753" s="11">
        <v>0</v>
      </c>
      <c r="AC1753" s="11">
        <v>0</v>
      </c>
      <c r="AD1753" s="11">
        <v>0</v>
      </c>
      <c r="AE1753" s="11">
        <v>0</v>
      </c>
      <c r="AF1753" s="11">
        <f t="shared" si="81"/>
        <v>0.42</v>
      </c>
      <c r="AG1753" s="11">
        <f t="shared" si="82"/>
        <v>7.42</v>
      </c>
      <c r="AH1753" s="11">
        <v>0</v>
      </c>
      <c r="AI1753" s="11">
        <f t="shared" si="83"/>
        <v>7.42</v>
      </c>
      <c r="AJ1753" t="s">
        <v>62</v>
      </c>
    </row>
    <row r="1754" spans="1:36" ht="15" customHeight="1" x14ac:dyDescent="0.35">
      <c r="A1754">
        <v>10428918</v>
      </c>
      <c r="B1754" t="s">
        <v>36</v>
      </c>
      <c r="C1754" t="s">
        <v>37</v>
      </c>
      <c r="D1754" s="6" t="s">
        <v>38</v>
      </c>
      <c r="E1754" t="s">
        <v>5161</v>
      </c>
      <c r="G1754" t="s">
        <v>41</v>
      </c>
      <c r="H1754" t="s">
        <v>5162</v>
      </c>
      <c r="I1754" t="s">
        <v>43</v>
      </c>
      <c r="J1754">
        <v>2</v>
      </c>
      <c r="K1754" t="s">
        <v>44</v>
      </c>
      <c r="L1754" t="s">
        <v>45</v>
      </c>
      <c r="M1754" t="s">
        <v>46</v>
      </c>
      <c r="N1754" s="7">
        <v>8.1</v>
      </c>
      <c r="O1754" s="8">
        <v>45654.843113425923</v>
      </c>
      <c r="P1754" s="9">
        <v>45656</v>
      </c>
      <c r="Q1754" t="s">
        <v>74</v>
      </c>
      <c r="R1754" t="s">
        <v>48</v>
      </c>
      <c r="S1754" t="s">
        <v>49</v>
      </c>
      <c r="T1754" t="s">
        <v>117</v>
      </c>
      <c r="U1754" t="s">
        <v>5163</v>
      </c>
      <c r="V1754">
        <v>40460</v>
      </c>
      <c r="W1754" t="s">
        <v>48</v>
      </c>
      <c r="X1754" t="s">
        <v>1458</v>
      </c>
      <c r="Y1754" t="s">
        <v>54</v>
      </c>
      <c r="Z1754" s="12">
        <f>IF(N1754&lt;=1,9,9+0.8*ROUNDUP(N1754-1,0))</f>
        <v>15.4</v>
      </c>
      <c r="AA1754" s="11">
        <v>-2</v>
      </c>
      <c r="AB1754" s="11">
        <v>0</v>
      </c>
      <c r="AC1754" s="11">
        <v>0</v>
      </c>
      <c r="AD1754" s="11">
        <v>0</v>
      </c>
      <c r="AE1754" s="11">
        <v>0</v>
      </c>
      <c r="AF1754" s="11">
        <f t="shared" si="81"/>
        <v>0.80399999999999994</v>
      </c>
      <c r="AG1754" s="11">
        <f t="shared" si="82"/>
        <v>14.204000000000001</v>
      </c>
      <c r="AH1754" s="11">
        <v>0</v>
      </c>
      <c r="AI1754" s="11">
        <f t="shared" si="83"/>
        <v>14.204000000000001</v>
      </c>
      <c r="AJ1754" t="s">
        <v>62</v>
      </c>
    </row>
    <row r="1755" spans="1:36" ht="15" customHeight="1" x14ac:dyDescent="0.35">
      <c r="A1755">
        <v>10428918</v>
      </c>
      <c r="B1755" t="s">
        <v>36</v>
      </c>
      <c r="C1755" t="s">
        <v>37</v>
      </c>
      <c r="D1755" s="6" t="s">
        <v>38</v>
      </c>
      <c r="E1755" t="s">
        <v>5164</v>
      </c>
      <c r="G1755" t="s">
        <v>41</v>
      </c>
      <c r="H1755" t="s">
        <v>5165</v>
      </c>
      <c r="I1755" t="s">
        <v>43</v>
      </c>
      <c r="J1755">
        <v>2</v>
      </c>
      <c r="K1755" t="s">
        <v>44</v>
      </c>
      <c r="L1755" t="s">
        <v>45</v>
      </c>
      <c r="M1755" t="s">
        <v>46</v>
      </c>
      <c r="N1755" s="7">
        <v>1</v>
      </c>
      <c r="O1755" s="8">
        <v>45654.650081018517</v>
      </c>
      <c r="P1755" s="9">
        <v>45656</v>
      </c>
      <c r="Q1755" t="s">
        <v>74</v>
      </c>
      <c r="R1755" t="s">
        <v>48</v>
      </c>
      <c r="S1755" t="s">
        <v>49</v>
      </c>
      <c r="T1755" t="s">
        <v>90</v>
      </c>
      <c r="U1755" t="s">
        <v>5166</v>
      </c>
      <c r="V1755">
        <v>21200</v>
      </c>
      <c r="W1755" t="s">
        <v>48</v>
      </c>
      <c r="X1755" t="s">
        <v>92</v>
      </c>
      <c r="Y1755" t="s">
        <v>54</v>
      </c>
      <c r="Z1755" s="12">
        <f>IF(N1755&lt;=1,9,9+0.8*ROUNDUP(N1755-1,0))</f>
        <v>9</v>
      </c>
      <c r="AA1755" s="11">
        <v>-2</v>
      </c>
      <c r="AB1755" s="11">
        <v>0</v>
      </c>
      <c r="AC1755" s="11">
        <v>0</v>
      </c>
      <c r="AD1755" s="11">
        <v>0</v>
      </c>
      <c r="AE1755" s="11">
        <v>0</v>
      </c>
      <c r="AF1755" s="11">
        <f t="shared" si="81"/>
        <v>0.42</v>
      </c>
      <c r="AG1755" s="11">
        <f t="shared" si="82"/>
        <v>7.42</v>
      </c>
      <c r="AH1755" s="11">
        <v>0</v>
      </c>
      <c r="AI1755" s="11">
        <f t="shared" si="83"/>
        <v>7.42</v>
      </c>
      <c r="AJ1755" t="s">
        <v>62</v>
      </c>
    </row>
    <row r="1756" spans="1:36" ht="15" customHeight="1" x14ac:dyDescent="0.35">
      <c r="A1756">
        <v>10428918</v>
      </c>
      <c r="B1756" t="s">
        <v>36</v>
      </c>
      <c r="C1756" t="s">
        <v>37</v>
      </c>
      <c r="D1756" s="6" t="s">
        <v>38</v>
      </c>
      <c r="E1756" t="s">
        <v>5167</v>
      </c>
      <c r="G1756" t="s">
        <v>41</v>
      </c>
      <c r="H1756" t="s">
        <v>219</v>
      </c>
      <c r="I1756" t="s">
        <v>43</v>
      </c>
      <c r="J1756">
        <v>2</v>
      </c>
      <c r="K1756" t="s">
        <v>44</v>
      </c>
      <c r="L1756" t="s">
        <v>45</v>
      </c>
      <c r="M1756" t="s">
        <v>46</v>
      </c>
      <c r="N1756" s="7">
        <v>1</v>
      </c>
      <c r="O1756" s="8">
        <v>45654.65966435185</v>
      </c>
      <c r="P1756" s="9">
        <v>45656</v>
      </c>
      <c r="Q1756" t="s">
        <v>74</v>
      </c>
      <c r="R1756" t="s">
        <v>48</v>
      </c>
      <c r="S1756" t="s">
        <v>49</v>
      </c>
      <c r="T1756" t="s">
        <v>90</v>
      </c>
      <c r="U1756" t="s">
        <v>220</v>
      </c>
      <c r="V1756">
        <v>24000</v>
      </c>
      <c r="W1756" t="s">
        <v>48</v>
      </c>
      <c r="X1756" t="s">
        <v>77</v>
      </c>
      <c r="Y1756" t="s">
        <v>54</v>
      </c>
      <c r="Z1756" s="12">
        <f>IF(N1756&lt;=1,9,9+0.8*ROUNDUP(N1756-1,0))</f>
        <v>9</v>
      </c>
      <c r="AA1756" s="11">
        <v>-2</v>
      </c>
      <c r="AB1756" s="11">
        <v>0</v>
      </c>
      <c r="AC1756" s="11">
        <v>0</v>
      </c>
      <c r="AD1756" s="11">
        <v>0</v>
      </c>
      <c r="AE1756" s="11">
        <v>0</v>
      </c>
      <c r="AF1756" s="11">
        <f t="shared" si="81"/>
        <v>0.42</v>
      </c>
      <c r="AG1756" s="11">
        <f t="shared" si="82"/>
        <v>7.42</v>
      </c>
      <c r="AH1756" s="11">
        <v>0</v>
      </c>
      <c r="AI1756" s="11">
        <f t="shared" si="83"/>
        <v>7.42</v>
      </c>
      <c r="AJ1756" t="s">
        <v>62</v>
      </c>
    </row>
    <row r="1757" spans="1:36" ht="15" customHeight="1" x14ac:dyDescent="0.35">
      <c r="A1757">
        <v>10428918</v>
      </c>
      <c r="B1757" t="s">
        <v>36</v>
      </c>
      <c r="C1757" t="s">
        <v>37</v>
      </c>
      <c r="D1757" s="6" t="s">
        <v>38</v>
      </c>
      <c r="E1757" t="s">
        <v>5168</v>
      </c>
      <c r="G1757" t="s">
        <v>41</v>
      </c>
      <c r="H1757" t="s">
        <v>5169</v>
      </c>
      <c r="I1757" t="s">
        <v>43</v>
      </c>
      <c r="J1757">
        <v>2</v>
      </c>
      <c r="K1757" t="s">
        <v>44</v>
      </c>
      <c r="L1757" t="s">
        <v>45</v>
      </c>
      <c r="M1757" t="s">
        <v>46</v>
      </c>
      <c r="N1757" s="7">
        <v>1</v>
      </c>
      <c r="O1757" s="8">
        <v>45654.650081018517</v>
      </c>
      <c r="P1757" s="9">
        <v>45656</v>
      </c>
      <c r="Q1757" t="s">
        <v>74</v>
      </c>
      <c r="R1757" t="s">
        <v>48</v>
      </c>
      <c r="S1757" t="s">
        <v>49</v>
      </c>
      <c r="T1757" t="s">
        <v>75</v>
      </c>
      <c r="U1757" t="s">
        <v>5170</v>
      </c>
      <c r="V1757">
        <v>27000</v>
      </c>
      <c r="W1757" t="s">
        <v>48</v>
      </c>
      <c r="X1757" t="s">
        <v>77</v>
      </c>
      <c r="Y1757" t="s">
        <v>54</v>
      </c>
      <c r="Z1757" s="12">
        <f>IF(N1757&lt;=1,9,9+0.8*ROUNDUP(N1757-1,0))</f>
        <v>9</v>
      </c>
      <c r="AA1757" s="11">
        <v>-2</v>
      </c>
      <c r="AB1757" s="11">
        <v>0</v>
      </c>
      <c r="AC1757" s="11">
        <v>0</v>
      </c>
      <c r="AD1757" s="11">
        <v>0</v>
      </c>
      <c r="AE1757" s="11">
        <v>0</v>
      </c>
      <c r="AF1757" s="11">
        <f t="shared" si="81"/>
        <v>0.42</v>
      </c>
      <c r="AG1757" s="11">
        <f t="shared" si="82"/>
        <v>7.42</v>
      </c>
      <c r="AH1757" s="11">
        <v>0</v>
      </c>
      <c r="AI1757" s="11">
        <f t="shared" si="83"/>
        <v>7.42</v>
      </c>
      <c r="AJ1757" t="s">
        <v>62</v>
      </c>
    </row>
    <row r="1758" spans="1:36" ht="15" customHeight="1" x14ac:dyDescent="0.35">
      <c r="A1758">
        <v>10428918</v>
      </c>
      <c r="B1758" t="s">
        <v>36</v>
      </c>
      <c r="C1758" t="s">
        <v>37</v>
      </c>
      <c r="D1758" s="6" t="s">
        <v>38</v>
      </c>
      <c r="E1758" t="s">
        <v>5171</v>
      </c>
      <c r="G1758" t="s">
        <v>41</v>
      </c>
      <c r="H1758" t="s">
        <v>5172</v>
      </c>
      <c r="I1758" t="s">
        <v>43</v>
      </c>
      <c r="J1758">
        <v>2</v>
      </c>
      <c r="K1758" t="s">
        <v>44</v>
      </c>
      <c r="L1758" t="s">
        <v>45</v>
      </c>
      <c r="M1758" t="s">
        <v>46</v>
      </c>
      <c r="N1758" s="7">
        <v>1</v>
      </c>
      <c r="O1758" s="8">
        <v>45655.664548611108</v>
      </c>
      <c r="P1758" s="9">
        <v>45656</v>
      </c>
      <c r="Q1758" t="s">
        <v>74</v>
      </c>
      <c r="R1758" t="s">
        <v>48</v>
      </c>
      <c r="S1758" t="s">
        <v>49</v>
      </c>
      <c r="T1758" t="s">
        <v>75</v>
      </c>
      <c r="U1758" t="s">
        <v>5173</v>
      </c>
      <c r="V1758">
        <v>25150</v>
      </c>
      <c r="W1758" t="s">
        <v>48</v>
      </c>
      <c r="X1758" t="s">
        <v>77</v>
      </c>
      <c r="Y1758" t="s">
        <v>54</v>
      </c>
      <c r="Z1758" s="12">
        <f>IF(N1758&lt;=1,9,9+0.8*ROUNDUP(N1758-1,0))</f>
        <v>9</v>
      </c>
      <c r="AA1758" s="11">
        <v>-2</v>
      </c>
      <c r="AB1758" s="11">
        <v>0</v>
      </c>
      <c r="AC1758" s="11">
        <v>0</v>
      </c>
      <c r="AD1758" s="11">
        <v>0</v>
      </c>
      <c r="AE1758" s="11">
        <v>0</v>
      </c>
      <c r="AF1758" s="11">
        <f t="shared" si="81"/>
        <v>0.42</v>
      </c>
      <c r="AG1758" s="11">
        <f t="shared" si="82"/>
        <v>7.42</v>
      </c>
      <c r="AH1758" s="11">
        <v>0</v>
      </c>
      <c r="AI1758" s="11">
        <f t="shared" si="83"/>
        <v>7.42</v>
      </c>
      <c r="AJ1758" t="s">
        <v>62</v>
      </c>
    </row>
    <row r="1759" spans="1:36" ht="15" customHeight="1" x14ac:dyDescent="0.35">
      <c r="A1759">
        <v>10428918</v>
      </c>
      <c r="B1759" t="s">
        <v>36</v>
      </c>
      <c r="C1759" t="s">
        <v>37</v>
      </c>
      <c r="D1759" s="6" t="s">
        <v>38</v>
      </c>
      <c r="E1759" t="s">
        <v>5174</v>
      </c>
      <c r="G1759" t="s">
        <v>41</v>
      </c>
      <c r="H1759" t="s">
        <v>5175</v>
      </c>
      <c r="I1759" t="s">
        <v>43</v>
      </c>
      <c r="J1759">
        <v>2</v>
      </c>
      <c r="K1759" t="s">
        <v>44</v>
      </c>
      <c r="L1759" t="s">
        <v>45</v>
      </c>
      <c r="M1759" t="s">
        <v>46</v>
      </c>
      <c r="N1759" s="7">
        <v>2</v>
      </c>
      <c r="O1759" s="8">
        <v>45655.612129629626</v>
      </c>
      <c r="P1759" s="9">
        <v>45656</v>
      </c>
      <c r="Q1759" t="s">
        <v>74</v>
      </c>
      <c r="R1759" t="s">
        <v>48</v>
      </c>
      <c r="S1759" t="s">
        <v>49</v>
      </c>
      <c r="T1759" t="s">
        <v>59</v>
      </c>
      <c r="U1759" t="s">
        <v>5176</v>
      </c>
      <c r="V1759">
        <v>18200</v>
      </c>
      <c r="W1759" t="s">
        <v>48</v>
      </c>
      <c r="X1759" t="s">
        <v>61</v>
      </c>
      <c r="Y1759" t="s">
        <v>54</v>
      </c>
      <c r="Z1759" s="12">
        <f>IF(N1759&lt;=1,9,9+0.8*ROUNDUP(N1759-1,0))</f>
        <v>9.8000000000000007</v>
      </c>
      <c r="AA1759" s="11">
        <v>-2</v>
      </c>
      <c r="AB1759" s="11">
        <v>0</v>
      </c>
      <c r="AC1759" s="11">
        <v>0</v>
      </c>
      <c r="AD1759" s="11">
        <v>0</v>
      </c>
      <c r="AE1759" s="11">
        <v>0</v>
      </c>
      <c r="AF1759" s="11">
        <f t="shared" si="81"/>
        <v>0.46800000000000003</v>
      </c>
      <c r="AG1759" s="11">
        <f t="shared" si="82"/>
        <v>8.2680000000000007</v>
      </c>
      <c r="AH1759" s="11">
        <v>0</v>
      </c>
      <c r="AI1759" s="11">
        <f t="shared" si="83"/>
        <v>8.2680000000000007</v>
      </c>
      <c r="AJ1759" t="s">
        <v>62</v>
      </c>
    </row>
    <row r="1760" spans="1:36" ht="15" customHeight="1" x14ac:dyDescent="0.35">
      <c r="A1760">
        <v>10428918</v>
      </c>
      <c r="B1760" t="s">
        <v>36</v>
      </c>
      <c r="C1760" t="s">
        <v>37</v>
      </c>
      <c r="D1760" s="6" t="s">
        <v>38</v>
      </c>
      <c r="E1760" t="s">
        <v>5177</v>
      </c>
      <c r="G1760" t="s">
        <v>41</v>
      </c>
      <c r="H1760" t="s">
        <v>5178</v>
      </c>
      <c r="I1760" t="s">
        <v>43</v>
      </c>
      <c r="J1760">
        <v>2</v>
      </c>
      <c r="K1760" t="s">
        <v>44</v>
      </c>
      <c r="L1760" t="s">
        <v>45</v>
      </c>
      <c r="M1760" t="s">
        <v>46</v>
      </c>
      <c r="N1760" s="7">
        <v>1</v>
      </c>
      <c r="O1760" s="8">
        <v>45654.64403935185</v>
      </c>
      <c r="P1760" s="9">
        <v>45656</v>
      </c>
      <c r="Q1760" t="s">
        <v>74</v>
      </c>
      <c r="R1760" t="s">
        <v>48</v>
      </c>
      <c r="S1760" t="s">
        <v>49</v>
      </c>
      <c r="T1760" t="s">
        <v>75</v>
      </c>
      <c r="U1760" t="s">
        <v>5179</v>
      </c>
      <c r="V1760">
        <v>26400</v>
      </c>
      <c r="W1760" t="s">
        <v>48</v>
      </c>
      <c r="X1760" t="s">
        <v>77</v>
      </c>
      <c r="Y1760" t="s">
        <v>54</v>
      </c>
      <c r="Z1760" s="12">
        <f>IF(N1760&lt;=1,9,9+0.8*ROUNDUP(N1760-1,0))</f>
        <v>9</v>
      </c>
      <c r="AA1760" s="11">
        <v>-2</v>
      </c>
      <c r="AB1760" s="11">
        <v>0</v>
      </c>
      <c r="AC1760" s="11">
        <v>0</v>
      </c>
      <c r="AD1760" s="11">
        <v>0</v>
      </c>
      <c r="AE1760" s="11">
        <v>0</v>
      </c>
      <c r="AF1760" s="11">
        <f t="shared" si="81"/>
        <v>0.42</v>
      </c>
      <c r="AG1760" s="11">
        <f t="shared" si="82"/>
        <v>7.42</v>
      </c>
      <c r="AH1760" s="11">
        <v>0</v>
      </c>
      <c r="AI1760" s="11">
        <f t="shared" si="83"/>
        <v>7.42</v>
      </c>
      <c r="AJ1760" t="s">
        <v>62</v>
      </c>
    </row>
    <row r="1761" spans="1:36" ht="15" customHeight="1" x14ac:dyDescent="0.35">
      <c r="A1761">
        <v>10428918</v>
      </c>
      <c r="B1761" t="s">
        <v>36</v>
      </c>
      <c r="C1761" t="s">
        <v>37</v>
      </c>
      <c r="D1761" s="6" t="s">
        <v>38</v>
      </c>
      <c r="E1761" t="s">
        <v>5180</v>
      </c>
      <c r="G1761" t="s">
        <v>41</v>
      </c>
      <c r="H1761" t="s">
        <v>5181</v>
      </c>
      <c r="I1761" t="s">
        <v>43</v>
      </c>
      <c r="J1761">
        <v>2</v>
      </c>
      <c r="K1761" t="s">
        <v>44</v>
      </c>
      <c r="L1761" t="s">
        <v>45</v>
      </c>
      <c r="M1761" t="s">
        <v>46</v>
      </c>
      <c r="N1761" s="7">
        <v>2</v>
      </c>
      <c r="O1761" s="8">
        <v>45655.61215277778</v>
      </c>
      <c r="P1761" s="9">
        <v>45656</v>
      </c>
      <c r="Q1761" t="s">
        <v>74</v>
      </c>
      <c r="R1761" t="s">
        <v>48</v>
      </c>
      <c r="S1761" t="s">
        <v>49</v>
      </c>
      <c r="T1761" t="s">
        <v>75</v>
      </c>
      <c r="U1761" t="s">
        <v>5182</v>
      </c>
      <c r="V1761">
        <v>25050</v>
      </c>
      <c r="W1761" t="s">
        <v>48</v>
      </c>
      <c r="X1761" t="s">
        <v>77</v>
      </c>
      <c r="Y1761" t="s">
        <v>54</v>
      </c>
      <c r="Z1761" s="12">
        <f>IF(N1761&lt;=1,9,9+0.8*ROUNDUP(N1761-1,0))</f>
        <v>9.8000000000000007</v>
      </c>
      <c r="AA1761" s="11">
        <v>-2</v>
      </c>
      <c r="AB1761" s="11">
        <v>0</v>
      </c>
      <c r="AC1761" s="11">
        <v>0</v>
      </c>
      <c r="AD1761" s="11">
        <v>0</v>
      </c>
      <c r="AE1761" s="11">
        <v>0</v>
      </c>
      <c r="AF1761" s="11">
        <f t="shared" si="81"/>
        <v>0.46800000000000003</v>
      </c>
      <c r="AG1761" s="11">
        <f t="shared" si="82"/>
        <v>8.2680000000000007</v>
      </c>
      <c r="AH1761" s="11">
        <v>0</v>
      </c>
      <c r="AI1761" s="11">
        <f t="shared" si="83"/>
        <v>8.2680000000000007</v>
      </c>
      <c r="AJ1761" t="s">
        <v>62</v>
      </c>
    </row>
    <row r="1762" spans="1:36" ht="15" customHeight="1" x14ac:dyDescent="0.35">
      <c r="A1762">
        <v>10428918</v>
      </c>
      <c r="B1762" t="s">
        <v>36</v>
      </c>
      <c r="C1762" t="s">
        <v>37</v>
      </c>
      <c r="D1762" s="6" t="s">
        <v>38</v>
      </c>
      <c r="E1762" t="s">
        <v>5183</v>
      </c>
      <c r="G1762" t="s">
        <v>41</v>
      </c>
      <c r="H1762" t="s">
        <v>5184</v>
      </c>
      <c r="I1762" t="s">
        <v>43</v>
      </c>
      <c r="J1762">
        <v>2</v>
      </c>
      <c r="K1762" t="s">
        <v>44</v>
      </c>
      <c r="L1762" t="s">
        <v>45</v>
      </c>
      <c r="M1762" t="s">
        <v>46</v>
      </c>
      <c r="N1762" s="7">
        <v>1</v>
      </c>
      <c r="O1762" s="8">
        <v>45655.605613425927</v>
      </c>
      <c r="P1762" s="9">
        <v>45656</v>
      </c>
      <c r="Q1762" t="s">
        <v>74</v>
      </c>
      <c r="R1762" t="s">
        <v>48</v>
      </c>
      <c r="S1762" t="s">
        <v>49</v>
      </c>
      <c r="T1762" t="s">
        <v>59</v>
      </c>
      <c r="U1762" t="s">
        <v>5185</v>
      </c>
      <c r="V1762">
        <v>16100</v>
      </c>
      <c r="W1762" t="s">
        <v>48</v>
      </c>
      <c r="X1762" t="s">
        <v>61</v>
      </c>
      <c r="Y1762" t="s">
        <v>54</v>
      </c>
      <c r="Z1762" s="12">
        <f>IF(N1762&lt;=1,9,9+0.8*ROUNDUP(N1762-1,0))</f>
        <v>9</v>
      </c>
      <c r="AA1762" s="11">
        <v>-2</v>
      </c>
      <c r="AB1762" s="11">
        <v>0</v>
      </c>
      <c r="AC1762" s="11">
        <v>0</v>
      </c>
      <c r="AD1762" s="11">
        <v>0</v>
      </c>
      <c r="AE1762" s="11">
        <v>0</v>
      </c>
      <c r="AF1762" s="11">
        <f t="shared" si="81"/>
        <v>0.42</v>
      </c>
      <c r="AG1762" s="11">
        <f t="shared" si="82"/>
        <v>7.42</v>
      </c>
      <c r="AH1762" s="11">
        <v>0</v>
      </c>
      <c r="AI1762" s="11">
        <f t="shared" si="83"/>
        <v>7.42</v>
      </c>
      <c r="AJ1762" t="s">
        <v>62</v>
      </c>
    </row>
    <row r="1763" spans="1:36" ht="15" customHeight="1" x14ac:dyDescent="0.35">
      <c r="A1763">
        <v>10428918</v>
      </c>
      <c r="B1763" t="s">
        <v>36</v>
      </c>
      <c r="C1763" t="s">
        <v>37</v>
      </c>
      <c r="D1763" s="6" t="s">
        <v>38</v>
      </c>
      <c r="E1763" t="s">
        <v>5186</v>
      </c>
      <c r="G1763" t="s">
        <v>41</v>
      </c>
      <c r="H1763" t="s">
        <v>5187</v>
      </c>
      <c r="I1763" t="s">
        <v>43</v>
      </c>
      <c r="J1763">
        <v>2</v>
      </c>
      <c r="K1763" t="s">
        <v>44</v>
      </c>
      <c r="L1763" t="s">
        <v>45</v>
      </c>
      <c r="M1763" t="s">
        <v>46</v>
      </c>
      <c r="N1763" s="7">
        <v>1</v>
      </c>
      <c r="O1763" s="8">
        <v>45654.416643518518</v>
      </c>
      <c r="P1763" s="9">
        <v>45656</v>
      </c>
      <c r="Q1763" t="s">
        <v>74</v>
      </c>
      <c r="R1763" t="s">
        <v>48</v>
      </c>
      <c r="S1763" t="s">
        <v>49</v>
      </c>
      <c r="T1763" t="s">
        <v>117</v>
      </c>
      <c r="U1763" t="s">
        <v>5188</v>
      </c>
      <c r="V1763">
        <v>40470</v>
      </c>
      <c r="W1763" t="s">
        <v>48</v>
      </c>
      <c r="X1763" t="s">
        <v>53</v>
      </c>
      <c r="Y1763" t="s">
        <v>54</v>
      </c>
      <c r="Z1763" s="12">
        <f>IF(N1763&lt;=1,9,9+0.8*ROUNDUP(N1763-1,0))</f>
        <v>9</v>
      </c>
      <c r="AA1763" s="11">
        <v>-2</v>
      </c>
      <c r="AB1763" s="11">
        <v>0</v>
      </c>
      <c r="AC1763" s="11">
        <v>0</v>
      </c>
      <c r="AD1763" s="11">
        <v>0</v>
      </c>
      <c r="AE1763" s="11">
        <v>0</v>
      </c>
      <c r="AF1763" s="11">
        <f t="shared" si="81"/>
        <v>0.42</v>
      </c>
      <c r="AG1763" s="11">
        <f t="shared" si="82"/>
        <v>7.42</v>
      </c>
      <c r="AH1763" s="11">
        <v>0</v>
      </c>
      <c r="AI1763" s="11">
        <f t="shared" si="83"/>
        <v>7.42</v>
      </c>
      <c r="AJ1763" t="s">
        <v>62</v>
      </c>
    </row>
    <row r="1764" spans="1:36" ht="15" customHeight="1" x14ac:dyDescent="0.35">
      <c r="A1764">
        <v>10428918</v>
      </c>
      <c r="B1764" t="s">
        <v>36</v>
      </c>
      <c r="C1764" t="s">
        <v>37</v>
      </c>
      <c r="D1764" s="6" t="s">
        <v>38</v>
      </c>
      <c r="E1764" t="s">
        <v>5189</v>
      </c>
      <c r="G1764" t="s">
        <v>41</v>
      </c>
      <c r="H1764" t="s">
        <v>5190</v>
      </c>
      <c r="I1764" t="s">
        <v>43</v>
      </c>
      <c r="J1764">
        <v>2</v>
      </c>
      <c r="K1764" t="s">
        <v>44</v>
      </c>
      <c r="L1764" t="s">
        <v>45</v>
      </c>
      <c r="M1764" t="s">
        <v>46</v>
      </c>
      <c r="N1764" s="7">
        <v>2</v>
      </c>
      <c r="O1764" s="8">
        <v>45654.441666666666</v>
      </c>
      <c r="P1764" s="9">
        <v>45656</v>
      </c>
      <c r="Q1764" t="s">
        <v>74</v>
      </c>
      <c r="R1764" t="s">
        <v>48</v>
      </c>
      <c r="S1764" t="s">
        <v>49</v>
      </c>
      <c r="T1764" t="s">
        <v>59</v>
      </c>
      <c r="U1764" t="s">
        <v>5191</v>
      </c>
      <c r="V1764">
        <v>17500</v>
      </c>
      <c r="W1764" t="s">
        <v>48</v>
      </c>
      <c r="X1764" t="s">
        <v>61</v>
      </c>
      <c r="Y1764" t="s">
        <v>54</v>
      </c>
      <c r="Z1764" s="12">
        <f>IF(N1764&lt;=1,9,9+0.8*ROUNDUP(N1764-1,0))</f>
        <v>9.8000000000000007</v>
      </c>
      <c r="AA1764" s="11">
        <v>-2</v>
      </c>
      <c r="AB1764" s="11">
        <v>0</v>
      </c>
      <c r="AC1764" s="11">
        <v>0</v>
      </c>
      <c r="AD1764" s="11">
        <v>0</v>
      </c>
      <c r="AE1764" s="11">
        <v>0</v>
      </c>
      <c r="AF1764" s="11">
        <f t="shared" si="81"/>
        <v>0.46800000000000003</v>
      </c>
      <c r="AG1764" s="11">
        <f t="shared" si="82"/>
        <v>8.2680000000000007</v>
      </c>
      <c r="AH1764" s="11">
        <v>0</v>
      </c>
      <c r="AI1764" s="11">
        <f t="shared" si="83"/>
        <v>8.2680000000000007</v>
      </c>
      <c r="AJ1764" t="s">
        <v>62</v>
      </c>
    </row>
    <row r="1765" spans="1:36" ht="15" customHeight="1" x14ac:dyDescent="0.35">
      <c r="A1765">
        <v>10428918</v>
      </c>
      <c r="B1765" t="s">
        <v>36</v>
      </c>
      <c r="C1765" t="s">
        <v>37</v>
      </c>
      <c r="D1765" s="6" t="s">
        <v>38</v>
      </c>
      <c r="E1765" t="s">
        <v>5192</v>
      </c>
      <c r="G1765" t="s">
        <v>41</v>
      </c>
      <c r="H1765" t="s">
        <v>5193</v>
      </c>
      <c r="I1765" t="s">
        <v>43</v>
      </c>
      <c r="J1765">
        <v>2</v>
      </c>
      <c r="K1765" t="s">
        <v>44</v>
      </c>
      <c r="L1765" t="s">
        <v>45</v>
      </c>
      <c r="M1765" t="s">
        <v>46</v>
      </c>
      <c r="N1765" s="7">
        <v>3</v>
      </c>
      <c r="O1765" s="8">
        <v>45653.792997685188</v>
      </c>
      <c r="P1765" s="9">
        <v>45656</v>
      </c>
      <c r="Q1765" t="s">
        <v>74</v>
      </c>
      <c r="R1765" t="s">
        <v>48</v>
      </c>
      <c r="S1765" t="s">
        <v>49</v>
      </c>
      <c r="T1765" t="s">
        <v>161</v>
      </c>
      <c r="U1765" t="s">
        <v>5194</v>
      </c>
      <c r="V1765">
        <v>13300</v>
      </c>
      <c r="W1765" t="s">
        <v>48</v>
      </c>
      <c r="X1765" t="s">
        <v>812</v>
      </c>
      <c r="Y1765" t="s">
        <v>54</v>
      </c>
      <c r="Z1765" s="12">
        <f>IF(N1765&lt;=1,9,9+0.8*ROUNDUP(N1765-1,0))</f>
        <v>10.6</v>
      </c>
      <c r="AA1765" s="11">
        <v>-2</v>
      </c>
      <c r="AB1765" s="11">
        <v>0</v>
      </c>
      <c r="AC1765" s="11">
        <v>0</v>
      </c>
      <c r="AD1765" s="11">
        <v>0</v>
      </c>
      <c r="AE1765" s="11">
        <v>0</v>
      </c>
      <c r="AF1765" s="11">
        <f t="shared" si="81"/>
        <v>0.51600000000000001</v>
      </c>
      <c r="AG1765" s="11">
        <f t="shared" si="82"/>
        <v>9.1159999999999997</v>
      </c>
      <c r="AH1765" s="11">
        <v>0</v>
      </c>
      <c r="AI1765" s="11">
        <f t="shared" si="83"/>
        <v>9.1159999999999997</v>
      </c>
      <c r="AJ1765" t="s">
        <v>62</v>
      </c>
    </row>
    <row r="1766" spans="1:36" ht="15" customHeight="1" x14ac:dyDescent="0.35">
      <c r="A1766">
        <v>10428918</v>
      </c>
      <c r="B1766" t="s">
        <v>36</v>
      </c>
      <c r="C1766" t="s">
        <v>37</v>
      </c>
      <c r="D1766" s="6" t="s">
        <v>38</v>
      </c>
      <c r="E1766" t="s">
        <v>5195</v>
      </c>
      <c r="G1766" t="s">
        <v>41</v>
      </c>
      <c r="H1766" t="s">
        <v>4114</v>
      </c>
      <c r="I1766" t="s">
        <v>43</v>
      </c>
      <c r="J1766">
        <v>2</v>
      </c>
      <c r="K1766" t="s">
        <v>44</v>
      </c>
      <c r="L1766" t="s">
        <v>45</v>
      </c>
      <c r="M1766" t="s">
        <v>46</v>
      </c>
      <c r="N1766" s="7">
        <v>1</v>
      </c>
      <c r="O1766" s="8">
        <v>45652.881203703706</v>
      </c>
      <c r="P1766" s="9">
        <v>45656</v>
      </c>
      <c r="Q1766" t="s">
        <v>58</v>
      </c>
      <c r="R1766" t="s">
        <v>48</v>
      </c>
      <c r="S1766" t="s">
        <v>49</v>
      </c>
      <c r="T1766" t="s">
        <v>117</v>
      </c>
      <c r="U1766" t="s">
        <v>4115</v>
      </c>
      <c r="V1766">
        <v>53100</v>
      </c>
      <c r="W1766" t="s">
        <v>48</v>
      </c>
      <c r="X1766" t="s">
        <v>350</v>
      </c>
      <c r="Y1766" t="s">
        <v>54</v>
      </c>
      <c r="Z1766" s="12">
        <f>IF(N1766&lt;=1,9,9+0.8*ROUNDUP(N1766-1,0))</f>
        <v>9</v>
      </c>
      <c r="AA1766" s="11">
        <v>-2</v>
      </c>
      <c r="AB1766" s="11">
        <v>0</v>
      </c>
      <c r="AC1766" s="11">
        <v>0</v>
      </c>
      <c r="AD1766" s="11">
        <v>0</v>
      </c>
      <c r="AE1766" s="11">
        <v>0</v>
      </c>
      <c r="AF1766" s="11">
        <f t="shared" si="81"/>
        <v>0.42</v>
      </c>
      <c r="AG1766" s="11">
        <f t="shared" si="82"/>
        <v>7.42</v>
      </c>
      <c r="AH1766" s="11">
        <v>0</v>
      </c>
      <c r="AI1766" s="11">
        <f t="shared" si="83"/>
        <v>7.42</v>
      </c>
      <c r="AJ1766" t="s">
        <v>62</v>
      </c>
    </row>
    <row r="1767" spans="1:36" ht="15" customHeight="1" x14ac:dyDescent="0.35">
      <c r="A1767">
        <v>10428918</v>
      </c>
      <c r="B1767" t="s">
        <v>36</v>
      </c>
      <c r="C1767" t="s">
        <v>37</v>
      </c>
      <c r="D1767" s="6" t="s">
        <v>38</v>
      </c>
      <c r="E1767" t="s">
        <v>5196</v>
      </c>
      <c r="G1767" t="s">
        <v>41</v>
      </c>
      <c r="H1767" t="s">
        <v>5197</v>
      </c>
      <c r="I1767" t="s">
        <v>43</v>
      </c>
      <c r="J1767">
        <v>2</v>
      </c>
      <c r="K1767" t="s">
        <v>44</v>
      </c>
      <c r="L1767" t="s">
        <v>45</v>
      </c>
      <c r="M1767" t="s">
        <v>46</v>
      </c>
      <c r="N1767" s="7">
        <v>1</v>
      </c>
      <c r="O1767" s="8">
        <v>45653.798148148147</v>
      </c>
      <c r="P1767" s="9">
        <v>45656</v>
      </c>
      <c r="Q1767" t="s">
        <v>74</v>
      </c>
      <c r="R1767" t="s">
        <v>48</v>
      </c>
      <c r="S1767" t="s">
        <v>49</v>
      </c>
      <c r="T1767" t="s">
        <v>80</v>
      </c>
      <c r="U1767" t="s">
        <v>5198</v>
      </c>
      <c r="V1767">
        <v>9000</v>
      </c>
      <c r="W1767" t="s">
        <v>48</v>
      </c>
      <c r="X1767" t="s">
        <v>690</v>
      </c>
      <c r="Y1767" t="s">
        <v>54</v>
      </c>
      <c r="Z1767" s="12">
        <f>IF(N1767&lt;=1,9,9+0.8*ROUNDUP(N1767-1,0))</f>
        <v>9</v>
      </c>
      <c r="AA1767" s="11">
        <v>-2</v>
      </c>
      <c r="AB1767" s="11">
        <v>0</v>
      </c>
      <c r="AC1767" s="11">
        <v>0</v>
      </c>
      <c r="AD1767" s="11">
        <v>0</v>
      </c>
      <c r="AE1767" s="11">
        <v>0</v>
      </c>
      <c r="AF1767" s="11">
        <f t="shared" si="81"/>
        <v>0.42</v>
      </c>
      <c r="AG1767" s="11">
        <f t="shared" si="82"/>
        <v>7.42</v>
      </c>
      <c r="AH1767" s="11">
        <v>0</v>
      </c>
      <c r="AI1767" s="11">
        <f t="shared" si="83"/>
        <v>7.42</v>
      </c>
      <c r="AJ1767" t="s">
        <v>62</v>
      </c>
    </row>
    <row r="1768" spans="1:36" ht="15" customHeight="1" x14ac:dyDescent="0.35">
      <c r="A1768">
        <v>10428918</v>
      </c>
      <c r="B1768" t="s">
        <v>36</v>
      </c>
      <c r="C1768" t="s">
        <v>37</v>
      </c>
      <c r="D1768" s="6" t="s">
        <v>38</v>
      </c>
      <c r="E1768" t="s">
        <v>5199</v>
      </c>
      <c r="G1768" t="s">
        <v>41</v>
      </c>
      <c r="H1768" t="s">
        <v>5200</v>
      </c>
      <c r="I1768" t="s">
        <v>43</v>
      </c>
      <c r="J1768">
        <v>2</v>
      </c>
      <c r="K1768" t="s">
        <v>44</v>
      </c>
      <c r="L1768" t="s">
        <v>45</v>
      </c>
      <c r="M1768" t="s">
        <v>46</v>
      </c>
      <c r="N1768" s="7">
        <v>1</v>
      </c>
      <c r="O1768" s="8">
        <v>45654.441666666666</v>
      </c>
      <c r="P1768" s="9">
        <v>45656</v>
      </c>
      <c r="Q1768" t="s">
        <v>74</v>
      </c>
      <c r="R1768" t="s">
        <v>48</v>
      </c>
      <c r="S1768" t="s">
        <v>49</v>
      </c>
      <c r="T1768" t="s">
        <v>117</v>
      </c>
      <c r="U1768" t="s">
        <v>5201</v>
      </c>
      <c r="V1768">
        <v>48010</v>
      </c>
      <c r="W1768" t="s">
        <v>48</v>
      </c>
      <c r="X1768" t="s">
        <v>254</v>
      </c>
      <c r="Y1768" t="s">
        <v>54</v>
      </c>
      <c r="Z1768" s="12">
        <f>IF(N1768&lt;=1,9,9+0.8*ROUNDUP(N1768-1,0))</f>
        <v>9</v>
      </c>
      <c r="AA1768" s="11">
        <v>-2</v>
      </c>
      <c r="AB1768" s="11">
        <v>0</v>
      </c>
      <c r="AC1768" s="11">
        <v>0</v>
      </c>
      <c r="AD1768" s="11">
        <v>0</v>
      </c>
      <c r="AE1768" s="11">
        <v>0</v>
      </c>
      <c r="AF1768" s="11">
        <f t="shared" si="81"/>
        <v>0.42</v>
      </c>
      <c r="AG1768" s="11">
        <f t="shared" si="82"/>
        <v>7.42</v>
      </c>
      <c r="AH1768" s="11">
        <v>0</v>
      </c>
      <c r="AI1768" s="11">
        <f t="shared" si="83"/>
        <v>7.42</v>
      </c>
      <c r="AJ1768" t="s">
        <v>62</v>
      </c>
    </row>
    <row r="1769" spans="1:36" ht="15" customHeight="1" x14ac:dyDescent="0.35">
      <c r="A1769">
        <v>10428918</v>
      </c>
      <c r="B1769" t="s">
        <v>36</v>
      </c>
      <c r="C1769" t="s">
        <v>37</v>
      </c>
      <c r="D1769" s="6" t="s">
        <v>38</v>
      </c>
      <c r="E1769" t="s">
        <v>5202</v>
      </c>
      <c r="G1769" t="s">
        <v>41</v>
      </c>
      <c r="H1769" t="s">
        <v>5203</v>
      </c>
      <c r="I1769" t="s">
        <v>43</v>
      </c>
      <c r="J1769">
        <v>2</v>
      </c>
      <c r="K1769" t="s">
        <v>44</v>
      </c>
      <c r="L1769" t="s">
        <v>45</v>
      </c>
      <c r="M1769" t="s">
        <v>46</v>
      </c>
      <c r="N1769" s="7">
        <v>2</v>
      </c>
      <c r="O1769" s="8">
        <v>45655.605624999997</v>
      </c>
      <c r="P1769" s="9">
        <v>45656</v>
      </c>
      <c r="Q1769" t="s">
        <v>74</v>
      </c>
      <c r="R1769" t="s">
        <v>48</v>
      </c>
      <c r="S1769" t="s">
        <v>49</v>
      </c>
      <c r="T1769" t="s">
        <v>59</v>
      </c>
      <c r="U1769" t="s">
        <v>5204</v>
      </c>
      <c r="V1769">
        <v>16150</v>
      </c>
      <c r="W1769" t="s">
        <v>48</v>
      </c>
      <c r="X1769" t="s">
        <v>61</v>
      </c>
      <c r="Y1769" t="s">
        <v>54</v>
      </c>
      <c r="Z1769" s="12">
        <f>IF(N1769&lt;=1,9,9+0.8*ROUNDUP(N1769-1,0))</f>
        <v>9.8000000000000007</v>
      </c>
      <c r="AA1769" s="11">
        <v>-2</v>
      </c>
      <c r="AB1769" s="11">
        <v>0</v>
      </c>
      <c r="AC1769" s="11">
        <v>0</v>
      </c>
      <c r="AD1769" s="11">
        <v>0</v>
      </c>
      <c r="AE1769" s="11">
        <v>0</v>
      </c>
      <c r="AF1769" s="11">
        <f t="shared" si="81"/>
        <v>0.46800000000000003</v>
      </c>
      <c r="AG1769" s="11">
        <f t="shared" si="82"/>
        <v>8.2680000000000007</v>
      </c>
      <c r="AH1769" s="11">
        <v>0</v>
      </c>
      <c r="AI1769" s="11">
        <f t="shared" si="83"/>
        <v>8.2680000000000007</v>
      </c>
      <c r="AJ1769" t="s">
        <v>62</v>
      </c>
    </row>
    <row r="1770" spans="1:36" ht="15" customHeight="1" x14ac:dyDescent="0.35">
      <c r="A1770">
        <v>10428918</v>
      </c>
      <c r="B1770" t="s">
        <v>36</v>
      </c>
      <c r="C1770" t="s">
        <v>37</v>
      </c>
      <c r="D1770" s="6" t="s">
        <v>38</v>
      </c>
      <c r="E1770" t="s">
        <v>5205</v>
      </c>
      <c r="G1770" t="s">
        <v>41</v>
      </c>
      <c r="H1770" t="s">
        <v>5206</v>
      </c>
      <c r="I1770" t="s">
        <v>43</v>
      </c>
      <c r="J1770">
        <v>2</v>
      </c>
      <c r="K1770" t="s">
        <v>44</v>
      </c>
      <c r="L1770" t="s">
        <v>45</v>
      </c>
      <c r="M1770" t="s">
        <v>46</v>
      </c>
      <c r="N1770" s="7">
        <v>1</v>
      </c>
      <c r="O1770" s="8">
        <v>45655.723645833335</v>
      </c>
      <c r="P1770" s="9">
        <v>45656</v>
      </c>
      <c r="Q1770" t="s">
        <v>74</v>
      </c>
      <c r="R1770" t="s">
        <v>48</v>
      </c>
      <c r="S1770" t="s">
        <v>49</v>
      </c>
      <c r="T1770" t="s">
        <v>59</v>
      </c>
      <c r="U1770" t="s">
        <v>5207</v>
      </c>
      <c r="V1770">
        <v>17500</v>
      </c>
      <c r="W1770" t="s">
        <v>48</v>
      </c>
      <c r="X1770" t="s">
        <v>61</v>
      </c>
      <c r="Y1770" t="s">
        <v>54</v>
      </c>
      <c r="Z1770" s="12">
        <f>IF(N1770&lt;=1,9,9+0.8*ROUNDUP(N1770-1,0))</f>
        <v>9</v>
      </c>
      <c r="AA1770" s="11">
        <v>-2</v>
      </c>
      <c r="AB1770" s="11">
        <v>0</v>
      </c>
      <c r="AC1770" s="11">
        <v>0</v>
      </c>
      <c r="AD1770" s="11">
        <v>0</v>
      </c>
      <c r="AE1770" s="11">
        <v>0</v>
      </c>
      <c r="AF1770" s="11">
        <f t="shared" si="81"/>
        <v>0.42</v>
      </c>
      <c r="AG1770" s="11">
        <f t="shared" si="82"/>
        <v>7.42</v>
      </c>
      <c r="AH1770" s="11">
        <v>0</v>
      </c>
      <c r="AI1770" s="11">
        <f t="shared" si="83"/>
        <v>7.42</v>
      </c>
      <c r="AJ1770" t="s">
        <v>62</v>
      </c>
    </row>
    <row r="1771" spans="1:36" ht="15" customHeight="1" x14ac:dyDescent="0.35">
      <c r="A1771">
        <v>10428918</v>
      </c>
      <c r="B1771" t="s">
        <v>36</v>
      </c>
      <c r="C1771" t="s">
        <v>37</v>
      </c>
      <c r="D1771" s="6" t="s">
        <v>38</v>
      </c>
      <c r="E1771" t="s">
        <v>5208</v>
      </c>
      <c r="G1771" t="s">
        <v>41</v>
      </c>
      <c r="H1771" t="s">
        <v>5209</v>
      </c>
      <c r="I1771" t="s">
        <v>43</v>
      </c>
      <c r="J1771">
        <v>2</v>
      </c>
      <c r="K1771" t="s">
        <v>44</v>
      </c>
      <c r="L1771" t="s">
        <v>45</v>
      </c>
      <c r="M1771" t="s">
        <v>46</v>
      </c>
      <c r="N1771" s="7">
        <v>1</v>
      </c>
      <c r="O1771" s="8">
        <v>45655.61215277778</v>
      </c>
      <c r="P1771" s="9">
        <v>45656</v>
      </c>
      <c r="Q1771" t="s">
        <v>74</v>
      </c>
      <c r="R1771" t="s">
        <v>48</v>
      </c>
      <c r="S1771" t="s">
        <v>49</v>
      </c>
      <c r="T1771" t="s">
        <v>59</v>
      </c>
      <c r="U1771" t="s">
        <v>5210</v>
      </c>
      <c r="V1771">
        <v>16020</v>
      </c>
      <c r="W1771" t="s">
        <v>48</v>
      </c>
      <c r="X1771" t="s">
        <v>61</v>
      </c>
      <c r="Y1771" t="s">
        <v>54</v>
      </c>
      <c r="Z1771" s="12">
        <f>IF(N1771&lt;=1,9,9+0.8*ROUNDUP(N1771-1,0))</f>
        <v>9</v>
      </c>
      <c r="AA1771" s="11">
        <v>-2</v>
      </c>
      <c r="AB1771" s="11">
        <v>0</v>
      </c>
      <c r="AC1771" s="11">
        <v>0</v>
      </c>
      <c r="AD1771" s="11">
        <v>0</v>
      </c>
      <c r="AE1771" s="11">
        <v>0</v>
      </c>
      <c r="AF1771" s="11">
        <f t="shared" si="81"/>
        <v>0.42</v>
      </c>
      <c r="AG1771" s="11">
        <f t="shared" si="82"/>
        <v>7.42</v>
      </c>
      <c r="AH1771" s="11">
        <v>0</v>
      </c>
      <c r="AI1771" s="11">
        <f t="shared" si="83"/>
        <v>7.42</v>
      </c>
      <c r="AJ1771" t="s">
        <v>62</v>
      </c>
    </row>
    <row r="1772" spans="1:36" ht="15" customHeight="1" x14ac:dyDescent="0.35">
      <c r="A1772">
        <v>10428918</v>
      </c>
      <c r="B1772" t="s">
        <v>36</v>
      </c>
      <c r="C1772" t="s">
        <v>37</v>
      </c>
      <c r="D1772" s="6" t="s">
        <v>38</v>
      </c>
      <c r="E1772" t="s">
        <v>5211</v>
      </c>
      <c r="G1772" t="s">
        <v>41</v>
      </c>
      <c r="H1772" t="s">
        <v>5212</v>
      </c>
      <c r="I1772" t="s">
        <v>43</v>
      </c>
      <c r="J1772">
        <v>2</v>
      </c>
      <c r="K1772" t="s">
        <v>44</v>
      </c>
      <c r="L1772" t="s">
        <v>45</v>
      </c>
      <c r="M1772" t="s">
        <v>46</v>
      </c>
      <c r="N1772" s="7">
        <v>1</v>
      </c>
      <c r="O1772" s="8">
        <v>45652.895879629628</v>
      </c>
      <c r="P1772" s="9">
        <v>45656</v>
      </c>
      <c r="Q1772" t="s">
        <v>58</v>
      </c>
      <c r="R1772" t="s">
        <v>48</v>
      </c>
      <c r="S1772" t="s">
        <v>49</v>
      </c>
      <c r="T1772" t="s">
        <v>117</v>
      </c>
      <c r="U1772" t="s">
        <v>5213</v>
      </c>
      <c r="V1772">
        <v>53100</v>
      </c>
      <c r="W1772" t="s">
        <v>48</v>
      </c>
      <c r="X1772" t="s">
        <v>53</v>
      </c>
      <c r="Y1772" t="s">
        <v>54</v>
      </c>
      <c r="Z1772" s="12">
        <f>IF(N1772&lt;=1,9,9+0.8*ROUNDUP(N1772-1,0))</f>
        <v>9</v>
      </c>
      <c r="AA1772" s="11">
        <v>-2</v>
      </c>
      <c r="AB1772" s="11">
        <v>0</v>
      </c>
      <c r="AC1772" s="11">
        <v>0</v>
      </c>
      <c r="AD1772" s="11">
        <v>0</v>
      </c>
      <c r="AE1772" s="11">
        <v>0</v>
      </c>
      <c r="AF1772" s="11">
        <f t="shared" si="81"/>
        <v>0.42</v>
      </c>
      <c r="AG1772" s="11">
        <f t="shared" si="82"/>
        <v>7.42</v>
      </c>
      <c r="AH1772" s="11">
        <v>0</v>
      </c>
      <c r="AI1772" s="11">
        <f t="shared" si="83"/>
        <v>7.42</v>
      </c>
      <c r="AJ1772" t="s">
        <v>62</v>
      </c>
    </row>
    <row r="1773" spans="1:36" ht="15" customHeight="1" x14ac:dyDescent="0.35">
      <c r="A1773">
        <v>10428918</v>
      </c>
      <c r="B1773" t="s">
        <v>36</v>
      </c>
      <c r="C1773" t="s">
        <v>37</v>
      </c>
      <c r="D1773" s="6" t="s">
        <v>38</v>
      </c>
      <c r="E1773" t="s">
        <v>5214</v>
      </c>
      <c r="G1773" t="s">
        <v>41</v>
      </c>
      <c r="H1773" t="s">
        <v>5215</v>
      </c>
      <c r="I1773" t="s">
        <v>43</v>
      </c>
      <c r="J1773">
        <v>2</v>
      </c>
      <c r="K1773" t="s">
        <v>44</v>
      </c>
      <c r="L1773" t="s">
        <v>45</v>
      </c>
      <c r="M1773" t="s">
        <v>46</v>
      </c>
      <c r="N1773" s="7">
        <v>1</v>
      </c>
      <c r="O1773" s="8">
        <v>45653.813726851855</v>
      </c>
      <c r="P1773" s="9">
        <v>45656</v>
      </c>
      <c r="Q1773" t="s">
        <v>74</v>
      </c>
      <c r="R1773" t="s">
        <v>48</v>
      </c>
      <c r="S1773" t="s">
        <v>49</v>
      </c>
      <c r="T1773" t="s">
        <v>161</v>
      </c>
      <c r="U1773" t="s">
        <v>5216</v>
      </c>
      <c r="V1773">
        <v>13050</v>
      </c>
      <c r="W1773" t="s">
        <v>48</v>
      </c>
      <c r="X1773" t="s">
        <v>812</v>
      </c>
      <c r="Y1773" t="s">
        <v>54</v>
      </c>
      <c r="Z1773" s="12">
        <f>IF(N1773&lt;=1,9,9+0.8*ROUNDUP(N1773-1,0))</f>
        <v>9</v>
      </c>
      <c r="AA1773" s="11">
        <v>-2</v>
      </c>
      <c r="AB1773" s="11">
        <v>0</v>
      </c>
      <c r="AC1773" s="11">
        <v>0</v>
      </c>
      <c r="AD1773" s="11">
        <v>0</v>
      </c>
      <c r="AE1773" s="11">
        <v>0</v>
      </c>
      <c r="AF1773" s="11">
        <f t="shared" si="81"/>
        <v>0.42</v>
      </c>
      <c r="AG1773" s="11">
        <f t="shared" si="82"/>
        <v>7.42</v>
      </c>
      <c r="AH1773" s="11">
        <v>0</v>
      </c>
      <c r="AI1773" s="11">
        <f t="shared" si="83"/>
        <v>7.42</v>
      </c>
      <c r="AJ1773" t="s">
        <v>62</v>
      </c>
    </row>
    <row r="1774" spans="1:36" ht="15" customHeight="1" x14ac:dyDescent="0.35">
      <c r="A1774">
        <v>10428918</v>
      </c>
      <c r="B1774" t="s">
        <v>36</v>
      </c>
      <c r="C1774" t="s">
        <v>37</v>
      </c>
      <c r="D1774" s="6" t="s">
        <v>38</v>
      </c>
      <c r="E1774" t="s">
        <v>5217</v>
      </c>
      <c r="G1774" t="s">
        <v>41</v>
      </c>
      <c r="H1774" t="s">
        <v>5218</v>
      </c>
      <c r="I1774" t="s">
        <v>43</v>
      </c>
      <c r="J1774">
        <v>2</v>
      </c>
      <c r="K1774" t="s">
        <v>44</v>
      </c>
      <c r="L1774" t="s">
        <v>45</v>
      </c>
      <c r="M1774" t="s">
        <v>46</v>
      </c>
      <c r="N1774" s="7">
        <v>7</v>
      </c>
      <c r="O1774" s="8">
        <v>45654.65966435185</v>
      </c>
      <c r="P1774" s="9">
        <v>45656</v>
      </c>
      <c r="Q1774" t="s">
        <v>74</v>
      </c>
      <c r="R1774" t="s">
        <v>48</v>
      </c>
      <c r="S1774" t="s">
        <v>49</v>
      </c>
      <c r="T1774" t="s">
        <v>117</v>
      </c>
      <c r="U1774" t="s">
        <v>5219</v>
      </c>
      <c r="V1774">
        <v>47160</v>
      </c>
      <c r="W1774" t="s">
        <v>48</v>
      </c>
      <c r="X1774" t="s">
        <v>1127</v>
      </c>
      <c r="Y1774" t="s">
        <v>54</v>
      </c>
      <c r="Z1774" s="12">
        <f>IF(N1774&lt;=1,9,9+0.8*ROUNDUP(N1774-1,0))</f>
        <v>13.8</v>
      </c>
      <c r="AA1774" s="11">
        <v>-2</v>
      </c>
      <c r="AB1774" s="11">
        <v>0</v>
      </c>
      <c r="AC1774" s="11">
        <v>0</v>
      </c>
      <c r="AD1774" s="11">
        <v>0</v>
      </c>
      <c r="AE1774" s="11">
        <v>0</v>
      </c>
      <c r="AF1774" s="11">
        <f t="shared" si="81"/>
        <v>0.70799999999999996</v>
      </c>
      <c r="AG1774" s="11">
        <f t="shared" si="82"/>
        <v>12.508000000000001</v>
      </c>
      <c r="AH1774" s="11">
        <v>0</v>
      </c>
      <c r="AI1774" s="11">
        <f t="shared" si="83"/>
        <v>12.508000000000001</v>
      </c>
      <c r="AJ1774" t="s">
        <v>62</v>
      </c>
    </row>
    <row r="1775" spans="1:36" ht="15" customHeight="1" x14ac:dyDescent="0.35">
      <c r="A1775">
        <v>10428918</v>
      </c>
      <c r="B1775" t="s">
        <v>36</v>
      </c>
      <c r="C1775" t="s">
        <v>37</v>
      </c>
      <c r="D1775" s="6" t="s">
        <v>38</v>
      </c>
      <c r="E1775" t="s">
        <v>5220</v>
      </c>
      <c r="G1775" t="s">
        <v>41</v>
      </c>
      <c r="H1775" t="s">
        <v>5221</v>
      </c>
      <c r="I1775" t="s">
        <v>43</v>
      </c>
      <c r="J1775">
        <v>2</v>
      </c>
      <c r="K1775" t="s">
        <v>44</v>
      </c>
      <c r="L1775" t="s">
        <v>45</v>
      </c>
      <c r="M1775" t="s">
        <v>46</v>
      </c>
      <c r="N1775" s="7">
        <v>2</v>
      </c>
      <c r="O1775" s="8">
        <v>45654.416643518518</v>
      </c>
      <c r="P1775" s="9">
        <v>45656</v>
      </c>
      <c r="Q1775" t="s">
        <v>74</v>
      </c>
      <c r="R1775" t="s">
        <v>48</v>
      </c>
      <c r="S1775" t="s">
        <v>49</v>
      </c>
      <c r="T1775" t="s">
        <v>117</v>
      </c>
      <c r="U1775" t="s">
        <v>5222</v>
      </c>
      <c r="V1775">
        <v>53100</v>
      </c>
      <c r="W1775" t="s">
        <v>48</v>
      </c>
      <c r="X1775" t="s">
        <v>350</v>
      </c>
      <c r="Y1775" t="s">
        <v>54</v>
      </c>
      <c r="Z1775" s="12">
        <f>IF(N1775&lt;=1,9,9+0.8*ROUNDUP(N1775-1,0))</f>
        <v>9.8000000000000007</v>
      </c>
      <c r="AA1775" s="11">
        <v>-2</v>
      </c>
      <c r="AB1775" s="11">
        <v>0</v>
      </c>
      <c r="AC1775" s="11">
        <v>0</v>
      </c>
      <c r="AD1775" s="11">
        <v>0</v>
      </c>
      <c r="AE1775" s="11">
        <v>0</v>
      </c>
      <c r="AF1775" s="11">
        <f t="shared" si="81"/>
        <v>0.46800000000000003</v>
      </c>
      <c r="AG1775" s="11">
        <f t="shared" si="82"/>
        <v>8.2680000000000007</v>
      </c>
      <c r="AH1775" s="11">
        <v>0</v>
      </c>
      <c r="AI1775" s="11">
        <f t="shared" si="83"/>
        <v>8.2680000000000007</v>
      </c>
      <c r="AJ1775" t="s">
        <v>62</v>
      </c>
    </row>
    <row r="1776" spans="1:36" ht="15" customHeight="1" x14ac:dyDescent="0.35">
      <c r="A1776">
        <v>10428918</v>
      </c>
      <c r="B1776" t="s">
        <v>36</v>
      </c>
      <c r="C1776" t="s">
        <v>37</v>
      </c>
      <c r="D1776" s="6" t="s">
        <v>38</v>
      </c>
      <c r="E1776" t="s">
        <v>5223</v>
      </c>
      <c r="G1776" t="s">
        <v>41</v>
      </c>
      <c r="H1776" t="s">
        <v>5224</v>
      </c>
      <c r="I1776" t="s">
        <v>43</v>
      </c>
      <c r="J1776">
        <v>2</v>
      </c>
      <c r="K1776" t="s">
        <v>44</v>
      </c>
      <c r="L1776" t="s">
        <v>45</v>
      </c>
      <c r="M1776" t="s">
        <v>46</v>
      </c>
      <c r="N1776" s="7">
        <v>2</v>
      </c>
      <c r="O1776" s="8">
        <v>45655.61215277778</v>
      </c>
      <c r="P1776" s="9">
        <v>45656</v>
      </c>
      <c r="Q1776" t="s">
        <v>74</v>
      </c>
      <c r="R1776" t="s">
        <v>48</v>
      </c>
      <c r="S1776" t="s">
        <v>49</v>
      </c>
      <c r="T1776" t="s">
        <v>117</v>
      </c>
      <c r="U1776" t="s">
        <v>5225</v>
      </c>
      <c r="V1776">
        <v>48020</v>
      </c>
      <c r="W1776" t="s">
        <v>48</v>
      </c>
      <c r="X1776" t="s">
        <v>548</v>
      </c>
      <c r="Y1776" t="s">
        <v>54</v>
      </c>
      <c r="Z1776" s="12">
        <f>IF(N1776&lt;=1,9,9+0.8*ROUNDUP(N1776-1,0))</f>
        <v>9.8000000000000007</v>
      </c>
      <c r="AA1776" s="11">
        <v>-2</v>
      </c>
      <c r="AB1776" s="11">
        <v>0</v>
      </c>
      <c r="AC1776" s="11">
        <v>0</v>
      </c>
      <c r="AD1776" s="11">
        <v>0</v>
      </c>
      <c r="AE1776" s="11">
        <v>0</v>
      </c>
      <c r="AF1776" s="11">
        <f t="shared" si="81"/>
        <v>0.46800000000000003</v>
      </c>
      <c r="AG1776" s="11">
        <f t="shared" si="82"/>
        <v>8.2680000000000007</v>
      </c>
      <c r="AH1776" s="11">
        <v>0</v>
      </c>
      <c r="AI1776" s="11">
        <f t="shared" si="83"/>
        <v>8.2680000000000007</v>
      </c>
      <c r="AJ1776" t="s">
        <v>62</v>
      </c>
    </row>
    <row r="1777" spans="1:36" ht="15" customHeight="1" x14ac:dyDescent="0.35">
      <c r="A1777">
        <v>10428918</v>
      </c>
      <c r="B1777" t="s">
        <v>36</v>
      </c>
      <c r="C1777" t="s">
        <v>37</v>
      </c>
      <c r="D1777" s="6" t="s">
        <v>38</v>
      </c>
      <c r="E1777" t="s">
        <v>5226</v>
      </c>
      <c r="G1777" t="s">
        <v>41</v>
      </c>
      <c r="H1777" t="s">
        <v>5227</v>
      </c>
      <c r="I1777" t="s">
        <v>43</v>
      </c>
      <c r="J1777">
        <v>2</v>
      </c>
      <c r="K1777" t="s">
        <v>44</v>
      </c>
      <c r="L1777" t="s">
        <v>45</v>
      </c>
      <c r="M1777" t="s">
        <v>46</v>
      </c>
      <c r="N1777" s="7">
        <v>1</v>
      </c>
      <c r="O1777" s="8">
        <v>45652.895879629628</v>
      </c>
      <c r="P1777" s="9">
        <v>45656</v>
      </c>
      <c r="Q1777" t="s">
        <v>58</v>
      </c>
      <c r="R1777" t="s">
        <v>48</v>
      </c>
      <c r="S1777" t="s">
        <v>49</v>
      </c>
      <c r="T1777" t="s">
        <v>50</v>
      </c>
      <c r="U1777" t="s">
        <v>5228</v>
      </c>
      <c r="V1777">
        <v>88200</v>
      </c>
      <c r="W1777" t="s">
        <v>52</v>
      </c>
      <c r="X1777" t="s">
        <v>53</v>
      </c>
      <c r="Y1777" t="s">
        <v>54</v>
      </c>
      <c r="Z1777" s="10">
        <f>IF(N1777&lt;=1,13,IF(N1777&lt;=2,23,IF(N1777&lt;=3,35,IF(N1777&lt;=4,43,IF(N1777&lt;=5,53,IF(N1777&lt;=6,63,IF(N1777&lt;=7,71,IF(N1777&lt;=8,79,IF(N1777&lt;=9,87,IF(N1777&lt;=10,95,IF(N1777&lt;=11,105,IF(N1777&lt;=12,114,IF(N1777&lt;=13,119,IF(N1777&lt;=14,127,IF(N1777&lt;=15,135,IF(N1777&lt;=16,143,IF(N1777&lt;=17,153,IF(N1777&lt;=18,163,IF(N1777&lt;=19,171,IF(N1777&lt;=20,185,IF(N1777&lt;=21,193,IF(N1777&lt;=22,201,IF(N1777&lt;=23,210,IF(N1777&lt;=24,220,IF(N1777&lt;=25,230,IF(N1777&lt;=26,240,IF(N1777&lt;=27,250,IF(N1777&lt;=28,260,IF(N1777&lt;=29,270,IF(N1777&lt;=30,280,280+10*ROUNDUP(N1777-30,0)))))))))))))))))))))))))))))))</f>
        <v>13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f t="shared" si="81"/>
        <v>0.78</v>
      </c>
      <c r="AG1777" s="11">
        <f t="shared" si="82"/>
        <v>13.78</v>
      </c>
      <c r="AH1777" s="11">
        <v>0</v>
      </c>
      <c r="AI1777" s="11">
        <f t="shared" si="83"/>
        <v>13.78</v>
      </c>
      <c r="AJ1777" t="s">
        <v>55</v>
      </c>
    </row>
    <row r="1778" spans="1:36" ht="15" customHeight="1" x14ac:dyDescent="0.35">
      <c r="A1778">
        <v>10428918</v>
      </c>
      <c r="B1778" t="s">
        <v>36</v>
      </c>
      <c r="C1778" t="s">
        <v>37</v>
      </c>
      <c r="D1778" s="6" t="s">
        <v>38</v>
      </c>
      <c r="E1778" t="s">
        <v>5229</v>
      </c>
      <c r="G1778" t="s">
        <v>41</v>
      </c>
      <c r="H1778" t="s">
        <v>5230</v>
      </c>
      <c r="I1778" t="s">
        <v>43</v>
      </c>
      <c r="J1778">
        <v>2</v>
      </c>
      <c r="K1778" t="s">
        <v>44</v>
      </c>
      <c r="L1778" t="s">
        <v>45</v>
      </c>
      <c r="M1778" t="s">
        <v>46</v>
      </c>
      <c r="N1778" s="7">
        <v>1</v>
      </c>
      <c r="O1778" s="8">
        <v>45651.748263888891</v>
      </c>
      <c r="P1778" s="9">
        <v>45656</v>
      </c>
      <c r="Q1778" t="s">
        <v>47</v>
      </c>
      <c r="R1778" t="s">
        <v>48</v>
      </c>
      <c r="S1778" t="s">
        <v>49</v>
      </c>
      <c r="T1778" t="s">
        <v>50</v>
      </c>
      <c r="U1778" t="s">
        <v>5231</v>
      </c>
      <c r="V1778">
        <v>90000</v>
      </c>
      <c r="W1778" t="s">
        <v>52</v>
      </c>
      <c r="X1778" t="s">
        <v>53</v>
      </c>
      <c r="Y1778" t="s">
        <v>54</v>
      </c>
      <c r="Z1778" s="10">
        <f>IF(N1778&lt;=1,13,IF(N1778&lt;=2,23,IF(N1778&lt;=3,35,IF(N1778&lt;=4,43,IF(N1778&lt;=5,53,IF(N1778&lt;=6,63,IF(N1778&lt;=7,71,IF(N1778&lt;=8,79,IF(N1778&lt;=9,87,IF(N1778&lt;=10,95,IF(N1778&lt;=11,105,IF(N1778&lt;=12,114,IF(N1778&lt;=13,119,IF(N1778&lt;=14,127,IF(N1778&lt;=15,135,IF(N1778&lt;=16,143,IF(N1778&lt;=17,153,IF(N1778&lt;=18,163,IF(N1778&lt;=19,171,IF(N1778&lt;=20,185,IF(N1778&lt;=21,193,IF(N1778&lt;=22,201,IF(N1778&lt;=23,210,IF(N1778&lt;=24,220,IF(N1778&lt;=25,230,IF(N1778&lt;=26,240,IF(N1778&lt;=27,250,IF(N1778&lt;=28,260,IF(N1778&lt;=29,270,IF(N1778&lt;=30,280,280+10*ROUNDUP(N1778-30,0)))))))))))))))))))))))))))))))</f>
        <v>13</v>
      </c>
      <c r="AA1778" s="11">
        <v>0</v>
      </c>
      <c r="AB1778" s="11">
        <v>0</v>
      </c>
      <c r="AC1778" s="11">
        <v>0</v>
      </c>
      <c r="AD1778" s="11">
        <v>0</v>
      </c>
      <c r="AE1778" s="11">
        <v>0</v>
      </c>
      <c r="AF1778" s="11">
        <f t="shared" si="81"/>
        <v>0.78</v>
      </c>
      <c r="AG1778" s="11">
        <f t="shared" si="82"/>
        <v>13.78</v>
      </c>
      <c r="AH1778" s="11">
        <v>0</v>
      </c>
      <c r="AI1778" s="11">
        <f t="shared" si="83"/>
        <v>13.78</v>
      </c>
      <c r="AJ1778" t="s">
        <v>55</v>
      </c>
    </row>
    <row r="1779" spans="1:36" ht="15" customHeight="1" x14ac:dyDescent="0.35">
      <c r="A1779">
        <v>10428918</v>
      </c>
      <c r="B1779" t="s">
        <v>36</v>
      </c>
      <c r="C1779" t="s">
        <v>37</v>
      </c>
      <c r="D1779" s="6" t="s">
        <v>38</v>
      </c>
      <c r="E1779" t="s">
        <v>5232</v>
      </c>
      <c r="G1779" t="s">
        <v>41</v>
      </c>
      <c r="H1779" t="s">
        <v>2472</v>
      </c>
      <c r="I1779" t="s">
        <v>43</v>
      </c>
      <c r="J1779">
        <v>2</v>
      </c>
      <c r="K1779" t="s">
        <v>44</v>
      </c>
      <c r="L1779" t="s">
        <v>45</v>
      </c>
      <c r="M1779" t="s">
        <v>46</v>
      </c>
      <c r="N1779" s="7">
        <v>2</v>
      </c>
      <c r="O1779" s="8">
        <v>45655.605624999997</v>
      </c>
      <c r="P1779" s="9">
        <v>45656</v>
      </c>
      <c r="Q1779" t="s">
        <v>74</v>
      </c>
      <c r="R1779" t="s">
        <v>48</v>
      </c>
      <c r="S1779" t="s">
        <v>49</v>
      </c>
      <c r="T1779" t="s">
        <v>90</v>
      </c>
      <c r="U1779" t="s">
        <v>2473</v>
      </c>
      <c r="V1779">
        <v>21800</v>
      </c>
      <c r="W1779" t="s">
        <v>48</v>
      </c>
      <c r="X1779" t="s">
        <v>92</v>
      </c>
      <c r="Y1779" t="s">
        <v>54</v>
      </c>
      <c r="Z1779" s="12">
        <f>IF(N1779&lt;=1,9,9+0.8*ROUNDUP(N1779-1,0))</f>
        <v>9.8000000000000007</v>
      </c>
      <c r="AA1779" s="11">
        <v>-2</v>
      </c>
      <c r="AB1779" s="11">
        <v>0</v>
      </c>
      <c r="AC1779" s="11">
        <v>0</v>
      </c>
      <c r="AD1779" s="11">
        <v>0</v>
      </c>
      <c r="AE1779" s="11">
        <v>0</v>
      </c>
      <c r="AF1779" s="11">
        <f t="shared" si="81"/>
        <v>0.46800000000000003</v>
      </c>
      <c r="AG1779" s="11">
        <f t="shared" si="82"/>
        <v>8.2680000000000007</v>
      </c>
      <c r="AH1779" s="11">
        <v>0</v>
      </c>
      <c r="AI1779" s="11">
        <f t="shared" si="83"/>
        <v>8.2680000000000007</v>
      </c>
      <c r="AJ1779" t="s">
        <v>62</v>
      </c>
    </row>
    <row r="1780" spans="1:36" ht="15" customHeight="1" x14ac:dyDescent="0.35">
      <c r="A1780">
        <v>10428918</v>
      </c>
      <c r="B1780" t="s">
        <v>36</v>
      </c>
      <c r="C1780" t="s">
        <v>37</v>
      </c>
      <c r="D1780" s="6" t="s">
        <v>38</v>
      </c>
      <c r="E1780" t="s">
        <v>5233</v>
      </c>
      <c r="G1780" t="s">
        <v>41</v>
      </c>
      <c r="H1780" t="s">
        <v>5234</v>
      </c>
      <c r="I1780" t="s">
        <v>43</v>
      </c>
      <c r="J1780">
        <v>2</v>
      </c>
      <c r="K1780" t="s">
        <v>44</v>
      </c>
      <c r="L1780" t="s">
        <v>45</v>
      </c>
      <c r="M1780" t="s">
        <v>46</v>
      </c>
      <c r="N1780" s="7">
        <v>1</v>
      </c>
      <c r="O1780" s="8">
        <v>45655.539687500001</v>
      </c>
      <c r="P1780" s="9">
        <v>45656</v>
      </c>
      <c r="Q1780" t="s">
        <v>74</v>
      </c>
      <c r="R1780" t="s">
        <v>48</v>
      </c>
      <c r="S1780" t="s">
        <v>49</v>
      </c>
      <c r="T1780" t="s">
        <v>59</v>
      </c>
      <c r="U1780" t="s">
        <v>5235</v>
      </c>
      <c r="V1780">
        <v>15200</v>
      </c>
      <c r="W1780" t="s">
        <v>48</v>
      </c>
      <c r="X1780" t="s">
        <v>61</v>
      </c>
      <c r="Y1780" t="s">
        <v>54</v>
      </c>
      <c r="Z1780" s="12">
        <f>IF(N1780&lt;=1,9,9+0.8*ROUNDUP(N1780-1,0))</f>
        <v>9</v>
      </c>
      <c r="AA1780" s="11">
        <v>-2</v>
      </c>
      <c r="AB1780" s="11">
        <v>0</v>
      </c>
      <c r="AC1780" s="11">
        <v>0</v>
      </c>
      <c r="AD1780" s="11">
        <v>0</v>
      </c>
      <c r="AE1780" s="11">
        <v>0</v>
      </c>
      <c r="AF1780" s="11">
        <f t="shared" si="81"/>
        <v>0.42</v>
      </c>
      <c r="AG1780" s="11">
        <f t="shared" si="82"/>
        <v>7.42</v>
      </c>
      <c r="AH1780" s="11">
        <v>0</v>
      </c>
      <c r="AI1780" s="11">
        <f t="shared" si="83"/>
        <v>7.42</v>
      </c>
      <c r="AJ1780" t="s">
        <v>62</v>
      </c>
    </row>
    <row r="1781" spans="1:36" ht="15" customHeight="1" x14ac:dyDescent="0.35">
      <c r="A1781">
        <v>10428918</v>
      </c>
      <c r="B1781" t="s">
        <v>36</v>
      </c>
      <c r="C1781" t="s">
        <v>37</v>
      </c>
      <c r="D1781" s="6" t="s">
        <v>38</v>
      </c>
      <c r="E1781" t="s">
        <v>5236</v>
      </c>
      <c r="G1781" t="s">
        <v>41</v>
      </c>
      <c r="H1781" t="s">
        <v>5237</v>
      </c>
      <c r="I1781" t="s">
        <v>43</v>
      </c>
      <c r="J1781">
        <v>2</v>
      </c>
      <c r="K1781" t="s">
        <v>44</v>
      </c>
      <c r="L1781" t="s">
        <v>45</v>
      </c>
      <c r="M1781" t="s">
        <v>46</v>
      </c>
      <c r="N1781" s="7">
        <v>1</v>
      </c>
      <c r="O1781" s="8">
        <v>45655.532708333332</v>
      </c>
      <c r="P1781" s="9">
        <v>45656</v>
      </c>
      <c r="Q1781" t="s">
        <v>74</v>
      </c>
      <c r="R1781" t="s">
        <v>48</v>
      </c>
      <c r="S1781" t="s">
        <v>49</v>
      </c>
      <c r="T1781" t="s">
        <v>59</v>
      </c>
      <c r="U1781" t="s">
        <v>5238</v>
      </c>
      <c r="V1781">
        <v>18300</v>
      </c>
      <c r="W1781" t="s">
        <v>48</v>
      </c>
      <c r="X1781" t="s">
        <v>61</v>
      </c>
      <c r="Y1781" t="s">
        <v>54</v>
      </c>
      <c r="Z1781" s="12">
        <f>IF(N1781&lt;=1,9,9+0.8*ROUNDUP(N1781-1,0))</f>
        <v>9</v>
      </c>
      <c r="AA1781" s="11">
        <v>-2</v>
      </c>
      <c r="AB1781" s="11">
        <v>0</v>
      </c>
      <c r="AC1781" s="11">
        <v>0</v>
      </c>
      <c r="AD1781" s="11">
        <v>0</v>
      </c>
      <c r="AE1781" s="11">
        <v>0</v>
      </c>
      <c r="AF1781" s="11">
        <f t="shared" si="81"/>
        <v>0.42</v>
      </c>
      <c r="AG1781" s="11">
        <f t="shared" si="82"/>
        <v>7.42</v>
      </c>
      <c r="AH1781" s="11">
        <v>0</v>
      </c>
      <c r="AI1781" s="11">
        <f t="shared" si="83"/>
        <v>7.42</v>
      </c>
      <c r="AJ1781" t="s">
        <v>62</v>
      </c>
    </row>
    <row r="1782" spans="1:36" ht="15" customHeight="1" x14ac:dyDescent="0.35">
      <c r="A1782">
        <v>10428918</v>
      </c>
      <c r="B1782" t="s">
        <v>36</v>
      </c>
      <c r="C1782" t="s">
        <v>37</v>
      </c>
      <c r="D1782" s="6" t="s">
        <v>38</v>
      </c>
      <c r="E1782" t="s">
        <v>5239</v>
      </c>
      <c r="G1782" t="s">
        <v>41</v>
      </c>
      <c r="H1782" t="s">
        <v>5240</v>
      </c>
      <c r="I1782" t="s">
        <v>43</v>
      </c>
      <c r="J1782">
        <v>2</v>
      </c>
      <c r="K1782" t="s">
        <v>44</v>
      </c>
      <c r="L1782" t="s">
        <v>45</v>
      </c>
      <c r="M1782" t="s">
        <v>46</v>
      </c>
      <c r="N1782" s="7">
        <v>2</v>
      </c>
      <c r="O1782" s="8">
        <v>45655.605613425927</v>
      </c>
      <c r="P1782" s="9">
        <v>45656</v>
      </c>
      <c r="Q1782" t="s">
        <v>74</v>
      </c>
      <c r="R1782" t="s">
        <v>48</v>
      </c>
      <c r="S1782" t="s">
        <v>49</v>
      </c>
      <c r="T1782" t="s">
        <v>170</v>
      </c>
      <c r="U1782" t="s">
        <v>5241</v>
      </c>
      <c r="V1782">
        <v>50603</v>
      </c>
      <c r="W1782" t="s">
        <v>48</v>
      </c>
      <c r="X1782" t="s">
        <v>1395</v>
      </c>
      <c r="Y1782" t="s">
        <v>54</v>
      </c>
      <c r="Z1782" s="12">
        <f>IF(N1782&lt;=1,9,9+0.8*ROUNDUP(N1782-1,0))</f>
        <v>9.8000000000000007</v>
      </c>
      <c r="AA1782" s="11">
        <v>-2</v>
      </c>
      <c r="AB1782" s="11">
        <v>0</v>
      </c>
      <c r="AC1782" s="11">
        <v>0</v>
      </c>
      <c r="AD1782" s="11">
        <v>0</v>
      </c>
      <c r="AE1782" s="11">
        <v>0</v>
      </c>
      <c r="AF1782" s="11">
        <f t="shared" si="81"/>
        <v>0.46800000000000003</v>
      </c>
      <c r="AG1782" s="11">
        <f t="shared" si="82"/>
        <v>8.2680000000000007</v>
      </c>
      <c r="AH1782" s="11">
        <v>0</v>
      </c>
      <c r="AI1782" s="11">
        <f t="shared" si="83"/>
        <v>8.2680000000000007</v>
      </c>
      <c r="AJ1782" t="s">
        <v>62</v>
      </c>
    </row>
    <row r="1783" spans="1:36" ht="15" customHeight="1" x14ac:dyDescent="0.35">
      <c r="A1783">
        <v>10428918</v>
      </c>
      <c r="B1783" t="s">
        <v>36</v>
      </c>
      <c r="C1783" t="s">
        <v>37</v>
      </c>
      <c r="D1783" s="6" t="s">
        <v>38</v>
      </c>
      <c r="E1783" t="s">
        <v>5242</v>
      </c>
      <c r="G1783" t="s">
        <v>41</v>
      </c>
      <c r="H1783" t="s">
        <v>5243</v>
      </c>
      <c r="I1783" t="s">
        <v>43</v>
      </c>
      <c r="J1783">
        <v>2</v>
      </c>
      <c r="K1783" t="s">
        <v>44</v>
      </c>
      <c r="L1783" t="s">
        <v>45</v>
      </c>
      <c r="M1783" t="s">
        <v>46</v>
      </c>
      <c r="N1783" s="7">
        <v>1</v>
      </c>
      <c r="O1783" s="8">
        <v>45652.880706018521</v>
      </c>
      <c r="P1783" s="9">
        <v>45656</v>
      </c>
      <c r="Q1783" t="s">
        <v>58</v>
      </c>
      <c r="R1783" t="s">
        <v>48</v>
      </c>
      <c r="S1783" t="s">
        <v>49</v>
      </c>
      <c r="T1783" t="s">
        <v>117</v>
      </c>
      <c r="U1783" t="s">
        <v>5244</v>
      </c>
      <c r="V1783">
        <v>43700</v>
      </c>
      <c r="W1783" t="s">
        <v>48</v>
      </c>
      <c r="X1783" t="s">
        <v>53</v>
      </c>
      <c r="Y1783" t="s">
        <v>54</v>
      </c>
      <c r="Z1783" s="12">
        <f>IF(N1783&lt;=1,9,9+0.8*ROUNDUP(N1783-1,0))</f>
        <v>9</v>
      </c>
      <c r="AA1783" s="11">
        <v>-2</v>
      </c>
      <c r="AB1783" s="11">
        <v>0</v>
      </c>
      <c r="AC1783" s="11">
        <v>0</v>
      </c>
      <c r="AD1783" s="11">
        <v>0</v>
      </c>
      <c r="AE1783" s="11">
        <v>0</v>
      </c>
      <c r="AF1783" s="11">
        <f t="shared" si="81"/>
        <v>0.42</v>
      </c>
      <c r="AG1783" s="11">
        <f t="shared" si="82"/>
        <v>7.42</v>
      </c>
      <c r="AH1783" s="11">
        <v>0</v>
      </c>
      <c r="AI1783" s="11">
        <f t="shared" si="83"/>
        <v>7.42</v>
      </c>
      <c r="AJ1783" t="s">
        <v>62</v>
      </c>
    </row>
    <row r="1784" spans="1:36" ht="15" customHeight="1" x14ac:dyDescent="0.35">
      <c r="A1784">
        <v>10428918</v>
      </c>
      <c r="B1784" t="s">
        <v>36</v>
      </c>
      <c r="C1784" t="s">
        <v>37</v>
      </c>
      <c r="D1784" s="6" t="s">
        <v>38</v>
      </c>
      <c r="E1784" t="s">
        <v>5245</v>
      </c>
      <c r="G1784" t="s">
        <v>41</v>
      </c>
      <c r="H1784" t="s">
        <v>5246</v>
      </c>
      <c r="I1784" t="s">
        <v>43</v>
      </c>
      <c r="J1784">
        <v>2</v>
      </c>
      <c r="K1784" t="s">
        <v>44</v>
      </c>
      <c r="L1784" t="s">
        <v>45</v>
      </c>
      <c r="M1784" t="s">
        <v>46</v>
      </c>
      <c r="N1784" s="7">
        <v>1</v>
      </c>
      <c r="O1784" s="8">
        <v>45655.550729166665</v>
      </c>
      <c r="P1784" s="9">
        <v>45656</v>
      </c>
      <c r="Q1784" t="s">
        <v>74</v>
      </c>
      <c r="R1784" t="s">
        <v>48</v>
      </c>
      <c r="S1784" t="s">
        <v>49</v>
      </c>
      <c r="T1784" t="s">
        <v>59</v>
      </c>
      <c r="U1784" t="s">
        <v>5247</v>
      </c>
      <c r="V1784">
        <v>18500</v>
      </c>
      <c r="W1784" t="s">
        <v>48</v>
      </c>
      <c r="X1784" t="s">
        <v>61</v>
      </c>
      <c r="Y1784" t="s">
        <v>54</v>
      </c>
      <c r="Z1784" s="12">
        <f>IF(N1784&lt;=1,9,9+0.8*ROUNDUP(N1784-1,0))</f>
        <v>9</v>
      </c>
      <c r="AA1784" s="11">
        <v>-2</v>
      </c>
      <c r="AB1784" s="11">
        <v>0</v>
      </c>
      <c r="AC1784" s="11">
        <v>0</v>
      </c>
      <c r="AD1784" s="11">
        <v>0</v>
      </c>
      <c r="AE1784" s="11">
        <v>0</v>
      </c>
      <c r="AF1784" s="11">
        <f t="shared" si="81"/>
        <v>0.42</v>
      </c>
      <c r="AG1784" s="11">
        <f t="shared" si="82"/>
        <v>7.42</v>
      </c>
      <c r="AH1784" s="11">
        <v>0</v>
      </c>
      <c r="AI1784" s="11">
        <f t="shared" si="83"/>
        <v>7.42</v>
      </c>
      <c r="AJ1784" t="s">
        <v>62</v>
      </c>
    </row>
    <row r="1785" spans="1:36" ht="15" customHeight="1" x14ac:dyDescent="0.35">
      <c r="A1785">
        <v>10428918</v>
      </c>
      <c r="B1785" t="s">
        <v>36</v>
      </c>
      <c r="C1785" t="s">
        <v>37</v>
      </c>
      <c r="D1785" s="6" t="s">
        <v>38</v>
      </c>
      <c r="E1785" t="s">
        <v>5248</v>
      </c>
      <c r="G1785" t="s">
        <v>41</v>
      </c>
      <c r="H1785" t="s">
        <v>5249</v>
      </c>
      <c r="I1785" t="s">
        <v>43</v>
      </c>
      <c r="J1785">
        <v>2</v>
      </c>
      <c r="K1785" t="s">
        <v>44</v>
      </c>
      <c r="L1785" t="s">
        <v>45</v>
      </c>
      <c r="M1785" t="s">
        <v>46</v>
      </c>
      <c r="N1785" s="7">
        <v>2</v>
      </c>
      <c r="O1785" s="8">
        <v>45654.416643518518</v>
      </c>
      <c r="P1785" s="9">
        <v>45656</v>
      </c>
      <c r="Q1785" t="s">
        <v>74</v>
      </c>
      <c r="R1785" t="s">
        <v>48</v>
      </c>
      <c r="S1785" t="s">
        <v>49</v>
      </c>
      <c r="T1785" t="s">
        <v>85</v>
      </c>
      <c r="U1785" t="s">
        <v>5250</v>
      </c>
      <c r="V1785">
        <v>70400</v>
      </c>
      <c r="W1785" t="s">
        <v>48</v>
      </c>
      <c r="X1785" t="s">
        <v>114</v>
      </c>
      <c r="Y1785" t="s">
        <v>54</v>
      </c>
      <c r="Z1785" s="12">
        <f>IF(N1785&lt;=1,9,9+0.8*ROUNDUP(N1785-1,0))</f>
        <v>9.8000000000000007</v>
      </c>
      <c r="AA1785" s="11">
        <v>-2</v>
      </c>
      <c r="AB1785" s="11">
        <v>0</v>
      </c>
      <c r="AC1785" s="11">
        <v>0</v>
      </c>
      <c r="AD1785" s="11">
        <v>0</v>
      </c>
      <c r="AE1785" s="11">
        <v>0</v>
      </c>
      <c r="AF1785" s="11">
        <f t="shared" si="81"/>
        <v>0.46800000000000003</v>
      </c>
      <c r="AG1785" s="11">
        <f t="shared" si="82"/>
        <v>8.2680000000000007</v>
      </c>
      <c r="AH1785" s="11">
        <v>0</v>
      </c>
      <c r="AI1785" s="11">
        <f t="shared" si="83"/>
        <v>8.2680000000000007</v>
      </c>
      <c r="AJ1785" t="s">
        <v>62</v>
      </c>
    </row>
    <row r="1786" spans="1:36" ht="15" customHeight="1" x14ac:dyDescent="0.35">
      <c r="A1786">
        <v>10428918</v>
      </c>
      <c r="B1786" t="s">
        <v>36</v>
      </c>
      <c r="C1786" t="s">
        <v>37</v>
      </c>
      <c r="D1786" s="6" t="s">
        <v>38</v>
      </c>
      <c r="E1786" t="s">
        <v>5251</v>
      </c>
      <c r="G1786" t="s">
        <v>41</v>
      </c>
      <c r="H1786" t="s">
        <v>352</v>
      </c>
      <c r="I1786" t="s">
        <v>43</v>
      </c>
      <c r="J1786">
        <v>2</v>
      </c>
      <c r="K1786" t="s">
        <v>44</v>
      </c>
      <c r="L1786" t="s">
        <v>45</v>
      </c>
      <c r="M1786" t="s">
        <v>46</v>
      </c>
      <c r="N1786" s="7">
        <v>2</v>
      </c>
      <c r="O1786" s="8">
        <v>45654.64403935185</v>
      </c>
      <c r="P1786" s="9">
        <v>45656</v>
      </c>
      <c r="Q1786" t="s">
        <v>74</v>
      </c>
      <c r="R1786" t="s">
        <v>48</v>
      </c>
      <c r="S1786" t="s">
        <v>49</v>
      </c>
      <c r="T1786" t="s">
        <v>90</v>
      </c>
      <c r="U1786" t="s">
        <v>353</v>
      </c>
      <c r="V1786">
        <v>21200</v>
      </c>
      <c r="W1786" t="s">
        <v>48</v>
      </c>
      <c r="X1786" t="s">
        <v>92</v>
      </c>
      <c r="Y1786" t="s">
        <v>54</v>
      </c>
      <c r="Z1786" s="12">
        <f>IF(N1786&lt;=1,9,9+0.8*ROUNDUP(N1786-1,0))</f>
        <v>9.8000000000000007</v>
      </c>
      <c r="AA1786" s="11">
        <v>-2</v>
      </c>
      <c r="AB1786" s="11">
        <v>0</v>
      </c>
      <c r="AC1786" s="11">
        <v>0</v>
      </c>
      <c r="AD1786" s="11">
        <v>0</v>
      </c>
      <c r="AE1786" s="11">
        <v>0</v>
      </c>
      <c r="AF1786" s="11">
        <f t="shared" si="81"/>
        <v>0.46800000000000003</v>
      </c>
      <c r="AG1786" s="11">
        <f t="shared" si="82"/>
        <v>8.2680000000000007</v>
      </c>
      <c r="AH1786" s="11">
        <v>0</v>
      </c>
      <c r="AI1786" s="11">
        <f t="shared" si="83"/>
        <v>8.2680000000000007</v>
      </c>
      <c r="AJ1786" t="s">
        <v>62</v>
      </c>
    </row>
    <row r="1787" spans="1:36" ht="15" customHeight="1" x14ac:dyDescent="0.35">
      <c r="A1787">
        <v>10428918</v>
      </c>
      <c r="B1787" t="s">
        <v>36</v>
      </c>
      <c r="C1787" t="s">
        <v>37</v>
      </c>
      <c r="D1787" s="6" t="s">
        <v>38</v>
      </c>
      <c r="E1787" t="s">
        <v>5252</v>
      </c>
      <c r="G1787" t="s">
        <v>41</v>
      </c>
      <c r="H1787" t="s">
        <v>5253</v>
      </c>
      <c r="I1787" t="s">
        <v>43</v>
      </c>
      <c r="J1787">
        <v>2</v>
      </c>
      <c r="K1787" t="s">
        <v>44</v>
      </c>
      <c r="L1787" t="s">
        <v>45</v>
      </c>
      <c r="M1787" t="s">
        <v>46</v>
      </c>
      <c r="N1787" s="7">
        <v>6</v>
      </c>
      <c r="O1787" s="8">
        <v>45654.843124999999</v>
      </c>
      <c r="P1787" s="9">
        <v>45656</v>
      </c>
      <c r="Q1787" t="s">
        <v>74</v>
      </c>
      <c r="R1787" t="s">
        <v>48</v>
      </c>
      <c r="S1787" t="s">
        <v>49</v>
      </c>
      <c r="T1787" t="s">
        <v>90</v>
      </c>
      <c r="U1787" t="s">
        <v>5254</v>
      </c>
      <c r="V1787">
        <v>21300</v>
      </c>
      <c r="W1787" t="s">
        <v>48</v>
      </c>
      <c r="X1787" t="s">
        <v>469</v>
      </c>
      <c r="Y1787" t="s">
        <v>54</v>
      </c>
      <c r="Z1787" s="12">
        <f>IF(N1787&lt;=1,9,9+0.8*ROUNDUP(N1787-1,0))</f>
        <v>13</v>
      </c>
      <c r="AA1787" s="11">
        <v>-2</v>
      </c>
      <c r="AB1787" s="11">
        <v>0</v>
      </c>
      <c r="AC1787" s="11">
        <v>0</v>
      </c>
      <c r="AD1787" s="11">
        <v>0</v>
      </c>
      <c r="AE1787" s="11">
        <v>0</v>
      </c>
      <c r="AF1787" s="11">
        <f t="shared" si="81"/>
        <v>0.65999999999999992</v>
      </c>
      <c r="AG1787" s="11">
        <f t="shared" si="82"/>
        <v>11.66</v>
      </c>
      <c r="AH1787" s="11">
        <v>0</v>
      </c>
      <c r="AI1787" s="11">
        <f t="shared" si="83"/>
        <v>11.66</v>
      </c>
      <c r="AJ1787" t="s">
        <v>62</v>
      </c>
    </row>
    <row r="1788" spans="1:36" ht="15" customHeight="1" x14ac:dyDescent="0.35">
      <c r="A1788">
        <v>10428918</v>
      </c>
      <c r="B1788" t="s">
        <v>36</v>
      </c>
      <c r="C1788" t="s">
        <v>37</v>
      </c>
      <c r="D1788" s="6" t="s">
        <v>38</v>
      </c>
      <c r="E1788" t="s">
        <v>5255</v>
      </c>
      <c r="G1788" t="s">
        <v>41</v>
      </c>
      <c r="H1788" t="s">
        <v>5256</v>
      </c>
      <c r="I1788" t="s">
        <v>43</v>
      </c>
      <c r="J1788">
        <v>2</v>
      </c>
      <c r="K1788" t="s">
        <v>44</v>
      </c>
      <c r="L1788" t="s">
        <v>45</v>
      </c>
      <c r="M1788" t="s">
        <v>46</v>
      </c>
      <c r="N1788" s="7">
        <v>1</v>
      </c>
      <c r="O1788" s="8">
        <v>45655.732511574075</v>
      </c>
      <c r="P1788" s="9">
        <v>45656</v>
      </c>
      <c r="Q1788" t="s">
        <v>74</v>
      </c>
      <c r="R1788" t="s">
        <v>48</v>
      </c>
      <c r="S1788" t="s">
        <v>49</v>
      </c>
      <c r="T1788" t="s">
        <v>117</v>
      </c>
      <c r="U1788" t="s">
        <v>5257</v>
      </c>
      <c r="V1788">
        <v>41050</v>
      </c>
      <c r="W1788" t="s">
        <v>48</v>
      </c>
      <c r="X1788" t="s">
        <v>1303</v>
      </c>
      <c r="Y1788" t="s">
        <v>54</v>
      </c>
      <c r="Z1788" s="12">
        <f>IF(N1788&lt;=1,9,9+0.8*ROUNDUP(N1788-1,0))</f>
        <v>9</v>
      </c>
      <c r="AA1788" s="11">
        <v>-2</v>
      </c>
      <c r="AB1788" s="11">
        <v>0</v>
      </c>
      <c r="AC1788" s="11">
        <v>0</v>
      </c>
      <c r="AD1788" s="11">
        <v>0</v>
      </c>
      <c r="AE1788" s="11">
        <v>0</v>
      </c>
      <c r="AF1788" s="11">
        <f t="shared" si="81"/>
        <v>0.42</v>
      </c>
      <c r="AG1788" s="11">
        <f t="shared" si="82"/>
        <v>7.42</v>
      </c>
      <c r="AH1788" s="11">
        <v>0</v>
      </c>
      <c r="AI1788" s="11">
        <f t="shared" si="83"/>
        <v>7.42</v>
      </c>
      <c r="AJ1788" t="s">
        <v>62</v>
      </c>
    </row>
    <row r="1789" spans="1:36" ht="15" customHeight="1" x14ac:dyDescent="0.35">
      <c r="A1789">
        <v>10428918</v>
      </c>
      <c r="B1789" t="s">
        <v>36</v>
      </c>
      <c r="C1789" t="s">
        <v>37</v>
      </c>
      <c r="D1789" s="6" t="s">
        <v>38</v>
      </c>
      <c r="E1789" t="s">
        <v>5258</v>
      </c>
      <c r="G1789" t="s">
        <v>41</v>
      </c>
      <c r="H1789" t="s">
        <v>314</v>
      </c>
      <c r="I1789" t="s">
        <v>43</v>
      </c>
      <c r="J1789">
        <v>2</v>
      </c>
      <c r="K1789" t="s">
        <v>44</v>
      </c>
      <c r="L1789" t="s">
        <v>45</v>
      </c>
      <c r="M1789" t="s">
        <v>46</v>
      </c>
      <c r="N1789" s="7">
        <v>1</v>
      </c>
      <c r="O1789" s="8">
        <v>45655.559259259258</v>
      </c>
      <c r="P1789" s="9">
        <v>45656</v>
      </c>
      <c r="Q1789" t="s">
        <v>74</v>
      </c>
      <c r="R1789" t="s">
        <v>48</v>
      </c>
      <c r="S1789" t="s">
        <v>49</v>
      </c>
      <c r="T1789" t="s">
        <v>75</v>
      </c>
      <c r="U1789" t="s">
        <v>315</v>
      </c>
      <c r="V1789">
        <v>25200</v>
      </c>
      <c r="W1789" t="s">
        <v>48</v>
      </c>
      <c r="X1789" t="s">
        <v>77</v>
      </c>
      <c r="Y1789" t="s">
        <v>54</v>
      </c>
      <c r="Z1789" s="12">
        <f>IF(N1789&lt;=1,9,9+0.8*ROUNDUP(N1789-1,0))</f>
        <v>9</v>
      </c>
      <c r="AA1789" s="11">
        <v>-2</v>
      </c>
      <c r="AB1789" s="11">
        <v>0</v>
      </c>
      <c r="AC1789" s="11">
        <v>0</v>
      </c>
      <c r="AD1789" s="11">
        <v>0</v>
      </c>
      <c r="AE1789" s="11">
        <v>0</v>
      </c>
      <c r="AF1789" s="11">
        <f t="shared" si="81"/>
        <v>0.42</v>
      </c>
      <c r="AG1789" s="11">
        <f t="shared" si="82"/>
        <v>7.42</v>
      </c>
      <c r="AH1789" s="11">
        <v>0</v>
      </c>
      <c r="AI1789" s="11">
        <f t="shared" si="83"/>
        <v>7.42</v>
      </c>
      <c r="AJ1789" t="s">
        <v>62</v>
      </c>
    </row>
    <row r="1790" spans="1:36" ht="15" customHeight="1" x14ac:dyDescent="0.35">
      <c r="A1790">
        <v>10428918</v>
      </c>
      <c r="B1790" t="s">
        <v>36</v>
      </c>
      <c r="C1790" t="s">
        <v>37</v>
      </c>
      <c r="D1790" s="6" t="s">
        <v>38</v>
      </c>
      <c r="E1790" t="s">
        <v>5259</v>
      </c>
      <c r="G1790" t="s">
        <v>41</v>
      </c>
      <c r="H1790" t="s">
        <v>5260</v>
      </c>
      <c r="I1790" t="s">
        <v>43</v>
      </c>
      <c r="J1790">
        <v>2</v>
      </c>
      <c r="K1790" t="s">
        <v>44</v>
      </c>
      <c r="L1790" t="s">
        <v>45</v>
      </c>
      <c r="M1790" t="s">
        <v>46</v>
      </c>
      <c r="N1790" s="7">
        <v>1</v>
      </c>
      <c r="O1790" s="8">
        <v>45655.485833333332</v>
      </c>
      <c r="P1790" s="9">
        <v>45656</v>
      </c>
      <c r="Q1790" t="s">
        <v>74</v>
      </c>
      <c r="R1790" t="s">
        <v>48</v>
      </c>
      <c r="S1790" t="s">
        <v>49</v>
      </c>
      <c r="T1790" t="s">
        <v>117</v>
      </c>
      <c r="U1790" t="s">
        <v>5261</v>
      </c>
      <c r="V1790">
        <v>47301</v>
      </c>
      <c r="W1790" t="s">
        <v>48</v>
      </c>
      <c r="X1790" t="s">
        <v>2828</v>
      </c>
      <c r="Y1790" t="s">
        <v>54</v>
      </c>
      <c r="Z1790" s="12">
        <f>IF(N1790&lt;=1,9,9+0.8*ROUNDUP(N1790-1,0))</f>
        <v>9</v>
      </c>
      <c r="AA1790" s="11">
        <v>-2</v>
      </c>
      <c r="AB1790" s="11">
        <v>0</v>
      </c>
      <c r="AC1790" s="11">
        <v>0</v>
      </c>
      <c r="AD1790" s="11">
        <v>0</v>
      </c>
      <c r="AE1790" s="11">
        <v>0</v>
      </c>
      <c r="AF1790" s="11">
        <f t="shared" si="81"/>
        <v>0.42</v>
      </c>
      <c r="AG1790" s="11">
        <f t="shared" si="82"/>
        <v>7.42</v>
      </c>
      <c r="AH1790" s="11">
        <v>0</v>
      </c>
      <c r="AI1790" s="11">
        <f t="shared" si="83"/>
        <v>7.42</v>
      </c>
      <c r="AJ1790" t="s">
        <v>62</v>
      </c>
    </row>
    <row r="1791" spans="1:36" ht="15" customHeight="1" x14ac:dyDescent="0.35">
      <c r="A1791">
        <v>10428918</v>
      </c>
      <c r="B1791" t="s">
        <v>36</v>
      </c>
      <c r="C1791" t="s">
        <v>37</v>
      </c>
      <c r="D1791" s="6" t="s">
        <v>38</v>
      </c>
      <c r="E1791" t="s">
        <v>5262</v>
      </c>
      <c r="G1791" t="s">
        <v>41</v>
      </c>
      <c r="H1791" t="s">
        <v>5263</v>
      </c>
      <c r="I1791" t="s">
        <v>43</v>
      </c>
      <c r="J1791">
        <v>2</v>
      </c>
      <c r="K1791" t="s">
        <v>44</v>
      </c>
      <c r="L1791" t="s">
        <v>45</v>
      </c>
      <c r="M1791" t="s">
        <v>46</v>
      </c>
      <c r="N1791" s="7">
        <v>1</v>
      </c>
      <c r="O1791" s="8">
        <v>45652.882361111115</v>
      </c>
      <c r="P1791" s="9">
        <v>45656</v>
      </c>
      <c r="Q1791" t="s">
        <v>58</v>
      </c>
      <c r="R1791" t="s">
        <v>48</v>
      </c>
      <c r="S1791" t="s">
        <v>49</v>
      </c>
      <c r="T1791" t="s">
        <v>117</v>
      </c>
      <c r="U1791" t="s">
        <v>5264</v>
      </c>
      <c r="V1791">
        <v>43950</v>
      </c>
      <c r="W1791" t="s">
        <v>48</v>
      </c>
      <c r="X1791" t="s">
        <v>53</v>
      </c>
      <c r="Y1791" t="s">
        <v>54</v>
      </c>
      <c r="Z1791" s="12">
        <f>IF(N1791&lt;=1,9,9+0.8*ROUNDUP(N1791-1,0))</f>
        <v>9</v>
      </c>
      <c r="AA1791" s="11">
        <v>-2</v>
      </c>
      <c r="AB1791" s="11">
        <v>0</v>
      </c>
      <c r="AC1791" s="11">
        <v>0</v>
      </c>
      <c r="AD1791" s="11">
        <v>0</v>
      </c>
      <c r="AE1791" s="11">
        <v>0</v>
      </c>
      <c r="AF1791" s="11">
        <f t="shared" si="81"/>
        <v>0.42</v>
      </c>
      <c r="AG1791" s="11">
        <f t="shared" si="82"/>
        <v>7.42</v>
      </c>
      <c r="AH1791" s="11">
        <v>0</v>
      </c>
      <c r="AI1791" s="11">
        <f t="shared" si="83"/>
        <v>7.42</v>
      </c>
      <c r="AJ1791" t="s">
        <v>62</v>
      </c>
    </row>
    <row r="1792" spans="1:36" ht="15" customHeight="1" x14ac:dyDescent="0.35">
      <c r="A1792">
        <v>10428918</v>
      </c>
      <c r="B1792" t="s">
        <v>36</v>
      </c>
      <c r="C1792" t="s">
        <v>37</v>
      </c>
      <c r="D1792" s="6" t="s">
        <v>38</v>
      </c>
      <c r="E1792" t="s">
        <v>5265</v>
      </c>
      <c r="G1792" t="s">
        <v>41</v>
      </c>
      <c r="H1792" t="s">
        <v>5266</v>
      </c>
      <c r="I1792" t="s">
        <v>43</v>
      </c>
      <c r="J1792">
        <v>2</v>
      </c>
      <c r="K1792" t="s">
        <v>44</v>
      </c>
      <c r="L1792" t="s">
        <v>45</v>
      </c>
      <c r="M1792" t="s">
        <v>46</v>
      </c>
      <c r="N1792" s="7">
        <v>1</v>
      </c>
      <c r="O1792" s="8">
        <v>45651.748263888891</v>
      </c>
      <c r="P1792" s="9">
        <v>45656</v>
      </c>
      <c r="Q1792" t="s">
        <v>47</v>
      </c>
      <c r="R1792" t="s">
        <v>48</v>
      </c>
      <c r="S1792" t="s">
        <v>49</v>
      </c>
      <c r="T1792" t="s">
        <v>50</v>
      </c>
      <c r="U1792" t="s">
        <v>5267</v>
      </c>
      <c r="V1792">
        <v>91308</v>
      </c>
      <c r="W1792" t="s">
        <v>52</v>
      </c>
      <c r="X1792" t="s">
        <v>53</v>
      </c>
      <c r="Y1792" t="s">
        <v>54</v>
      </c>
      <c r="Z1792" s="10">
        <f>IF(N1792&lt;=1,13,IF(N1792&lt;=2,23,IF(N1792&lt;=3,35,IF(N1792&lt;=4,43,IF(N1792&lt;=5,53,IF(N1792&lt;=6,63,IF(N1792&lt;=7,71,IF(N1792&lt;=8,79,IF(N1792&lt;=9,87,IF(N1792&lt;=10,95,IF(N1792&lt;=11,105,IF(N1792&lt;=12,114,IF(N1792&lt;=13,119,IF(N1792&lt;=14,127,IF(N1792&lt;=15,135,IF(N1792&lt;=16,143,IF(N1792&lt;=17,153,IF(N1792&lt;=18,163,IF(N1792&lt;=19,171,IF(N1792&lt;=20,185,IF(N1792&lt;=21,193,IF(N1792&lt;=22,201,IF(N1792&lt;=23,210,IF(N1792&lt;=24,220,IF(N1792&lt;=25,230,IF(N1792&lt;=26,240,IF(N1792&lt;=27,250,IF(N1792&lt;=28,260,IF(N1792&lt;=29,270,IF(N1792&lt;=30,280,280+10*ROUNDUP(N1792-30,0)))))))))))))))))))))))))))))))</f>
        <v>13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f t="shared" si="81"/>
        <v>0.78</v>
      </c>
      <c r="AG1792" s="11">
        <f t="shared" si="82"/>
        <v>13.78</v>
      </c>
      <c r="AH1792" s="11">
        <v>0</v>
      </c>
      <c r="AI1792" s="11">
        <f t="shared" si="83"/>
        <v>13.78</v>
      </c>
      <c r="AJ1792" t="s">
        <v>55</v>
      </c>
    </row>
    <row r="1793" spans="1:36" ht="15" customHeight="1" x14ac:dyDescent="0.35">
      <c r="A1793">
        <v>10428918</v>
      </c>
      <c r="B1793" t="s">
        <v>36</v>
      </c>
      <c r="C1793" t="s">
        <v>37</v>
      </c>
      <c r="D1793" s="6" t="s">
        <v>38</v>
      </c>
      <c r="E1793" t="s">
        <v>5268</v>
      </c>
      <c r="G1793" t="s">
        <v>41</v>
      </c>
      <c r="H1793" t="s">
        <v>5269</v>
      </c>
      <c r="I1793" t="s">
        <v>43</v>
      </c>
      <c r="J1793">
        <v>2</v>
      </c>
      <c r="K1793" t="s">
        <v>44</v>
      </c>
      <c r="L1793" t="s">
        <v>45</v>
      </c>
      <c r="M1793" t="s">
        <v>46</v>
      </c>
      <c r="N1793" s="7">
        <v>1</v>
      </c>
      <c r="O1793" s="8">
        <v>45652.880706018521</v>
      </c>
      <c r="P1793" s="9">
        <v>45656</v>
      </c>
      <c r="Q1793" t="s">
        <v>58</v>
      </c>
      <c r="R1793" t="s">
        <v>48</v>
      </c>
      <c r="S1793" t="s">
        <v>49</v>
      </c>
      <c r="T1793" t="s">
        <v>80</v>
      </c>
      <c r="U1793" t="s">
        <v>5270</v>
      </c>
      <c r="V1793">
        <v>9020</v>
      </c>
      <c r="W1793" t="s">
        <v>48</v>
      </c>
      <c r="X1793" t="s">
        <v>53</v>
      </c>
      <c r="Y1793" t="s">
        <v>54</v>
      </c>
      <c r="Z1793" s="12">
        <f>IF(N1793&lt;=1,9,9+0.8*ROUNDUP(N1793-1,0))</f>
        <v>9</v>
      </c>
      <c r="AA1793" s="11">
        <v>-2</v>
      </c>
      <c r="AB1793" s="11">
        <v>0</v>
      </c>
      <c r="AC1793" s="11">
        <v>0</v>
      </c>
      <c r="AD1793" s="11">
        <v>0</v>
      </c>
      <c r="AE1793" s="11">
        <v>0</v>
      </c>
      <c r="AF1793" s="11">
        <f t="shared" si="81"/>
        <v>0.42</v>
      </c>
      <c r="AG1793" s="11">
        <f t="shared" si="82"/>
        <v>7.42</v>
      </c>
      <c r="AH1793" s="11">
        <v>0</v>
      </c>
      <c r="AI1793" s="11">
        <f t="shared" si="83"/>
        <v>7.42</v>
      </c>
      <c r="AJ1793" t="s">
        <v>62</v>
      </c>
    </row>
    <row r="1794" spans="1:36" ht="15" customHeight="1" x14ac:dyDescent="0.35">
      <c r="A1794">
        <v>10428918</v>
      </c>
      <c r="B1794" t="s">
        <v>36</v>
      </c>
      <c r="C1794" t="s">
        <v>37</v>
      </c>
      <c r="D1794" s="6" t="s">
        <v>38</v>
      </c>
      <c r="E1794" t="s">
        <v>5271</v>
      </c>
      <c r="G1794" t="s">
        <v>41</v>
      </c>
      <c r="H1794" t="s">
        <v>5272</v>
      </c>
      <c r="I1794" t="s">
        <v>43</v>
      </c>
      <c r="J1794">
        <v>2</v>
      </c>
      <c r="K1794" t="s">
        <v>44</v>
      </c>
      <c r="L1794" t="s">
        <v>45</v>
      </c>
      <c r="M1794" t="s">
        <v>46</v>
      </c>
      <c r="N1794" s="7">
        <v>1</v>
      </c>
      <c r="O1794" s="8">
        <v>45654.650081018517</v>
      </c>
      <c r="P1794" s="9">
        <v>45656</v>
      </c>
      <c r="Q1794" t="s">
        <v>74</v>
      </c>
      <c r="R1794" t="s">
        <v>48</v>
      </c>
      <c r="S1794" t="s">
        <v>49</v>
      </c>
      <c r="T1794" t="s">
        <v>117</v>
      </c>
      <c r="U1794" t="s">
        <v>5273</v>
      </c>
      <c r="V1794">
        <v>42200</v>
      </c>
      <c r="W1794" t="s">
        <v>48</v>
      </c>
      <c r="X1794" t="s">
        <v>1303</v>
      </c>
      <c r="Y1794" t="s">
        <v>54</v>
      </c>
      <c r="Z1794" s="12">
        <f>IF(N1794&lt;=1,9,9+0.8*ROUNDUP(N1794-1,0))</f>
        <v>9</v>
      </c>
      <c r="AA1794" s="11">
        <v>-2</v>
      </c>
      <c r="AB1794" s="11">
        <v>0</v>
      </c>
      <c r="AC1794" s="11">
        <v>0</v>
      </c>
      <c r="AD1794" s="11">
        <v>0</v>
      </c>
      <c r="AE1794" s="11">
        <v>0</v>
      </c>
      <c r="AF1794" s="11">
        <f t="shared" ref="AF1794:AF1857" si="84">(Z1794+AA1794+AC1794+AE1794)*6%</f>
        <v>0.42</v>
      </c>
      <c r="AG1794" s="11">
        <f t="shared" ref="AG1794:AG1857" si="85">Z1794+AA1794+AC1794+AE1794+AF1794</f>
        <v>7.42</v>
      </c>
      <c r="AH1794" s="11">
        <v>0</v>
      </c>
      <c r="AI1794" s="11">
        <f t="shared" ref="AI1794:AI1857" si="86">AG1794+AH1794</f>
        <v>7.42</v>
      </c>
      <c r="AJ1794" t="s">
        <v>62</v>
      </c>
    </row>
    <row r="1795" spans="1:36" ht="15" customHeight="1" x14ac:dyDescent="0.35">
      <c r="A1795">
        <v>10428918</v>
      </c>
      <c r="B1795" t="s">
        <v>36</v>
      </c>
      <c r="C1795" t="s">
        <v>37</v>
      </c>
      <c r="D1795" s="6" t="s">
        <v>38</v>
      </c>
      <c r="E1795" t="s">
        <v>5274</v>
      </c>
      <c r="G1795" t="s">
        <v>41</v>
      </c>
      <c r="H1795" t="s">
        <v>5275</v>
      </c>
      <c r="I1795" t="s">
        <v>43</v>
      </c>
      <c r="J1795">
        <v>2</v>
      </c>
      <c r="K1795" t="s">
        <v>44</v>
      </c>
      <c r="L1795" t="s">
        <v>45</v>
      </c>
      <c r="M1795" t="s">
        <v>46</v>
      </c>
      <c r="N1795" s="7">
        <v>1</v>
      </c>
      <c r="O1795" s="8">
        <v>45655.441458333335</v>
      </c>
      <c r="P1795" s="9">
        <v>45656</v>
      </c>
      <c r="Q1795" t="s">
        <v>74</v>
      </c>
      <c r="R1795" t="s">
        <v>48</v>
      </c>
      <c r="S1795" t="s">
        <v>49</v>
      </c>
      <c r="T1795" t="s">
        <v>117</v>
      </c>
      <c r="U1795" t="s">
        <v>5276</v>
      </c>
      <c r="V1795">
        <v>42700</v>
      </c>
      <c r="W1795" t="s">
        <v>48</v>
      </c>
      <c r="X1795" t="s">
        <v>901</v>
      </c>
      <c r="Y1795" t="s">
        <v>54</v>
      </c>
      <c r="Z1795" s="12">
        <f>IF(N1795&lt;=1,9,9+0.8*ROUNDUP(N1795-1,0))</f>
        <v>9</v>
      </c>
      <c r="AA1795" s="11">
        <v>-2</v>
      </c>
      <c r="AB1795" s="11">
        <v>0</v>
      </c>
      <c r="AC1795" s="11">
        <v>0</v>
      </c>
      <c r="AD1795" s="11">
        <v>0</v>
      </c>
      <c r="AE1795" s="11">
        <v>0</v>
      </c>
      <c r="AF1795" s="11">
        <f t="shared" si="84"/>
        <v>0.42</v>
      </c>
      <c r="AG1795" s="11">
        <f t="shared" si="85"/>
        <v>7.42</v>
      </c>
      <c r="AH1795" s="11">
        <v>0</v>
      </c>
      <c r="AI1795" s="11">
        <f t="shared" si="86"/>
        <v>7.42</v>
      </c>
      <c r="AJ1795" t="s">
        <v>62</v>
      </c>
    </row>
    <row r="1796" spans="1:36" ht="15" customHeight="1" x14ac:dyDescent="0.35">
      <c r="A1796">
        <v>10428918</v>
      </c>
      <c r="B1796" t="s">
        <v>36</v>
      </c>
      <c r="C1796" t="s">
        <v>37</v>
      </c>
      <c r="D1796" s="6" t="s">
        <v>38</v>
      </c>
      <c r="E1796" t="s">
        <v>5277</v>
      </c>
      <c r="G1796" t="s">
        <v>41</v>
      </c>
      <c r="H1796" t="s">
        <v>5278</v>
      </c>
      <c r="I1796" t="s">
        <v>43</v>
      </c>
      <c r="J1796">
        <v>2</v>
      </c>
      <c r="K1796" t="s">
        <v>44</v>
      </c>
      <c r="L1796" t="s">
        <v>45</v>
      </c>
      <c r="M1796" t="s">
        <v>46</v>
      </c>
      <c r="N1796" s="7">
        <v>1</v>
      </c>
      <c r="O1796" s="8">
        <v>45654.577291666668</v>
      </c>
      <c r="P1796" s="9">
        <v>45656</v>
      </c>
      <c r="Q1796" t="s">
        <v>74</v>
      </c>
      <c r="R1796" t="s">
        <v>48</v>
      </c>
      <c r="S1796" t="s">
        <v>49</v>
      </c>
      <c r="T1796" t="s">
        <v>117</v>
      </c>
      <c r="U1796" t="s">
        <v>5279</v>
      </c>
      <c r="V1796">
        <v>43000</v>
      </c>
      <c r="W1796" t="s">
        <v>48</v>
      </c>
      <c r="X1796" t="s">
        <v>53</v>
      </c>
      <c r="Y1796" t="s">
        <v>54</v>
      </c>
      <c r="Z1796" s="12">
        <f>IF(N1796&lt;=1,9,9+0.8*ROUNDUP(N1796-1,0))</f>
        <v>9</v>
      </c>
      <c r="AA1796" s="11">
        <v>-2</v>
      </c>
      <c r="AB1796" s="11">
        <v>0</v>
      </c>
      <c r="AC1796" s="11">
        <v>0</v>
      </c>
      <c r="AD1796" s="11">
        <v>0</v>
      </c>
      <c r="AE1796" s="11">
        <v>0</v>
      </c>
      <c r="AF1796" s="11">
        <f t="shared" si="84"/>
        <v>0.42</v>
      </c>
      <c r="AG1796" s="11">
        <f t="shared" si="85"/>
        <v>7.42</v>
      </c>
      <c r="AH1796" s="11">
        <v>0</v>
      </c>
      <c r="AI1796" s="11">
        <f t="shared" si="86"/>
        <v>7.42</v>
      </c>
      <c r="AJ1796" t="s">
        <v>62</v>
      </c>
    </row>
    <row r="1797" spans="1:36" ht="15" customHeight="1" x14ac:dyDescent="0.35">
      <c r="A1797">
        <v>10428918</v>
      </c>
      <c r="B1797" t="s">
        <v>36</v>
      </c>
      <c r="C1797" t="s">
        <v>37</v>
      </c>
      <c r="D1797" s="6" t="s">
        <v>38</v>
      </c>
      <c r="E1797" t="s">
        <v>5280</v>
      </c>
      <c r="G1797" t="s">
        <v>41</v>
      </c>
      <c r="H1797" t="s">
        <v>5281</v>
      </c>
      <c r="I1797" t="s">
        <v>43</v>
      </c>
      <c r="J1797">
        <v>2</v>
      </c>
      <c r="K1797" t="s">
        <v>44</v>
      </c>
      <c r="L1797" t="s">
        <v>45</v>
      </c>
      <c r="M1797" t="s">
        <v>46</v>
      </c>
      <c r="N1797" s="7">
        <v>2</v>
      </c>
      <c r="O1797" s="8">
        <v>45654.65965277778</v>
      </c>
      <c r="P1797" s="9">
        <v>45656</v>
      </c>
      <c r="Q1797" t="s">
        <v>74</v>
      </c>
      <c r="R1797" t="s">
        <v>48</v>
      </c>
      <c r="S1797" t="s">
        <v>49</v>
      </c>
      <c r="T1797" t="s">
        <v>75</v>
      </c>
      <c r="U1797" t="s">
        <v>346</v>
      </c>
      <c r="V1797">
        <v>27050</v>
      </c>
      <c r="W1797" t="s">
        <v>48</v>
      </c>
      <c r="X1797" t="s">
        <v>77</v>
      </c>
      <c r="Y1797" t="s">
        <v>54</v>
      </c>
      <c r="Z1797" s="12">
        <f>IF(N1797&lt;=1,9,9+0.8*ROUNDUP(N1797-1,0))</f>
        <v>9.8000000000000007</v>
      </c>
      <c r="AA1797" s="11">
        <v>-2</v>
      </c>
      <c r="AB1797" s="11">
        <v>0</v>
      </c>
      <c r="AC1797" s="11">
        <v>0</v>
      </c>
      <c r="AD1797" s="11">
        <v>0</v>
      </c>
      <c r="AE1797" s="11">
        <v>0</v>
      </c>
      <c r="AF1797" s="11">
        <f t="shared" si="84"/>
        <v>0.46800000000000003</v>
      </c>
      <c r="AG1797" s="11">
        <f t="shared" si="85"/>
        <v>8.2680000000000007</v>
      </c>
      <c r="AH1797" s="11">
        <v>0</v>
      </c>
      <c r="AI1797" s="11">
        <f t="shared" si="86"/>
        <v>8.2680000000000007</v>
      </c>
      <c r="AJ1797" t="s">
        <v>62</v>
      </c>
    </row>
    <row r="1798" spans="1:36" ht="15" customHeight="1" x14ac:dyDescent="0.35">
      <c r="A1798">
        <v>10428918</v>
      </c>
      <c r="B1798" t="s">
        <v>36</v>
      </c>
      <c r="C1798" t="s">
        <v>37</v>
      </c>
      <c r="D1798" s="6" t="s">
        <v>38</v>
      </c>
      <c r="E1798" t="s">
        <v>5282</v>
      </c>
      <c r="G1798" t="s">
        <v>41</v>
      </c>
      <c r="H1798" t="s">
        <v>1479</v>
      </c>
      <c r="I1798" t="s">
        <v>43</v>
      </c>
      <c r="J1798">
        <v>2</v>
      </c>
      <c r="K1798" t="s">
        <v>44</v>
      </c>
      <c r="L1798" t="s">
        <v>45</v>
      </c>
      <c r="M1798" t="s">
        <v>46</v>
      </c>
      <c r="N1798" s="7">
        <v>4</v>
      </c>
      <c r="O1798" s="8">
        <v>45654.65966435185</v>
      </c>
      <c r="P1798" s="9">
        <v>45656</v>
      </c>
      <c r="Q1798" t="s">
        <v>74</v>
      </c>
      <c r="R1798" t="s">
        <v>48</v>
      </c>
      <c r="S1798" t="s">
        <v>49</v>
      </c>
      <c r="T1798" t="s">
        <v>59</v>
      </c>
      <c r="U1798" t="s">
        <v>1480</v>
      </c>
      <c r="V1798">
        <v>18300</v>
      </c>
      <c r="W1798" t="s">
        <v>48</v>
      </c>
      <c r="X1798" t="s">
        <v>61</v>
      </c>
      <c r="Y1798" t="s">
        <v>54</v>
      </c>
      <c r="Z1798" s="12">
        <f>IF(N1798&lt;=1,9,9+0.8*ROUNDUP(N1798-1,0))</f>
        <v>11.4</v>
      </c>
      <c r="AA1798" s="11">
        <v>-2</v>
      </c>
      <c r="AB1798" s="11">
        <v>0</v>
      </c>
      <c r="AC1798" s="11">
        <v>0</v>
      </c>
      <c r="AD1798" s="11">
        <v>0</v>
      </c>
      <c r="AE1798" s="11">
        <v>0</v>
      </c>
      <c r="AF1798" s="11">
        <f t="shared" si="84"/>
        <v>0.56399999999999995</v>
      </c>
      <c r="AG1798" s="11">
        <f t="shared" si="85"/>
        <v>9.9640000000000004</v>
      </c>
      <c r="AH1798" s="11">
        <v>0</v>
      </c>
      <c r="AI1798" s="11">
        <f t="shared" si="86"/>
        <v>9.9640000000000004</v>
      </c>
      <c r="AJ1798" t="s">
        <v>62</v>
      </c>
    </row>
    <row r="1799" spans="1:36" ht="15" customHeight="1" x14ac:dyDescent="0.35">
      <c r="A1799">
        <v>10428918</v>
      </c>
      <c r="B1799" t="s">
        <v>36</v>
      </c>
      <c r="C1799" t="s">
        <v>37</v>
      </c>
      <c r="D1799" s="6" t="s">
        <v>38</v>
      </c>
      <c r="E1799" t="s">
        <v>5283</v>
      </c>
      <c r="G1799" t="s">
        <v>41</v>
      </c>
      <c r="H1799" t="s">
        <v>4987</v>
      </c>
      <c r="I1799" t="s">
        <v>43</v>
      </c>
      <c r="J1799">
        <v>2</v>
      </c>
      <c r="K1799" t="s">
        <v>44</v>
      </c>
      <c r="L1799" t="s">
        <v>45</v>
      </c>
      <c r="M1799" t="s">
        <v>46</v>
      </c>
      <c r="N1799" s="7">
        <v>1</v>
      </c>
      <c r="O1799" s="8">
        <v>45652.895891203705</v>
      </c>
      <c r="P1799" s="9">
        <v>45656</v>
      </c>
      <c r="Q1799" t="s">
        <v>58</v>
      </c>
      <c r="R1799" t="s">
        <v>48</v>
      </c>
      <c r="S1799" t="s">
        <v>49</v>
      </c>
      <c r="T1799" t="s">
        <v>80</v>
      </c>
      <c r="U1799" t="s">
        <v>4988</v>
      </c>
      <c r="V1799">
        <v>6250</v>
      </c>
      <c r="W1799" t="s">
        <v>48</v>
      </c>
      <c r="X1799" t="s">
        <v>137</v>
      </c>
      <c r="Y1799" t="s">
        <v>54</v>
      </c>
      <c r="Z1799" s="12">
        <f>IF(N1799&lt;=1,9,9+0.8*ROUNDUP(N1799-1,0))</f>
        <v>9</v>
      </c>
      <c r="AA1799" s="11">
        <v>-2</v>
      </c>
      <c r="AB1799" s="11">
        <v>0</v>
      </c>
      <c r="AC1799" s="11">
        <v>0</v>
      </c>
      <c r="AD1799" s="11">
        <v>0</v>
      </c>
      <c r="AE1799" s="11">
        <v>0</v>
      </c>
      <c r="AF1799" s="11">
        <f t="shared" si="84"/>
        <v>0.42</v>
      </c>
      <c r="AG1799" s="11">
        <f t="shared" si="85"/>
        <v>7.42</v>
      </c>
      <c r="AH1799" s="11">
        <v>0</v>
      </c>
      <c r="AI1799" s="11">
        <f t="shared" si="86"/>
        <v>7.42</v>
      </c>
      <c r="AJ1799" t="s">
        <v>62</v>
      </c>
    </row>
    <row r="1800" spans="1:36" ht="15" customHeight="1" x14ac:dyDescent="0.35">
      <c r="A1800">
        <v>10428918</v>
      </c>
      <c r="B1800" t="s">
        <v>36</v>
      </c>
      <c r="C1800" t="s">
        <v>37</v>
      </c>
      <c r="D1800" s="6" t="s">
        <v>38</v>
      </c>
      <c r="E1800" t="s">
        <v>5284</v>
      </c>
      <c r="G1800" t="s">
        <v>41</v>
      </c>
      <c r="H1800" t="s">
        <v>318</v>
      </c>
      <c r="I1800" t="s">
        <v>43</v>
      </c>
      <c r="J1800">
        <v>2</v>
      </c>
      <c r="K1800" t="s">
        <v>44</v>
      </c>
      <c r="L1800" t="s">
        <v>45</v>
      </c>
      <c r="M1800" t="s">
        <v>46</v>
      </c>
      <c r="N1800" s="7">
        <v>2</v>
      </c>
      <c r="O1800" s="8">
        <v>45654.64403935185</v>
      </c>
      <c r="P1800" s="9">
        <v>45656</v>
      </c>
      <c r="Q1800" t="s">
        <v>74</v>
      </c>
      <c r="R1800" t="s">
        <v>48</v>
      </c>
      <c r="S1800" t="s">
        <v>49</v>
      </c>
      <c r="T1800" t="s">
        <v>75</v>
      </c>
      <c r="U1800" t="s">
        <v>319</v>
      </c>
      <c r="V1800">
        <v>25150</v>
      </c>
      <c r="W1800" t="s">
        <v>48</v>
      </c>
      <c r="X1800" t="s">
        <v>77</v>
      </c>
      <c r="Y1800" t="s">
        <v>54</v>
      </c>
      <c r="Z1800" s="12">
        <f>IF(N1800&lt;=1,9,9+0.8*ROUNDUP(N1800-1,0))</f>
        <v>9.8000000000000007</v>
      </c>
      <c r="AA1800" s="11">
        <v>-2</v>
      </c>
      <c r="AB1800" s="11">
        <v>0</v>
      </c>
      <c r="AC1800" s="11">
        <v>0</v>
      </c>
      <c r="AD1800" s="11">
        <v>0</v>
      </c>
      <c r="AE1800" s="11">
        <v>0</v>
      </c>
      <c r="AF1800" s="11">
        <f t="shared" si="84"/>
        <v>0.46800000000000003</v>
      </c>
      <c r="AG1800" s="11">
        <f t="shared" si="85"/>
        <v>8.2680000000000007</v>
      </c>
      <c r="AH1800" s="11">
        <v>0</v>
      </c>
      <c r="AI1800" s="11">
        <f t="shared" si="86"/>
        <v>8.2680000000000007</v>
      </c>
      <c r="AJ1800" t="s">
        <v>62</v>
      </c>
    </row>
    <row r="1801" spans="1:36" ht="15" customHeight="1" x14ac:dyDescent="0.35">
      <c r="A1801">
        <v>10428918</v>
      </c>
      <c r="B1801" t="s">
        <v>36</v>
      </c>
      <c r="C1801" t="s">
        <v>37</v>
      </c>
      <c r="D1801" s="6" t="s">
        <v>38</v>
      </c>
      <c r="E1801" t="s">
        <v>5285</v>
      </c>
      <c r="G1801" t="s">
        <v>41</v>
      </c>
      <c r="H1801" t="s">
        <v>2621</v>
      </c>
      <c r="I1801" t="s">
        <v>43</v>
      </c>
      <c r="J1801">
        <v>2</v>
      </c>
      <c r="K1801" t="s">
        <v>44</v>
      </c>
      <c r="L1801" t="s">
        <v>45</v>
      </c>
      <c r="M1801" t="s">
        <v>46</v>
      </c>
      <c r="N1801" s="7">
        <v>1</v>
      </c>
      <c r="O1801" s="8">
        <v>45654.650081018517</v>
      </c>
      <c r="P1801" s="9">
        <v>45656</v>
      </c>
      <c r="Q1801" t="s">
        <v>74</v>
      </c>
      <c r="R1801" t="s">
        <v>48</v>
      </c>
      <c r="S1801" t="s">
        <v>49</v>
      </c>
      <c r="T1801" t="s">
        <v>90</v>
      </c>
      <c r="U1801" t="s">
        <v>5286</v>
      </c>
      <c r="V1801">
        <v>21020</v>
      </c>
      <c r="W1801" t="s">
        <v>48</v>
      </c>
      <c r="X1801" t="s">
        <v>92</v>
      </c>
      <c r="Y1801" t="s">
        <v>54</v>
      </c>
      <c r="Z1801" s="12">
        <f>IF(N1801&lt;=1,9,9+0.8*ROUNDUP(N1801-1,0))</f>
        <v>9</v>
      </c>
      <c r="AA1801" s="11">
        <v>-2</v>
      </c>
      <c r="AB1801" s="11">
        <v>0</v>
      </c>
      <c r="AC1801" s="11">
        <v>0</v>
      </c>
      <c r="AD1801" s="11">
        <v>0</v>
      </c>
      <c r="AE1801" s="11">
        <v>0</v>
      </c>
      <c r="AF1801" s="11">
        <f t="shared" si="84"/>
        <v>0.42</v>
      </c>
      <c r="AG1801" s="11">
        <f t="shared" si="85"/>
        <v>7.42</v>
      </c>
      <c r="AH1801" s="11">
        <v>0</v>
      </c>
      <c r="AI1801" s="11">
        <f t="shared" si="86"/>
        <v>7.42</v>
      </c>
      <c r="AJ1801" t="s">
        <v>62</v>
      </c>
    </row>
    <row r="1802" spans="1:36" ht="15" customHeight="1" x14ac:dyDescent="0.35">
      <c r="A1802">
        <v>10428918</v>
      </c>
      <c r="B1802" t="s">
        <v>36</v>
      </c>
      <c r="C1802" t="s">
        <v>37</v>
      </c>
      <c r="D1802" s="6" t="s">
        <v>38</v>
      </c>
      <c r="E1802" t="s">
        <v>5287</v>
      </c>
      <c r="G1802" t="s">
        <v>41</v>
      </c>
      <c r="H1802" t="s">
        <v>5288</v>
      </c>
      <c r="I1802" t="s">
        <v>43</v>
      </c>
      <c r="J1802">
        <v>2</v>
      </c>
      <c r="K1802" t="s">
        <v>44</v>
      </c>
      <c r="L1802" t="s">
        <v>45</v>
      </c>
      <c r="M1802" t="s">
        <v>46</v>
      </c>
      <c r="N1802" s="7">
        <v>1</v>
      </c>
      <c r="O1802" s="8">
        <v>45654.483726851853</v>
      </c>
      <c r="P1802" s="9">
        <v>45656</v>
      </c>
      <c r="Q1802" t="s">
        <v>74</v>
      </c>
      <c r="R1802" t="s">
        <v>48</v>
      </c>
      <c r="S1802" t="s">
        <v>49</v>
      </c>
      <c r="T1802" t="s">
        <v>101</v>
      </c>
      <c r="U1802" t="s">
        <v>5289</v>
      </c>
      <c r="V1802">
        <v>34250</v>
      </c>
      <c r="W1802" t="s">
        <v>48</v>
      </c>
      <c r="X1802" t="s">
        <v>53</v>
      </c>
      <c r="Y1802" t="s">
        <v>54</v>
      </c>
      <c r="Z1802" s="12">
        <f>IF(N1802&lt;=1,9,9+0.8*ROUNDUP(N1802-1,0))</f>
        <v>9</v>
      </c>
      <c r="AA1802" s="11">
        <v>-2</v>
      </c>
      <c r="AB1802" s="11">
        <v>0</v>
      </c>
      <c r="AC1802" s="11">
        <v>0</v>
      </c>
      <c r="AD1802" s="11">
        <v>0</v>
      </c>
      <c r="AE1802" s="11">
        <v>0</v>
      </c>
      <c r="AF1802" s="11">
        <f t="shared" si="84"/>
        <v>0.42</v>
      </c>
      <c r="AG1802" s="11">
        <f t="shared" si="85"/>
        <v>7.42</v>
      </c>
      <c r="AH1802" s="11">
        <v>0</v>
      </c>
      <c r="AI1802" s="11">
        <f t="shared" si="86"/>
        <v>7.42</v>
      </c>
      <c r="AJ1802" t="s">
        <v>62</v>
      </c>
    </row>
    <row r="1803" spans="1:36" ht="15" customHeight="1" x14ac:dyDescent="0.35">
      <c r="A1803">
        <v>10428918</v>
      </c>
      <c r="B1803" t="s">
        <v>36</v>
      </c>
      <c r="C1803" t="s">
        <v>37</v>
      </c>
      <c r="D1803" s="6" t="s">
        <v>38</v>
      </c>
      <c r="E1803" t="s">
        <v>5290</v>
      </c>
      <c r="G1803" t="s">
        <v>41</v>
      </c>
      <c r="H1803" t="s">
        <v>5291</v>
      </c>
      <c r="I1803" t="s">
        <v>43</v>
      </c>
      <c r="J1803">
        <v>2</v>
      </c>
      <c r="K1803" t="s">
        <v>44</v>
      </c>
      <c r="L1803" t="s">
        <v>45</v>
      </c>
      <c r="M1803" t="s">
        <v>46</v>
      </c>
      <c r="N1803" s="7">
        <v>3</v>
      </c>
      <c r="O1803" s="8">
        <v>45655.600856481484</v>
      </c>
      <c r="P1803" s="9">
        <v>45656</v>
      </c>
      <c r="Q1803" t="s">
        <v>74</v>
      </c>
      <c r="R1803" t="s">
        <v>48</v>
      </c>
      <c r="S1803" t="s">
        <v>49</v>
      </c>
      <c r="T1803" t="s">
        <v>117</v>
      </c>
      <c r="U1803" t="s">
        <v>5292</v>
      </c>
      <c r="V1803">
        <v>45500</v>
      </c>
      <c r="W1803" t="s">
        <v>48</v>
      </c>
      <c r="X1803" t="s">
        <v>258</v>
      </c>
      <c r="Y1803" t="s">
        <v>54</v>
      </c>
      <c r="Z1803" s="12">
        <f>IF(N1803&lt;=1,9,9+0.8*ROUNDUP(N1803-1,0))</f>
        <v>10.6</v>
      </c>
      <c r="AA1803" s="11">
        <v>-2</v>
      </c>
      <c r="AB1803" s="11">
        <v>0</v>
      </c>
      <c r="AC1803" s="11">
        <v>0</v>
      </c>
      <c r="AD1803" s="11">
        <v>0</v>
      </c>
      <c r="AE1803" s="11">
        <v>0</v>
      </c>
      <c r="AF1803" s="11">
        <f t="shared" si="84"/>
        <v>0.51600000000000001</v>
      </c>
      <c r="AG1803" s="11">
        <f t="shared" si="85"/>
        <v>9.1159999999999997</v>
      </c>
      <c r="AH1803" s="11">
        <v>0</v>
      </c>
      <c r="AI1803" s="11">
        <f t="shared" si="86"/>
        <v>9.1159999999999997</v>
      </c>
      <c r="AJ1803" t="s">
        <v>62</v>
      </c>
    </row>
    <row r="1804" spans="1:36" ht="15" customHeight="1" x14ac:dyDescent="0.35">
      <c r="A1804">
        <v>10428918</v>
      </c>
      <c r="B1804" t="s">
        <v>36</v>
      </c>
      <c r="C1804" t="s">
        <v>37</v>
      </c>
      <c r="D1804" s="6" t="s">
        <v>38</v>
      </c>
      <c r="E1804" t="s">
        <v>5293</v>
      </c>
      <c r="G1804" t="s">
        <v>41</v>
      </c>
      <c r="H1804" t="s">
        <v>5294</v>
      </c>
      <c r="I1804" t="s">
        <v>43</v>
      </c>
      <c r="J1804">
        <v>2</v>
      </c>
      <c r="K1804" t="s">
        <v>44</v>
      </c>
      <c r="L1804" t="s">
        <v>45</v>
      </c>
      <c r="M1804" t="s">
        <v>46</v>
      </c>
      <c r="N1804" s="7">
        <v>2</v>
      </c>
      <c r="O1804" s="8">
        <v>45654.65965277778</v>
      </c>
      <c r="P1804" s="9">
        <v>45656</v>
      </c>
      <c r="Q1804" t="s">
        <v>74</v>
      </c>
      <c r="R1804" t="s">
        <v>48</v>
      </c>
      <c r="S1804" t="s">
        <v>49</v>
      </c>
      <c r="T1804" t="s">
        <v>75</v>
      </c>
      <c r="U1804" t="s">
        <v>5295</v>
      </c>
      <c r="V1804">
        <v>26800</v>
      </c>
      <c r="W1804" t="s">
        <v>48</v>
      </c>
      <c r="X1804" t="s">
        <v>77</v>
      </c>
      <c r="Y1804" t="s">
        <v>54</v>
      </c>
      <c r="Z1804" s="12">
        <f>IF(N1804&lt;=1,9,9+0.8*ROUNDUP(N1804-1,0))</f>
        <v>9.8000000000000007</v>
      </c>
      <c r="AA1804" s="11">
        <v>-2</v>
      </c>
      <c r="AB1804" s="11">
        <v>0</v>
      </c>
      <c r="AC1804" s="11">
        <v>0</v>
      </c>
      <c r="AD1804" s="11">
        <v>0</v>
      </c>
      <c r="AE1804" s="11">
        <v>0</v>
      </c>
      <c r="AF1804" s="11">
        <f t="shared" si="84"/>
        <v>0.46800000000000003</v>
      </c>
      <c r="AG1804" s="11">
        <f t="shared" si="85"/>
        <v>8.2680000000000007</v>
      </c>
      <c r="AH1804" s="11">
        <v>0</v>
      </c>
      <c r="AI1804" s="11">
        <f t="shared" si="86"/>
        <v>8.2680000000000007</v>
      </c>
      <c r="AJ1804" t="s">
        <v>62</v>
      </c>
    </row>
    <row r="1805" spans="1:36" ht="15" customHeight="1" x14ac:dyDescent="0.35">
      <c r="A1805">
        <v>10428918</v>
      </c>
      <c r="B1805" t="s">
        <v>36</v>
      </c>
      <c r="C1805" t="s">
        <v>37</v>
      </c>
      <c r="D1805" s="6" t="s">
        <v>38</v>
      </c>
      <c r="E1805" t="s">
        <v>5296</v>
      </c>
      <c r="G1805" t="s">
        <v>41</v>
      </c>
      <c r="H1805" t="s">
        <v>5297</v>
      </c>
      <c r="I1805" t="s">
        <v>43</v>
      </c>
      <c r="J1805">
        <v>2</v>
      </c>
      <c r="K1805" t="s">
        <v>44</v>
      </c>
      <c r="L1805" t="s">
        <v>45</v>
      </c>
      <c r="M1805" t="s">
        <v>46</v>
      </c>
      <c r="N1805" s="7">
        <v>1</v>
      </c>
      <c r="O1805" s="8">
        <v>45654.650081018517</v>
      </c>
      <c r="P1805" s="9">
        <v>45656</v>
      </c>
      <c r="Q1805" t="s">
        <v>74</v>
      </c>
      <c r="R1805" t="s">
        <v>48</v>
      </c>
      <c r="S1805" t="s">
        <v>49</v>
      </c>
      <c r="T1805" t="s">
        <v>117</v>
      </c>
      <c r="U1805" t="s">
        <v>5298</v>
      </c>
      <c r="V1805">
        <v>47160</v>
      </c>
      <c r="W1805" t="s">
        <v>48</v>
      </c>
      <c r="X1805" t="s">
        <v>1127</v>
      </c>
      <c r="Y1805" t="s">
        <v>54</v>
      </c>
      <c r="Z1805" s="12">
        <f>IF(N1805&lt;=1,9,9+0.8*ROUNDUP(N1805-1,0))</f>
        <v>9</v>
      </c>
      <c r="AA1805" s="11">
        <v>-2</v>
      </c>
      <c r="AB1805" s="11">
        <v>0</v>
      </c>
      <c r="AC1805" s="11">
        <v>0</v>
      </c>
      <c r="AD1805" s="11">
        <v>0</v>
      </c>
      <c r="AE1805" s="11">
        <v>0</v>
      </c>
      <c r="AF1805" s="11">
        <f t="shared" si="84"/>
        <v>0.42</v>
      </c>
      <c r="AG1805" s="11">
        <f t="shared" si="85"/>
        <v>7.42</v>
      </c>
      <c r="AH1805" s="11">
        <v>0</v>
      </c>
      <c r="AI1805" s="11">
        <f t="shared" si="86"/>
        <v>7.42</v>
      </c>
      <c r="AJ1805" t="s">
        <v>62</v>
      </c>
    </row>
    <row r="1806" spans="1:36" ht="15" customHeight="1" x14ac:dyDescent="0.35">
      <c r="A1806">
        <v>10428918</v>
      </c>
      <c r="B1806" t="s">
        <v>36</v>
      </c>
      <c r="C1806" t="s">
        <v>37</v>
      </c>
      <c r="D1806" s="6" t="s">
        <v>38</v>
      </c>
      <c r="E1806" t="s">
        <v>5299</v>
      </c>
      <c r="G1806" t="s">
        <v>41</v>
      </c>
      <c r="H1806" t="s">
        <v>5300</v>
      </c>
      <c r="I1806" t="s">
        <v>43</v>
      </c>
      <c r="J1806">
        <v>2</v>
      </c>
      <c r="K1806" t="s">
        <v>44</v>
      </c>
      <c r="L1806" t="s">
        <v>45</v>
      </c>
      <c r="M1806" t="s">
        <v>46</v>
      </c>
      <c r="N1806" s="7">
        <v>1</v>
      </c>
      <c r="O1806" s="8">
        <v>45654.573171296295</v>
      </c>
      <c r="P1806" s="9">
        <v>45657</v>
      </c>
      <c r="Q1806" t="s">
        <v>74</v>
      </c>
      <c r="R1806" t="s">
        <v>48</v>
      </c>
      <c r="S1806" t="s">
        <v>49</v>
      </c>
      <c r="T1806" t="s">
        <v>85</v>
      </c>
      <c r="U1806" t="s">
        <v>5301</v>
      </c>
      <c r="V1806">
        <v>71250</v>
      </c>
      <c r="W1806" t="s">
        <v>48</v>
      </c>
      <c r="X1806" t="s">
        <v>87</v>
      </c>
      <c r="Y1806" t="s">
        <v>54</v>
      </c>
      <c r="Z1806" s="12">
        <f>IF(N1806&lt;=1,9,9+0.8*ROUNDUP(N1806-1,0))</f>
        <v>9</v>
      </c>
      <c r="AA1806" s="11">
        <v>-2</v>
      </c>
      <c r="AB1806" s="11">
        <v>0</v>
      </c>
      <c r="AC1806" s="11">
        <v>0</v>
      </c>
      <c r="AD1806" s="11">
        <v>0</v>
      </c>
      <c r="AE1806" s="11">
        <v>0</v>
      </c>
      <c r="AF1806" s="11">
        <f t="shared" si="84"/>
        <v>0.42</v>
      </c>
      <c r="AG1806" s="11">
        <f t="shared" si="85"/>
        <v>7.42</v>
      </c>
      <c r="AH1806" s="11">
        <v>0</v>
      </c>
      <c r="AI1806" s="11">
        <f t="shared" si="86"/>
        <v>7.42</v>
      </c>
      <c r="AJ1806" t="s">
        <v>62</v>
      </c>
    </row>
    <row r="1807" spans="1:36" ht="15" customHeight="1" x14ac:dyDescent="0.35">
      <c r="A1807">
        <v>10428918</v>
      </c>
      <c r="B1807" t="s">
        <v>36</v>
      </c>
      <c r="C1807" t="s">
        <v>37</v>
      </c>
      <c r="D1807" s="6" t="s">
        <v>38</v>
      </c>
      <c r="E1807" t="s">
        <v>5302</v>
      </c>
      <c r="G1807" t="s">
        <v>41</v>
      </c>
      <c r="H1807" t="s">
        <v>5303</v>
      </c>
      <c r="I1807" t="s">
        <v>43</v>
      </c>
      <c r="J1807">
        <v>2</v>
      </c>
      <c r="K1807" t="s">
        <v>44</v>
      </c>
      <c r="L1807" t="s">
        <v>45</v>
      </c>
      <c r="M1807" t="s">
        <v>46</v>
      </c>
      <c r="N1807" s="7">
        <v>1</v>
      </c>
      <c r="O1807" s="8">
        <v>45655.612141203703</v>
      </c>
      <c r="P1807" s="9">
        <v>45657</v>
      </c>
      <c r="Q1807" t="s">
        <v>74</v>
      </c>
      <c r="R1807" t="s">
        <v>48</v>
      </c>
      <c r="S1807" t="s">
        <v>49</v>
      </c>
      <c r="T1807" t="s">
        <v>117</v>
      </c>
      <c r="U1807" t="s">
        <v>5304</v>
      </c>
      <c r="V1807">
        <v>43650</v>
      </c>
      <c r="W1807" t="s">
        <v>48</v>
      </c>
      <c r="X1807" t="s">
        <v>191</v>
      </c>
      <c r="Y1807" t="s">
        <v>54</v>
      </c>
      <c r="Z1807" s="12">
        <f>IF(N1807&lt;=1,9,9+0.8*ROUNDUP(N1807-1,0))</f>
        <v>9</v>
      </c>
      <c r="AA1807" s="11">
        <v>-2</v>
      </c>
      <c r="AB1807" s="11">
        <v>0</v>
      </c>
      <c r="AC1807" s="11">
        <v>0</v>
      </c>
      <c r="AD1807" s="11">
        <v>0</v>
      </c>
      <c r="AE1807" s="11">
        <v>0</v>
      </c>
      <c r="AF1807" s="11">
        <f t="shared" si="84"/>
        <v>0.42</v>
      </c>
      <c r="AG1807" s="11">
        <f t="shared" si="85"/>
        <v>7.42</v>
      </c>
      <c r="AH1807" s="11">
        <v>0</v>
      </c>
      <c r="AI1807" s="11">
        <f t="shared" si="86"/>
        <v>7.42</v>
      </c>
      <c r="AJ1807" t="s">
        <v>62</v>
      </c>
    </row>
    <row r="1808" spans="1:36" ht="15" customHeight="1" x14ac:dyDescent="0.35">
      <c r="A1808">
        <v>10428918</v>
      </c>
      <c r="B1808" t="s">
        <v>36</v>
      </c>
      <c r="C1808" t="s">
        <v>37</v>
      </c>
      <c r="D1808" s="6" t="s">
        <v>38</v>
      </c>
      <c r="E1808" t="s">
        <v>5305</v>
      </c>
      <c r="G1808" t="s">
        <v>41</v>
      </c>
      <c r="H1808" t="s">
        <v>5306</v>
      </c>
      <c r="I1808" t="s">
        <v>43</v>
      </c>
      <c r="J1808">
        <v>2</v>
      </c>
      <c r="K1808" t="s">
        <v>44</v>
      </c>
      <c r="L1808" t="s">
        <v>45</v>
      </c>
      <c r="M1808" t="s">
        <v>46</v>
      </c>
      <c r="N1808" s="7">
        <v>2</v>
      </c>
      <c r="O1808" s="8">
        <v>45655.605613425927</v>
      </c>
      <c r="P1808" s="9">
        <v>45657</v>
      </c>
      <c r="Q1808" t="s">
        <v>74</v>
      </c>
      <c r="R1808" t="s">
        <v>48</v>
      </c>
      <c r="S1808" t="s">
        <v>49</v>
      </c>
      <c r="T1808" t="s">
        <v>69</v>
      </c>
      <c r="U1808" t="s">
        <v>5307</v>
      </c>
      <c r="V1808">
        <v>83000</v>
      </c>
      <c r="W1808" t="s">
        <v>48</v>
      </c>
      <c r="X1808" t="s">
        <v>53</v>
      </c>
      <c r="Y1808" t="s">
        <v>54</v>
      </c>
      <c r="Z1808" s="12">
        <f>IF(N1808&lt;=1,9,9+0.8*ROUNDUP(N1808-1,0))</f>
        <v>9.8000000000000007</v>
      </c>
      <c r="AA1808" s="11">
        <v>-2</v>
      </c>
      <c r="AB1808" s="11">
        <v>0</v>
      </c>
      <c r="AC1808" s="11">
        <v>0</v>
      </c>
      <c r="AD1808" s="11">
        <v>0</v>
      </c>
      <c r="AE1808" s="11">
        <v>0</v>
      </c>
      <c r="AF1808" s="11">
        <f t="shared" si="84"/>
        <v>0.46800000000000003</v>
      </c>
      <c r="AG1808" s="11">
        <f t="shared" si="85"/>
        <v>8.2680000000000007</v>
      </c>
      <c r="AH1808" s="11">
        <v>0</v>
      </c>
      <c r="AI1808" s="11">
        <f t="shared" si="86"/>
        <v>8.2680000000000007</v>
      </c>
      <c r="AJ1808" t="s">
        <v>62</v>
      </c>
    </row>
    <row r="1809" spans="1:36" ht="15" customHeight="1" x14ac:dyDescent="0.35">
      <c r="A1809">
        <v>10428918</v>
      </c>
      <c r="B1809" t="s">
        <v>36</v>
      </c>
      <c r="C1809" t="s">
        <v>37</v>
      </c>
      <c r="D1809" s="6" t="s">
        <v>38</v>
      </c>
      <c r="E1809" t="s">
        <v>5308</v>
      </c>
      <c r="G1809" t="s">
        <v>41</v>
      </c>
      <c r="H1809" t="s">
        <v>5309</v>
      </c>
      <c r="I1809" t="s">
        <v>43</v>
      </c>
      <c r="J1809">
        <v>2</v>
      </c>
      <c r="K1809" t="s">
        <v>44</v>
      </c>
      <c r="L1809" t="s">
        <v>45</v>
      </c>
      <c r="M1809" t="s">
        <v>46</v>
      </c>
      <c r="N1809" s="7">
        <v>1</v>
      </c>
      <c r="O1809" s="8">
        <v>45656.609212962961</v>
      </c>
      <c r="P1809" s="9">
        <v>45657</v>
      </c>
      <c r="Q1809" t="s">
        <v>74</v>
      </c>
      <c r="R1809" t="s">
        <v>48</v>
      </c>
      <c r="S1809" t="s">
        <v>49</v>
      </c>
      <c r="T1809" t="s">
        <v>59</v>
      </c>
      <c r="U1809" t="s">
        <v>5310</v>
      </c>
      <c r="V1809">
        <v>18300</v>
      </c>
      <c r="W1809" t="s">
        <v>48</v>
      </c>
      <c r="X1809" t="s">
        <v>61</v>
      </c>
      <c r="Y1809" t="s">
        <v>54</v>
      </c>
      <c r="Z1809" s="12">
        <f>IF(N1809&lt;=1,9,9+0.8*ROUNDUP(N1809-1,0))</f>
        <v>9</v>
      </c>
      <c r="AA1809" s="11">
        <v>-2</v>
      </c>
      <c r="AB1809" s="11">
        <v>0</v>
      </c>
      <c r="AC1809" s="11">
        <v>0</v>
      </c>
      <c r="AD1809" s="11">
        <v>0</v>
      </c>
      <c r="AE1809" s="11">
        <v>0</v>
      </c>
      <c r="AF1809" s="11">
        <f t="shared" si="84"/>
        <v>0.42</v>
      </c>
      <c r="AG1809" s="11">
        <f t="shared" si="85"/>
        <v>7.42</v>
      </c>
      <c r="AH1809" s="11">
        <v>0</v>
      </c>
      <c r="AI1809" s="11">
        <f t="shared" si="86"/>
        <v>7.42</v>
      </c>
      <c r="AJ1809" t="s">
        <v>62</v>
      </c>
    </row>
    <row r="1810" spans="1:36" ht="15" customHeight="1" x14ac:dyDescent="0.35">
      <c r="A1810">
        <v>10428918</v>
      </c>
      <c r="B1810" t="s">
        <v>36</v>
      </c>
      <c r="C1810" t="s">
        <v>37</v>
      </c>
      <c r="D1810" s="6" t="s">
        <v>38</v>
      </c>
      <c r="E1810" t="s">
        <v>5311</v>
      </c>
      <c r="G1810" t="s">
        <v>41</v>
      </c>
      <c r="H1810" t="s">
        <v>5312</v>
      </c>
      <c r="I1810" t="s">
        <v>43</v>
      </c>
      <c r="J1810">
        <v>2</v>
      </c>
      <c r="K1810" t="s">
        <v>44</v>
      </c>
      <c r="L1810" t="s">
        <v>45</v>
      </c>
      <c r="M1810" t="s">
        <v>46</v>
      </c>
      <c r="N1810" s="7">
        <v>2</v>
      </c>
      <c r="O1810" s="8">
        <v>45655.605613425927</v>
      </c>
      <c r="P1810" s="9">
        <v>45657</v>
      </c>
      <c r="Q1810" t="s">
        <v>74</v>
      </c>
      <c r="R1810" t="s">
        <v>48</v>
      </c>
      <c r="S1810" t="s">
        <v>49</v>
      </c>
      <c r="T1810" t="s">
        <v>85</v>
      </c>
      <c r="U1810" t="s">
        <v>5313</v>
      </c>
      <c r="V1810">
        <v>70400</v>
      </c>
      <c r="W1810" t="s">
        <v>48</v>
      </c>
      <c r="X1810" t="s">
        <v>114</v>
      </c>
      <c r="Y1810" t="s">
        <v>54</v>
      </c>
      <c r="Z1810" s="12">
        <f>IF(N1810&lt;=1,9,9+0.8*ROUNDUP(N1810-1,0))</f>
        <v>9.8000000000000007</v>
      </c>
      <c r="AA1810" s="11">
        <v>-2</v>
      </c>
      <c r="AB1810" s="11">
        <v>0</v>
      </c>
      <c r="AC1810" s="11">
        <v>0</v>
      </c>
      <c r="AD1810" s="11">
        <v>0</v>
      </c>
      <c r="AE1810" s="11">
        <v>0</v>
      </c>
      <c r="AF1810" s="11">
        <f t="shared" si="84"/>
        <v>0.46800000000000003</v>
      </c>
      <c r="AG1810" s="11">
        <f t="shared" si="85"/>
        <v>8.2680000000000007</v>
      </c>
      <c r="AH1810" s="11">
        <v>0</v>
      </c>
      <c r="AI1810" s="11">
        <f t="shared" si="86"/>
        <v>8.2680000000000007</v>
      </c>
      <c r="AJ1810" t="s">
        <v>62</v>
      </c>
    </row>
    <row r="1811" spans="1:36" ht="15" customHeight="1" x14ac:dyDescent="0.35">
      <c r="A1811">
        <v>10428918</v>
      </c>
      <c r="B1811" t="s">
        <v>36</v>
      </c>
      <c r="C1811" t="s">
        <v>37</v>
      </c>
      <c r="D1811" s="6" t="s">
        <v>38</v>
      </c>
      <c r="E1811" t="s">
        <v>5314</v>
      </c>
      <c r="G1811" t="s">
        <v>41</v>
      </c>
      <c r="H1811" t="s">
        <v>1393</v>
      </c>
      <c r="I1811" t="s">
        <v>43</v>
      </c>
      <c r="J1811">
        <v>2</v>
      </c>
      <c r="K1811" t="s">
        <v>44</v>
      </c>
      <c r="L1811" t="s">
        <v>45</v>
      </c>
      <c r="M1811" t="s">
        <v>46</v>
      </c>
      <c r="N1811" s="7">
        <v>1</v>
      </c>
      <c r="O1811" s="8">
        <v>45655.785104166665</v>
      </c>
      <c r="P1811" s="9">
        <v>45657</v>
      </c>
      <c r="Q1811" t="s">
        <v>74</v>
      </c>
      <c r="R1811" t="s">
        <v>48</v>
      </c>
      <c r="S1811" t="s">
        <v>49</v>
      </c>
      <c r="T1811" t="s">
        <v>170</v>
      </c>
      <c r="U1811" t="s">
        <v>5315</v>
      </c>
      <c r="V1811">
        <v>46100</v>
      </c>
      <c r="W1811" t="s">
        <v>48</v>
      </c>
      <c r="X1811" t="s">
        <v>1395</v>
      </c>
      <c r="Y1811" t="s">
        <v>54</v>
      </c>
      <c r="Z1811" s="12">
        <f>IF(N1811&lt;=1,9,9+0.8*ROUNDUP(N1811-1,0))</f>
        <v>9</v>
      </c>
      <c r="AA1811" s="11">
        <v>-2</v>
      </c>
      <c r="AB1811" s="11">
        <v>0</v>
      </c>
      <c r="AC1811" s="11">
        <v>0</v>
      </c>
      <c r="AD1811" s="11">
        <v>0</v>
      </c>
      <c r="AE1811" s="11">
        <v>0</v>
      </c>
      <c r="AF1811" s="11">
        <f t="shared" si="84"/>
        <v>0.42</v>
      </c>
      <c r="AG1811" s="11">
        <f t="shared" si="85"/>
        <v>7.42</v>
      </c>
      <c r="AH1811" s="11">
        <v>0</v>
      </c>
      <c r="AI1811" s="11">
        <f t="shared" si="86"/>
        <v>7.42</v>
      </c>
      <c r="AJ1811" t="s">
        <v>62</v>
      </c>
    </row>
    <row r="1812" spans="1:36" ht="15" customHeight="1" x14ac:dyDescent="0.35">
      <c r="A1812">
        <v>10428918</v>
      </c>
      <c r="B1812" t="s">
        <v>36</v>
      </c>
      <c r="C1812" t="s">
        <v>37</v>
      </c>
      <c r="D1812" s="6" t="s">
        <v>38</v>
      </c>
      <c r="E1812" t="s">
        <v>5316</v>
      </c>
      <c r="G1812" t="s">
        <v>41</v>
      </c>
      <c r="H1812" t="s">
        <v>5317</v>
      </c>
      <c r="I1812" t="s">
        <v>43</v>
      </c>
      <c r="J1812">
        <v>2</v>
      </c>
      <c r="K1812" t="s">
        <v>44</v>
      </c>
      <c r="L1812" t="s">
        <v>45</v>
      </c>
      <c r="M1812" t="s">
        <v>46</v>
      </c>
      <c r="N1812" s="7">
        <v>1</v>
      </c>
      <c r="O1812" s="8">
        <v>45655.738217592596</v>
      </c>
      <c r="P1812" s="9">
        <v>45657</v>
      </c>
      <c r="Q1812" t="s">
        <v>74</v>
      </c>
      <c r="R1812" t="s">
        <v>48</v>
      </c>
      <c r="S1812" t="s">
        <v>49</v>
      </c>
      <c r="T1812" t="s">
        <v>161</v>
      </c>
      <c r="U1812" t="s">
        <v>5318</v>
      </c>
      <c r="V1812">
        <v>14200</v>
      </c>
      <c r="W1812" t="s">
        <v>48</v>
      </c>
      <c r="X1812" t="s">
        <v>666</v>
      </c>
      <c r="Y1812" t="s">
        <v>54</v>
      </c>
      <c r="Z1812" s="12">
        <f>IF(N1812&lt;=1,9,9+0.8*ROUNDUP(N1812-1,0))</f>
        <v>9</v>
      </c>
      <c r="AA1812" s="11">
        <v>-2</v>
      </c>
      <c r="AB1812" s="11">
        <v>0</v>
      </c>
      <c r="AC1812" s="11">
        <v>0</v>
      </c>
      <c r="AD1812" s="11">
        <v>0</v>
      </c>
      <c r="AE1812" s="11">
        <v>0</v>
      </c>
      <c r="AF1812" s="11">
        <f t="shared" si="84"/>
        <v>0.42</v>
      </c>
      <c r="AG1812" s="11">
        <f t="shared" si="85"/>
        <v>7.42</v>
      </c>
      <c r="AH1812" s="11">
        <v>0</v>
      </c>
      <c r="AI1812" s="11">
        <f t="shared" si="86"/>
        <v>7.42</v>
      </c>
      <c r="AJ1812" t="s">
        <v>62</v>
      </c>
    </row>
    <row r="1813" spans="1:36" ht="15" customHeight="1" x14ac:dyDescent="0.35">
      <c r="A1813">
        <v>10428918</v>
      </c>
      <c r="B1813" t="s">
        <v>36</v>
      </c>
      <c r="C1813" t="s">
        <v>37</v>
      </c>
      <c r="D1813" s="6" t="s">
        <v>38</v>
      </c>
      <c r="E1813" t="s">
        <v>5319</v>
      </c>
      <c r="G1813" t="s">
        <v>41</v>
      </c>
      <c r="H1813" t="s">
        <v>5320</v>
      </c>
      <c r="I1813" t="s">
        <v>43</v>
      </c>
      <c r="J1813">
        <v>2</v>
      </c>
      <c r="K1813" t="s">
        <v>44</v>
      </c>
      <c r="L1813" t="s">
        <v>45</v>
      </c>
      <c r="M1813" t="s">
        <v>46</v>
      </c>
      <c r="N1813" s="7">
        <v>1</v>
      </c>
      <c r="O1813" s="8">
        <v>45652.882372685184</v>
      </c>
      <c r="P1813" s="9">
        <v>45657</v>
      </c>
      <c r="Q1813" t="s">
        <v>58</v>
      </c>
      <c r="R1813" t="s">
        <v>48</v>
      </c>
      <c r="S1813" t="s">
        <v>49</v>
      </c>
      <c r="T1813" t="s">
        <v>65</v>
      </c>
      <c r="U1813" t="s">
        <v>5321</v>
      </c>
      <c r="V1813" t="s">
        <v>5322</v>
      </c>
      <c r="W1813" t="s">
        <v>48</v>
      </c>
      <c r="X1813" t="s">
        <v>266</v>
      </c>
      <c r="Y1813" t="s">
        <v>54</v>
      </c>
      <c r="Z1813" s="12">
        <f>IF(N1813&lt;=1,9,9+0.8*ROUNDUP(N1813-1,0))</f>
        <v>9</v>
      </c>
      <c r="AA1813" s="11">
        <v>-2</v>
      </c>
      <c r="AB1813" s="11">
        <v>0</v>
      </c>
      <c r="AC1813" s="11">
        <v>0</v>
      </c>
      <c r="AD1813" s="11">
        <v>0</v>
      </c>
      <c r="AE1813" s="11">
        <v>0</v>
      </c>
      <c r="AF1813" s="11">
        <f t="shared" si="84"/>
        <v>0.42</v>
      </c>
      <c r="AG1813" s="11">
        <f t="shared" si="85"/>
        <v>7.42</v>
      </c>
      <c r="AH1813" s="11">
        <v>0</v>
      </c>
      <c r="AI1813" s="11">
        <f t="shared" si="86"/>
        <v>7.42</v>
      </c>
      <c r="AJ1813" t="s">
        <v>62</v>
      </c>
    </row>
    <row r="1814" spans="1:36" ht="15" customHeight="1" x14ac:dyDescent="0.35">
      <c r="A1814">
        <v>10428918</v>
      </c>
      <c r="B1814" t="s">
        <v>36</v>
      </c>
      <c r="C1814" t="s">
        <v>37</v>
      </c>
      <c r="D1814" s="6" t="s">
        <v>38</v>
      </c>
      <c r="E1814" t="s">
        <v>5323</v>
      </c>
      <c r="G1814" t="s">
        <v>41</v>
      </c>
      <c r="H1814" t="s">
        <v>2717</v>
      </c>
      <c r="I1814" t="s">
        <v>43</v>
      </c>
      <c r="J1814">
        <v>2</v>
      </c>
      <c r="K1814" t="s">
        <v>44</v>
      </c>
      <c r="L1814" t="s">
        <v>45</v>
      </c>
      <c r="M1814" t="s">
        <v>46</v>
      </c>
      <c r="N1814" s="7">
        <v>1</v>
      </c>
      <c r="O1814" s="8">
        <v>45654.650081018517</v>
      </c>
      <c r="P1814" s="9">
        <v>45657</v>
      </c>
      <c r="Q1814" t="s">
        <v>74</v>
      </c>
      <c r="R1814" t="s">
        <v>48</v>
      </c>
      <c r="S1814" t="s">
        <v>49</v>
      </c>
      <c r="T1814" t="s">
        <v>161</v>
      </c>
      <c r="U1814" t="s">
        <v>2718</v>
      </c>
      <c r="V1814">
        <v>13700</v>
      </c>
      <c r="W1814" t="s">
        <v>48</v>
      </c>
      <c r="X1814" t="s">
        <v>418</v>
      </c>
      <c r="Y1814" t="s">
        <v>54</v>
      </c>
      <c r="Z1814" s="12">
        <f>IF(N1814&lt;=1,9,9+0.8*ROUNDUP(N1814-1,0))</f>
        <v>9</v>
      </c>
      <c r="AA1814" s="11">
        <v>-2</v>
      </c>
      <c r="AB1814" s="11">
        <v>0</v>
      </c>
      <c r="AC1814" s="11">
        <v>0</v>
      </c>
      <c r="AD1814" s="11">
        <v>0</v>
      </c>
      <c r="AE1814" s="11">
        <v>0</v>
      </c>
      <c r="AF1814" s="11">
        <f t="shared" si="84"/>
        <v>0.42</v>
      </c>
      <c r="AG1814" s="11">
        <f t="shared" si="85"/>
        <v>7.42</v>
      </c>
      <c r="AH1814" s="11">
        <v>0</v>
      </c>
      <c r="AI1814" s="11">
        <f t="shared" si="86"/>
        <v>7.42</v>
      </c>
      <c r="AJ1814" t="s">
        <v>62</v>
      </c>
    </row>
    <row r="1815" spans="1:36" ht="15" customHeight="1" x14ac:dyDescent="0.35">
      <c r="A1815">
        <v>10428918</v>
      </c>
      <c r="B1815" t="s">
        <v>36</v>
      </c>
      <c r="C1815" t="s">
        <v>37</v>
      </c>
      <c r="D1815" s="6" t="s">
        <v>38</v>
      </c>
      <c r="E1815" t="s">
        <v>5324</v>
      </c>
      <c r="G1815" t="s">
        <v>41</v>
      </c>
      <c r="H1815" t="s">
        <v>5325</v>
      </c>
      <c r="I1815" t="s">
        <v>43</v>
      </c>
      <c r="J1815">
        <v>2</v>
      </c>
      <c r="K1815" t="s">
        <v>44</v>
      </c>
      <c r="L1815" t="s">
        <v>45</v>
      </c>
      <c r="M1815" t="s">
        <v>46</v>
      </c>
      <c r="N1815" s="7">
        <v>1</v>
      </c>
      <c r="O1815" s="8">
        <v>45655.600856481484</v>
      </c>
      <c r="P1815" s="9">
        <v>45657</v>
      </c>
      <c r="Q1815" t="s">
        <v>74</v>
      </c>
      <c r="R1815" t="s">
        <v>48</v>
      </c>
      <c r="S1815" t="s">
        <v>49</v>
      </c>
      <c r="T1815" t="s">
        <v>65</v>
      </c>
      <c r="U1815" t="s">
        <v>5326</v>
      </c>
      <c r="V1815">
        <v>75250</v>
      </c>
      <c r="W1815" t="s">
        <v>48</v>
      </c>
      <c r="X1815" t="s">
        <v>406</v>
      </c>
      <c r="Y1815" t="s">
        <v>54</v>
      </c>
      <c r="Z1815" s="12">
        <f>IF(N1815&lt;=1,9,9+0.8*ROUNDUP(N1815-1,0))</f>
        <v>9</v>
      </c>
      <c r="AA1815" s="11">
        <v>-2</v>
      </c>
      <c r="AB1815" s="11">
        <v>0</v>
      </c>
      <c r="AC1815" s="11">
        <v>0</v>
      </c>
      <c r="AD1815" s="11">
        <v>0</v>
      </c>
      <c r="AE1815" s="11">
        <v>0</v>
      </c>
      <c r="AF1815" s="11">
        <f t="shared" si="84"/>
        <v>0.42</v>
      </c>
      <c r="AG1815" s="11">
        <f t="shared" si="85"/>
        <v>7.42</v>
      </c>
      <c r="AH1815" s="11">
        <v>0</v>
      </c>
      <c r="AI1815" s="11">
        <f t="shared" si="86"/>
        <v>7.42</v>
      </c>
      <c r="AJ1815" t="s">
        <v>62</v>
      </c>
    </row>
    <row r="1816" spans="1:36" ht="15" customHeight="1" x14ac:dyDescent="0.35">
      <c r="A1816">
        <v>10428918</v>
      </c>
      <c r="B1816" t="s">
        <v>36</v>
      </c>
      <c r="C1816" t="s">
        <v>37</v>
      </c>
      <c r="D1816" s="6" t="s">
        <v>38</v>
      </c>
      <c r="E1816" t="s">
        <v>5327</v>
      </c>
      <c r="G1816" t="s">
        <v>41</v>
      </c>
      <c r="H1816" t="s">
        <v>189</v>
      </c>
      <c r="I1816" t="s">
        <v>43</v>
      </c>
      <c r="J1816">
        <v>2</v>
      </c>
      <c r="K1816" t="s">
        <v>44</v>
      </c>
      <c r="L1816" t="s">
        <v>45</v>
      </c>
      <c r="M1816" t="s">
        <v>46</v>
      </c>
      <c r="N1816" s="7">
        <v>2</v>
      </c>
      <c r="O1816" s="8">
        <v>45654.65965277778</v>
      </c>
      <c r="P1816" s="9">
        <v>45657</v>
      </c>
      <c r="Q1816" t="s">
        <v>74</v>
      </c>
      <c r="R1816" t="s">
        <v>48</v>
      </c>
      <c r="S1816" t="s">
        <v>49</v>
      </c>
      <c r="T1816" t="s">
        <v>117</v>
      </c>
      <c r="U1816" t="s">
        <v>190</v>
      </c>
      <c r="V1816">
        <v>43650</v>
      </c>
      <c r="W1816" t="s">
        <v>48</v>
      </c>
      <c r="X1816" t="s">
        <v>53</v>
      </c>
      <c r="Y1816" t="s">
        <v>54</v>
      </c>
      <c r="Z1816" s="12">
        <f>IF(N1816&lt;=1,9,9+0.8*ROUNDUP(N1816-1,0))</f>
        <v>9.8000000000000007</v>
      </c>
      <c r="AA1816" s="11">
        <v>-2</v>
      </c>
      <c r="AB1816" s="11">
        <v>0</v>
      </c>
      <c r="AC1816" s="11">
        <v>0</v>
      </c>
      <c r="AD1816" s="11">
        <v>0</v>
      </c>
      <c r="AE1816" s="11">
        <v>0</v>
      </c>
      <c r="AF1816" s="11">
        <f t="shared" si="84"/>
        <v>0.46800000000000003</v>
      </c>
      <c r="AG1816" s="11">
        <f t="shared" si="85"/>
        <v>8.2680000000000007</v>
      </c>
      <c r="AH1816" s="11">
        <v>0</v>
      </c>
      <c r="AI1816" s="11">
        <f t="shared" si="86"/>
        <v>8.2680000000000007</v>
      </c>
      <c r="AJ1816" t="s">
        <v>62</v>
      </c>
    </row>
    <row r="1817" spans="1:36" ht="15" customHeight="1" x14ac:dyDescent="0.35">
      <c r="A1817">
        <v>10428918</v>
      </c>
      <c r="B1817" t="s">
        <v>36</v>
      </c>
      <c r="C1817" t="s">
        <v>37</v>
      </c>
      <c r="D1817" s="6" t="s">
        <v>38</v>
      </c>
      <c r="E1817" t="s">
        <v>5328</v>
      </c>
      <c r="G1817" t="s">
        <v>41</v>
      </c>
      <c r="H1817" t="s">
        <v>5329</v>
      </c>
      <c r="I1817" t="s">
        <v>43</v>
      </c>
      <c r="J1817">
        <v>2</v>
      </c>
      <c r="K1817" t="s">
        <v>44</v>
      </c>
      <c r="L1817" t="s">
        <v>45</v>
      </c>
      <c r="M1817" t="s">
        <v>46</v>
      </c>
      <c r="N1817" s="7">
        <v>11</v>
      </c>
      <c r="O1817" s="8">
        <v>45654.830601851849</v>
      </c>
      <c r="P1817" s="9">
        <v>45657</v>
      </c>
      <c r="Q1817" t="s">
        <v>74</v>
      </c>
      <c r="R1817" t="s">
        <v>48</v>
      </c>
      <c r="S1817" t="s">
        <v>49</v>
      </c>
      <c r="T1817" t="s">
        <v>75</v>
      </c>
      <c r="U1817" t="s">
        <v>2118</v>
      </c>
      <c r="V1817">
        <v>39100</v>
      </c>
      <c r="W1817" t="s">
        <v>48</v>
      </c>
      <c r="X1817" t="s">
        <v>53</v>
      </c>
      <c r="Y1817" t="s">
        <v>54</v>
      </c>
      <c r="Z1817" s="12">
        <f>IF(N1817&lt;=1,9,9+0.8*ROUNDUP(N1817-1,0))</f>
        <v>17</v>
      </c>
      <c r="AA1817" s="11">
        <v>-2</v>
      </c>
      <c r="AB1817" s="11">
        <v>0</v>
      </c>
      <c r="AC1817" s="11">
        <v>0</v>
      </c>
      <c r="AD1817" s="11">
        <v>0</v>
      </c>
      <c r="AE1817" s="11">
        <v>0</v>
      </c>
      <c r="AF1817" s="11">
        <f t="shared" si="84"/>
        <v>0.89999999999999991</v>
      </c>
      <c r="AG1817" s="11">
        <f t="shared" si="85"/>
        <v>15.9</v>
      </c>
      <c r="AH1817" s="11">
        <v>0</v>
      </c>
      <c r="AI1817" s="11">
        <f t="shared" si="86"/>
        <v>15.9</v>
      </c>
      <c r="AJ1817" t="s">
        <v>62</v>
      </c>
    </row>
    <row r="1818" spans="1:36" ht="15" customHeight="1" x14ac:dyDescent="0.35">
      <c r="A1818">
        <v>10428918</v>
      </c>
      <c r="B1818" t="s">
        <v>36</v>
      </c>
      <c r="C1818" t="s">
        <v>37</v>
      </c>
      <c r="D1818" s="6" t="s">
        <v>38</v>
      </c>
      <c r="E1818" t="s">
        <v>5330</v>
      </c>
      <c r="G1818" t="s">
        <v>41</v>
      </c>
      <c r="H1818" t="s">
        <v>2589</v>
      </c>
      <c r="I1818" t="s">
        <v>43</v>
      </c>
      <c r="J1818">
        <v>2</v>
      </c>
      <c r="K1818" t="s">
        <v>44</v>
      </c>
      <c r="L1818" t="s">
        <v>45</v>
      </c>
      <c r="M1818" t="s">
        <v>46</v>
      </c>
      <c r="N1818" s="7">
        <v>1</v>
      </c>
      <c r="O1818" s="8">
        <v>45656.609212962961</v>
      </c>
      <c r="P1818" s="9">
        <v>45657</v>
      </c>
      <c r="Q1818" t="s">
        <v>74</v>
      </c>
      <c r="R1818" t="s">
        <v>48</v>
      </c>
      <c r="S1818" t="s">
        <v>49</v>
      </c>
      <c r="T1818" t="s">
        <v>59</v>
      </c>
      <c r="U1818" t="s">
        <v>5331</v>
      </c>
      <c r="V1818">
        <v>18300</v>
      </c>
      <c r="W1818" t="s">
        <v>48</v>
      </c>
      <c r="X1818" t="s">
        <v>61</v>
      </c>
      <c r="Y1818" t="s">
        <v>54</v>
      </c>
      <c r="Z1818" s="12">
        <f>IF(N1818&lt;=1,9,9+0.8*ROUNDUP(N1818-1,0))</f>
        <v>9</v>
      </c>
      <c r="AA1818" s="11">
        <v>-2</v>
      </c>
      <c r="AB1818" s="11">
        <v>0</v>
      </c>
      <c r="AC1818" s="11">
        <v>0</v>
      </c>
      <c r="AD1818" s="11">
        <v>0</v>
      </c>
      <c r="AE1818" s="11">
        <v>0</v>
      </c>
      <c r="AF1818" s="11">
        <f t="shared" si="84"/>
        <v>0.42</v>
      </c>
      <c r="AG1818" s="11">
        <f t="shared" si="85"/>
        <v>7.42</v>
      </c>
      <c r="AH1818" s="11">
        <v>0</v>
      </c>
      <c r="AI1818" s="11">
        <f t="shared" si="86"/>
        <v>7.42</v>
      </c>
      <c r="AJ1818" t="s">
        <v>62</v>
      </c>
    </row>
    <row r="1819" spans="1:36" ht="15" customHeight="1" x14ac:dyDescent="0.35">
      <c r="A1819">
        <v>10428918</v>
      </c>
      <c r="B1819" t="s">
        <v>36</v>
      </c>
      <c r="C1819" t="s">
        <v>37</v>
      </c>
      <c r="D1819" s="6" t="s">
        <v>38</v>
      </c>
      <c r="E1819" t="s">
        <v>5332</v>
      </c>
      <c r="G1819" t="s">
        <v>41</v>
      </c>
      <c r="H1819" t="s">
        <v>5333</v>
      </c>
      <c r="I1819" t="s">
        <v>43</v>
      </c>
      <c r="J1819">
        <v>2</v>
      </c>
      <c r="K1819" t="s">
        <v>44</v>
      </c>
      <c r="L1819" t="s">
        <v>45</v>
      </c>
      <c r="M1819" t="s">
        <v>46</v>
      </c>
      <c r="N1819" s="7">
        <v>1</v>
      </c>
      <c r="O1819" s="8">
        <v>45654.441666666666</v>
      </c>
      <c r="P1819" s="9">
        <v>45657</v>
      </c>
      <c r="Q1819" t="s">
        <v>74</v>
      </c>
      <c r="R1819" t="s">
        <v>48</v>
      </c>
      <c r="S1819" t="s">
        <v>49</v>
      </c>
      <c r="T1819" t="s">
        <v>117</v>
      </c>
      <c r="U1819" t="s">
        <v>5334</v>
      </c>
      <c r="V1819">
        <v>68100</v>
      </c>
      <c r="W1819" t="s">
        <v>48</v>
      </c>
      <c r="X1819" t="s">
        <v>490</v>
      </c>
      <c r="Y1819" t="s">
        <v>54</v>
      </c>
      <c r="Z1819" s="12">
        <f>IF(N1819&lt;=1,9,9+0.8*ROUNDUP(N1819-1,0))</f>
        <v>9</v>
      </c>
      <c r="AA1819" s="11">
        <v>-2</v>
      </c>
      <c r="AB1819" s="11">
        <v>0</v>
      </c>
      <c r="AC1819" s="11">
        <v>0</v>
      </c>
      <c r="AD1819" s="11">
        <v>0</v>
      </c>
      <c r="AE1819" s="11">
        <v>0</v>
      </c>
      <c r="AF1819" s="11">
        <f t="shared" si="84"/>
        <v>0.42</v>
      </c>
      <c r="AG1819" s="11">
        <f t="shared" si="85"/>
        <v>7.42</v>
      </c>
      <c r="AH1819" s="11">
        <v>0</v>
      </c>
      <c r="AI1819" s="11">
        <f t="shared" si="86"/>
        <v>7.42</v>
      </c>
      <c r="AJ1819" t="s">
        <v>62</v>
      </c>
    </row>
    <row r="1820" spans="1:36" ht="15" customHeight="1" x14ac:dyDescent="0.35">
      <c r="A1820">
        <v>10428918</v>
      </c>
      <c r="B1820" t="s">
        <v>36</v>
      </c>
      <c r="C1820" t="s">
        <v>37</v>
      </c>
      <c r="D1820" s="6" t="s">
        <v>38</v>
      </c>
      <c r="E1820" t="s">
        <v>5335</v>
      </c>
      <c r="G1820" t="s">
        <v>41</v>
      </c>
      <c r="H1820" t="s">
        <v>4134</v>
      </c>
      <c r="I1820" t="s">
        <v>43</v>
      </c>
      <c r="J1820">
        <v>2</v>
      </c>
      <c r="K1820" t="s">
        <v>44</v>
      </c>
      <c r="L1820" t="s">
        <v>45</v>
      </c>
      <c r="M1820" t="s">
        <v>46</v>
      </c>
      <c r="N1820" s="7">
        <v>2</v>
      </c>
      <c r="O1820" s="8">
        <v>45654.64403935185</v>
      </c>
      <c r="P1820" s="9">
        <v>45657</v>
      </c>
      <c r="Q1820" t="s">
        <v>74</v>
      </c>
      <c r="R1820" t="s">
        <v>48</v>
      </c>
      <c r="S1820" t="s">
        <v>49</v>
      </c>
      <c r="T1820" t="s">
        <v>80</v>
      </c>
      <c r="U1820" t="s">
        <v>4135</v>
      </c>
      <c r="V1820">
        <v>6750</v>
      </c>
      <c r="W1820" t="s">
        <v>48</v>
      </c>
      <c r="X1820" t="s">
        <v>53</v>
      </c>
      <c r="Y1820" t="s">
        <v>54</v>
      </c>
      <c r="Z1820" s="12">
        <f>IF(N1820&lt;=1,9,9+0.8*ROUNDUP(N1820-1,0))</f>
        <v>9.8000000000000007</v>
      </c>
      <c r="AA1820" s="11">
        <v>-2</v>
      </c>
      <c r="AB1820" s="11">
        <v>0</v>
      </c>
      <c r="AC1820" s="11">
        <v>0</v>
      </c>
      <c r="AD1820" s="11">
        <v>0</v>
      </c>
      <c r="AE1820" s="11">
        <v>0</v>
      </c>
      <c r="AF1820" s="11">
        <f t="shared" si="84"/>
        <v>0.46800000000000003</v>
      </c>
      <c r="AG1820" s="11">
        <f t="shared" si="85"/>
        <v>8.2680000000000007</v>
      </c>
      <c r="AH1820" s="11">
        <v>0</v>
      </c>
      <c r="AI1820" s="11">
        <f t="shared" si="86"/>
        <v>8.2680000000000007</v>
      </c>
      <c r="AJ1820" t="s">
        <v>62</v>
      </c>
    </row>
    <row r="1821" spans="1:36" ht="15" customHeight="1" x14ac:dyDescent="0.35">
      <c r="A1821">
        <v>10428918</v>
      </c>
      <c r="B1821" t="s">
        <v>36</v>
      </c>
      <c r="C1821" t="s">
        <v>37</v>
      </c>
      <c r="D1821" s="6" t="s">
        <v>38</v>
      </c>
      <c r="E1821" t="s">
        <v>5336</v>
      </c>
      <c r="G1821" t="s">
        <v>41</v>
      </c>
      <c r="H1821" t="s">
        <v>5337</v>
      </c>
      <c r="I1821" t="s">
        <v>43</v>
      </c>
      <c r="J1821">
        <v>2</v>
      </c>
      <c r="K1821" t="s">
        <v>44</v>
      </c>
      <c r="L1821" t="s">
        <v>45</v>
      </c>
      <c r="M1821" t="s">
        <v>46</v>
      </c>
      <c r="N1821" s="7">
        <v>1</v>
      </c>
      <c r="O1821" s="8">
        <v>45655.550729166665</v>
      </c>
      <c r="P1821" s="9">
        <v>45657</v>
      </c>
      <c r="Q1821" t="s">
        <v>74</v>
      </c>
      <c r="R1821" t="s">
        <v>48</v>
      </c>
      <c r="S1821" t="s">
        <v>49</v>
      </c>
      <c r="T1821" t="s">
        <v>69</v>
      </c>
      <c r="U1821" t="s">
        <v>5338</v>
      </c>
      <c r="V1821">
        <v>85010</v>
      </c>
      <c r="W1821" t="s">
        <v>48</v>
      </c>
      <c r="X1821" t="s">
        <v>402</v>
      </c>
      <c r="Y1821" t="s">
        <v>54</v>
      </c>
      <c r="Z1821" s="12">
        <f>IF(N1821&lt;=1,9,9+0.8*ROUNDUP(N1821-1,0))</f>
        <v>9</v>
      </c>
      <c r="AA1821" s="11">
        <v>-2</v>
      </c>
      <c r="AB1821" s="11">
        <v>0</v>
      </c>
      <c r="AC1821" s="11">
        <v>0</v>
      </c>
      <c r="AD1821" s="11">
        <v>0</v>
      </c>
      <c r="AE1821" s="11">
        <v>0</v>
      </c>
      <c r="AF1821" s="11">
        <f t="shared" si="84"/>
        <v>0.42</v>
      </c>
      <c r="AG1821" s="11">
        <f t="shared" si="85"/>
        <v>7.42</v>
      </c>
      <c r="AH1821" s="11">
        <v>0</v>
      </c>
      <c r="AI1821" s="11">
        <f t="shared" si="86"/>
        <v>7.42</v>
      </c>
      <c r="AJ1821" t="s">
        <v>62</v>
      </c>
    </row>
    <row r="1822" spans="1:36" ht="15" customHeight="1" x14ac:dyDescent="0.35">
      <c r="A1822">
        <v>10428918</v>
      </c>
      <c r="B1822" t="s">
        <v>36</v>
      </c>
      <c r="C1822" t="s">
        <v>37</v>
      </c>
      <c r="D1822" s="6" t="s">
        <v>38</v>
      </c>
      <c r="E1822" t="s">
        <v>5339</v>
      </c>
      <c r="G1822" t="s">
        <v>41</v>
      </c>
      <c r="H1822" t="s">
        <v>2751</v>
      </c>
      <c r="I1822" t="s">
        <v>43</v>
      </c>
      <c r="J1822">
        <v>2</v>
      </c>
      <c r="K1822" t="s">
        <v>44</v>
      </c>
      <c r="L1822" t="s">
        <v>45</v>
      </c>
      <c r="M1822" t="s">
        <v>46</v>
      </c>
      <c r="N1822" s="7">
        <v>2</v>
      </c>
      <c r="O1822" s="8">
        <v>45654.65966435185</v>
      </c>
      <c r="P1822" s="9">
        <v>45657</v>
      </c>
      <c r="Q1822" t="s">
        <v>74</v>
      </c>
      <c r="R1822" t="s">
        <v>48</v>
      </c>
      <c r="S1822" t="s">
        <v>49</v>
      </c>
      <c r="T1822" t="s">
        <v>117</v>
      </c>
      <c r="U1822" t="s">
        <v>2752</v>
      </c>
      <c r="V1822">
        <v>47150</v>
      </c>
      <c r="W1822" t="s">
        <v>48</v>
      </c>
      <c r="X1822" t="s">
        <v>232</v>
      </c>
      <c r="Y1822" t="s">
        <v>54</v>
      </c>
      <c r="Z1822" s="12">
        <f>IF(N1822&lt;=1,9,9+0.8*ROUNDUP(N1822-1,0))</f>
        <v>9.8000000000000007</v>
      </c>
      <c r="AA1822" s="11">
        <v>-2</v>
      </c>
      <c r="AB1822" s="11">
        <v>0</v>
      </c>
      <c r="AC1822" s="11">
        <v>0</v>
      </c>
      <c r="AD1822" s="11">
        <v>0</v>
      </c>
      <c r="AE1822" s="11">
        <v>0</v>
      </c>
      <c r="AF1822" s="11">
        <f t="shared" si="84"/>
        <v>0.46800000000000003</v>
      </c>
      <c r="AG1822" s="11">
        <f t="shared" si="85"/>
        <v>8.2680000000000007</v>
      </c>
      <c r="AH1822" s="11">
        <v>0</v>
      </c>
      <c r="AI1822" s="11">
        <f t="shared" si="86"/>
        <v>8.2680000000000007</v>
      </c>
      <c r="AJ1822" t="s">
        <v>62</v>
      </c>
    </row>
    <row r="1823" spans="1:36" ht="15" customHeight="1" x14ac:dyDescent="0.35">
      <c r="A1823">
        <v>10428918</v>
      </c>
      <c r="B1823" t="s">
        <v>36</v>
      </c>
      <c r="C1823" t="s">
        <v>37</v>
      </c>
      <c r="D1823" s="6" t="s">
        <v>38</v>
      </c>
      <c r="E1823" t="s">
        <v>5340</v>
      </c>
      <c r="G1823" t="s">
        <v>41</v>
      </c>
      <c r="H1823" t="s">
        <v>5341</v>
      </c>
      <c r="I1823" t="s">
        <v>43</v>
      </c>
      <c r="J1823">
        <v>2</v>
      </c>
      <c r="K1823" t="s">
        <v>44</v>
      </c>
      <c r="L1823" t="s">
        <v>45</v>
      </c>
      <c r="M1823" t="s">
        <v>46</v>
      </c>
      <c r="N1823" s="7">
        <v>1</v>
      </c>
      <c r="O1823" s="8">
        <v>45654.441666666666</v>
      </c>
      <c r="P1823" s="9">
        <v>45657</v>
      </c>
      <c r="Q1823" t="s">
        <v>74</v>
      </c>
      <c r="R1823" t="s">
        <v>48</v>
      </c>
      <c r="S1823" t="s">
        <v>49</v>
      </c>
      <c r="T1823" t="s">
        <v>85</v>
      </c>
      <c r="U1823" t="s">
        <v>5342</v>
      </c>
      <c r="V1823">
        <v>70200</v>
      </c>
      <c r="W1823" t="s">
        <v>48</v>
      </c>
      <c r="X1823" t="s">
        <v>503</v>
      </c>
      <c r="Y1823" t="s">
        <v>54</v>
      </c>
      <c r="Z1823" s="12">
        <f>IF(N1823&lt;=1,9,9+0.8*ROUNDUP(N1823-1,0))</f>
        <v>9</v>
      </c>
      <c r="AA1823" s="11">
        <v>-2</v>
      </c>
      <c r="AB1823" s="11">
        <v>0</v>
      </c>
      <c r="AC1823" s="11">
        <v>0</v>
      </c>
      <c r="AD1823" s="11">
        <v>0</v>
      </c>
      <c r="AE1823" s="11">
        <v>0</v>
      </c>
      <c r="AF1823" s="11">
        <f t="shared" si="84"/>
        <v>0.42</v>
      </c>
      <c r="AG1823" s="11">
        <f t="shared" si="85"/>
        <v>7.42</v>
      </c>
      <c r="AH1823" s="11">
        <v>0</v>
      </c>
      <c r="AI1823" s="11">
        <f t="shared" si="86"/>
        <v>7.42</v>
      </c>
      <c r="AJ1823" t="s">
        <v>62</v>
      </c>
    </row>
    <row r="1824" spans="1:36" ht="15" customHeight="1" x14ac:dyDescent="0.35">
      <c r="A1824">
        <v>10428918</v>
      </c>
      <c r="B1824" t="s">
        <v>36</v>
      </c>
      <c r="C1824" t="s">
        <v>37</v>
      </c>
      <c r="D1824" s="6" t="s">
        <v>38</v>
      </c>
      <c r="E1824" t="s">
        <v>5343</v>
      </c>
      <c r="G1824" t="s">
        <v>41</v>
      </c>
      <c r="H1824" t="s">
        <v>5344</v>
      </c>
      <c r="I1824" t="s">
        <v>43</v>
      </c>
      <c r="J1824">
        <v>2</v>
      </c>
      <c r="K1824" t="s">
        <v>44</v>
      </c>
      <c r="L1824" t="s">
        <v>45</v>
      </c>
      <c r="M1824" t="s">
        <v>46</v>
      </c>
      <c r="N1824" s="7">
        <v>1</v>
      </c>
      <c r="O1824" s="8">
        <v>45655.605613425927</v>
      </c>
      <c r="P1824" s="9">
        <v>45657</v>
      </c>
      <c r="Q1824" t="s">
        <v>74</v>
      </c>
      <c r="R1824" t="s">
        <v>48</v>
      </c>
      <c r="S1824" t="s">
        <v>49</v>
      </c>
      <c r="T1824" t="s">
        <v>80</v>
      </c>
      <c r="U1824" t="s">
        <v>5345</v>
      </c>
      <c r="V1824">
        <v>8200</v>
      </c>
      <c r="W1824" t="s">
        <v>48</v>
      </c>
      <c r="X1824" t="s">
        <v>82</v>
      </c>
      <c r="Y1824" t="s">
        <v>54</v>
      </c>
      <c r="Z1824" s="12">
        <f>IF(N1824&lt;=1,9,9+0.8*ROUNDUP(N1824-1,0))</f>
        <v>9</v>
      </c>
      <c r="AA1824" s="11">
        <v>-2</v>
      </c>
      <c r="AB1824" s="11">
        <v>0</v>
      </c>
      <c r="AC1824" s="11">
        <v>0</v>
      </c>
      <c r="AD1824" s="11">
        <v>0</v>
      </c>
      <c r="AE1824" s="11">
        <v>0</v>
      </c>
      <c r="AF1824" s="11">
        <f t="shared" si="84"/>
        <v>0.42</v>
      </c>
      <c r="AG1824" s="11">
        <f t="shared" si="85"/>
        <v>7.42</v>
      </c>
      <c r="AH1824" s="11">
        <v>0</v>
      </c>
      <c r="AI1824" s="11">
        <f t="shared" si="86"/>
        <v>7.42</v>
      </c>
      <c r="AJ1824" t="s">
        <v>62</v>
      </c>
    </row>
    <row r="1825" spans="1:36" ht="15" customHeight="1" x14ac:dyDescent="0.35">
      <c r="A1825">
        <v>10428918</v>
      </c>
      <c r="B1825" t="s">
        <v>36</v>
      </c>
      <c r="C1825" t="s">
        <v>37</v>
      </c>
      <c r="D1825" s="6" t="s">
        <v>38</v>
      </c>
      <c r="E1825" t="s">
        <v>5346</v>
      </c>
      <c r="G1825" t="s">
        <v>41</v>
      </c>
      <c r="H1825" t="s">
        <v>5347</v>
      </c>
      <c r="I1825" t="s">
        <v>43</v>
      </c>
      <c r="J1825">
        <v>2</v>
      </c>
      <c r="K1825" t="s">
        <v>44</v>
      </c>
      <c r="L1825" t="s">
        <v>45</v>
      </c>
      <c r="M1825" t="s">
        <v>46</v>
      </c>
      <c r="N1825" s="7">
        <v>1</v>
      </c>
      <c r="O1825" s="8">
        <v>45655.539687500001</v>
      </c>
      <c r="P1825" s="9">
        <v>45657</v>
      </c>
      <c r="Q1825" t="s">
        <v>74</v>
      </c>
      <c r="R1825" t="s">
        <v>48</v>
      </c>
      <c r="S1825" t="s">
        <v>49</v>
      </c>
      <c r="T1825" t="s">
        <v>85</v>
      </c>
      <c r="U1825" t="s">
        <v>5348</v>
      </c>
      <c r="V1825">
        <v>71800</v>
      </c>
      <c r="W1825" t="s">
        <v>48</v>
      </c>
      <c r="X1825" t="s">
        <v>266</v>
      </c>
      <c r="Y1825" t="s">
        <v>54</v>
      </c>
      <c r="Z1825" s="12">
        <f>IF(N1825&lt;=1,9,9+0.8*ROUNDUP(N1825-1,0))</f>
        <v>9</v>
      </c>
      <c r="AA1825" s="11">
        <v>-2</v>
      </c>
      <c r="AB1825" s="11">
        <v>0</v>
      </c>
      <c r="AC1825" s="11">
        <v>0</v>
      </c>
      <c r="AD1825" s="11">
        <v>0</v>
      </c>
      <c r="AE1825" s="11">
        <v>0</v>
      </c>
      <c r="AF1825" s="11">
        <f t="shared" si="84"/>
        <v>0.42</v>
      </c>
      <c r="AG1825" s="11">
        <f t="shared" si="85"/>
        <v>7.42</v>
      </c>
      <c r="AH1825" s="11">
        <v>0</v>
      </c>
      <c r="AI1825" s="11">
        <f t="shared" si="86"/>
        <v>7.42</v>
      </c>
      <c r="AJ1825" t="s">
        <v>62</v>
      </c>
    </row>
    <row r="1826" spans="1:36" ht="15" customHeight="1" x14ac:dyDescent="0.35">
      <c r="A1826">
        <v>10428918</v>
      </c>
      <c r="B1826" t="s">
        <v>36</v>
      </c>
      <c r="C1826" t="s">
        <v>37</v>
      </c>
      <c r="D1826" s="6" t="s">
        <v>38</v>
      </c>
      <c r="E1826" t="s">
        <v>5349</v>
      </c>
      <c r="G1826" t="s">
        <v>41</v>
      </c>
      <c r="H1826" t="s">
        <v>4111</v>
      </c>
      <c r="I1826" t="s">
        <v>43</v>
      </c>
      <c r="J1826">
        <v>2</v>
      </c>
      <c r="K1826" t="s">
        <v>44</v>
      </c>
      <c r="L1826" t="s">
        <v>45</v>
      </c>
      <c r="M1826" t="s">
        <v>46</v>
      </c>
      <c r="N1826" s="7">
        <v>3</v>
      </c>
      <c r="O1826" s="8">
        <v>45655.536608796298</v>
      </c>
      <c r="P1826" s="9">
        <v>45657</v>
      </c>
      <c r="Q1826" t="s">
        <v>74</v>
      </c>
      <c r="R1826" t="s">
        <v>48</v>
      </c>
      <c r="S1826" t="s">
        <v>49</v>
      </c>
      <c r="T1826" t="s">
        <v>69</v>
      </c>
      <c r="U1826" t="s">
        <v>4112</v>
      </c>
      <c r="V1826">
        <v>80400</v>
      </c>
      <c r="W1826" t="s">
        <v>48</v>
      </c>
      <c r="X1826" t="s">
        <v>761</v>
      </c>
      <c r="Y1826" t="s">
        <v>54</v>
      </c>
      <c r="Z1826" s="12">
        <f>IF(N1826&lt;=1,9,9+0.8*ROUNDUP(N1826-1,0))</f>
        <v>10.6</v>
      </c>
      <c r="AA1826" s="11">
        <v>-2</v>
      </c>
      <c r="AB1826" s="11">
        <v>0</v>
      </c>
      <c r="AC1826" s="11">
        <v>0</v>
      </c>
      <c r="AD1826" s="11">
        <v>0</v>
      </c>
      <c r="AE1826" s="11">
        <v>0</v>
      </c>
      <c r="AF1826" s="11">
        <f t="shared" si="84"/>
        <v>0.51600000000000001</v>
      </c>
      <c r="AG1826" s="11">
        <f t="shared" si="85"/>
        <v>9.1159999999999997</v>
      </c>
      <c r="AH1826" s="11">
        <v>0</v>
      </c>
      <c r="AI1826" s="11">
        <f t="shared" si="86"/>
        <v>9.1159999999999997</v>
      </c>
      <c r="AJ1826" t="s">
        <v>62</v>
      </c>
    </row>
    <row r="1827" spans="1:36" ht="15" customHeight="1" x14ac:dyDescent="0.35">
      <c r="A1827">
        <v>10428918</v>
      </c>
      <c r="B1827" t="s">
        <v>36</v>
      </c>
      <c r="C1827" t="s">
        <v>37</v>
      </c>
      <c r="D1827" s="6" t="s">
        <v>38</v>
      </c>
      <c r="E1827" t="s">
        <v>5350</v>
      </c>
      <c r="G1827" t="s">
        <v>41</v>
      </c>
      <c r="H1827" t="s">
        <v>5351</v>
      </c>
      <c r="I1827" t="s">
        <v>43</v>
      </c>
      <c r="J1827">
        <v>2</v>
      </c>
      <c r="K1827" t="s">
        <v>44</v>
      </c>
      <c r="L1827" t="s">
        <v>45</v>
      </c>
      <c r="M1827" t="s">
        <v>46</v>
      </c>
      <c r="N1827" s="7">
        <v>1</v>
      </c>
      <c r="O1827" s="8">
        <v>45655.552581018521</v>
      </c>
      <c r="P1827" s="9">
        <v>45657</v>
      </c>
      <c r="Q1827" t="s">
        <v>74</v>
      </c>
      <c r="R1827" t="s">
        <v>48</v>
      </c>
      <c r="S1827" t="s">
        <v>49</v>
      </c>
      <c r="T1827" t="s">
        <v>117</v>
      </c>
      <c r="U1827" t="s">
        <v>5352</v>
      </c>
      <c r="V1827">
        <v>40000</v>
      </c>
      <c r="W1827" t="s">
        <v>48</v>
      </c>
      <c r="X1827" t="s">
        <v>53</v>
      </c>
      <c r="Y1827" t="s">
        <v>54</v>
      </c>
      <c r="Z1827" s="12">
        <f>IF(N1827&lt;=1,9,9+0.8*ROUNDUP(N1827-1,0))</f>
        <v>9</v>
      </c>
      <c r="AA1827" s="11">
        <v>-2</v>
      </c>
      <c r="AB1827" s="11">
        <v>0</v>
      </c>
      <c r="AC1827" s="11">
        <v>0</v>
      </c>
      <c r="AD1827" s="11">
        <v>0</v>
      </c>
      <c r="AE1827" s="11">
        <v>0</v>
      </c>
      <c r="AF1827" s="11">
        <f t="shared" si="84"/>
        <v>0.42</v>
      </c>
      <c r="AG1827" s="11">
        <f t="shared" si="85"/>
        <v>7.42</v>
      </c>
      <c r="AH1827" s="11">
        <v>0</v>
      </c>
      <c r="AI1827" s="11">
        <f t="shared" si="86"/>
        <v>7.42</v>
      </c>
      <c r="AJ1827" t="s">
        <v>62</v>
      </c>
    </row>
    <row r="1828" spans="1:36" ht="15" customHeight="1" x14ac:dyDescent="0.35">
      <c r="A1828">
        <v>10428918</v>
      </c>
      <c r="B1828" t="s">
        <v>36</v>
      </c>
      <c r="C1828" t="s">
        <v>37</v>
      </c>
      <c r="D1828" s="6" t="s">
        <v>38</v>
      </c>
      <c r="E1828" t="s">
        <v>5353</v>
      </c>
      <c r="G1828" t="s">
        <v>41</v>
      </c>
      <c r="H1828" t="s">
        <v>5354</v>
      </c>
      <c r="I1828" t="s">
        <v>43</v>
      </c>
      <c r="J1828">
        <v>2</v>
      </c>
      <c r="K1828" t="s">
        <v>44</v>
      </c>
      <c r="L1828" t="s">
        <v>45</v>
      </c>
      <c r="M1828" t="s">
        <v>46</v>
      </c>
      <c r="N1828" s="7">
        <v>1</v>
      </c>
      <c r="O1828" s="8">
        <v>45651.427499999998</v>
      </c>
      <c r="P1828" s="9">
        <v>45657</v>
      </c>
      <c r="Q1828" t="s">
        <v>74</v>
      </c>
      <c r="R1828" t="s">
        <v>48</v>
      </c>
      <c r="S1828" t="s">
        <v>49</v>
      </c>
      <c r="T1828" t="s">
        <v>69</v>
      </c>
      <c r="U1828" t="s">
        <v>5355</v>
      </c>
      <c r="V1828">
        <v>85000</v>
      </c>
      <c r="W1828" t="s">
        <v>48</v>
      </c>
      <c r="X1828" t="s">
        <v>670</v>
      </c>
      <c r="Y1828" t="s">
        <v>54</v>
      </c>
      <c r="Z1828" s="12">
        <f>IF(N1828&lt;=1,9,9+0.8*ROUNDUP(N1828-1,0))</f>
        <v>9</v>
      </c>
      <c r="AA1828" s="11">
        <v>-2</v>
      </c>
      <c r="AB1828" s="11">
        <v>0</v>
      </c>
      <c r="AC1828" s="11">
        <v>0</v>
      </c>
      <c r="AD1828" s="11">
        <v>0</v>
      </c>
      <c r="AE1828" s="11">
        <v>0</v>
      </c>
      <c r="AF1828" s="11">
        <f t="shared" si="84"/>
        <v>0.42</v>
      </c>
      <c r="AG1828" s="11">
        <f t="shared" si="85"/>
        <v>7.42</v>
      </c>
      <c r="AH1828" s="11">
        <v>0</v>
      </c>
      <c r="AI1828" s="11">
        <f t="shared" si="86"/>
        <v>7.42</v>
      </c>
      <c r="AJ1828" t="s">
        <v>62</v>
      </c>
    </row>
    <row r="1829" spans="1:36" ht="15" customHeight="1" x14ac:dyDescent="0.35">
      <c r="A1829">
        <v>10428918</v>
      </c>
      <c r="B1829" t="s">
        <v>36</v>
      </c>
      <c r="C1829" t="s">
        <v>37</v>
      </c>
      <c r="D1829" s="6" t="s">
        <v>38</v>
      </c>
      <c r="E1829" t="s">
        <v>5356</v>
      </c>
      <c r="G1829" t="s">
        <v>41</v>
      </c>
      <c r="H1829" t="s">
        <v>5357</v>
      </c>
      <c r="I1829" t="s">
        <v>43</v>
      </c>
      <c r="J1829">
        <v>2</v>
      </c>
      <c r="K1829" t="s">
        <v>44</v>
      </c>
      <c r="L1829" t="s">
        <v>45</v>
      </c>
      <c r="M1829" t="s">
        <v>46</v>
      </c>
      <c r="N1829" s="7">
        <v>2</v>
      </c>
      <c r="O1829" s="8">
        <v>45656.762557870374</v>
      </c>
      <c r="P1829" s="9">
        <v>45657</v>
      </c>
      <c r="Q1829" t="s">
        <v>74</v>
      </c>
      <c r="R1829" t="s">
        <v>48</v>
      </c>
      <c r="S1829" t="s">
        <v>49</v>
      </c>
      <c r="T1829" t="s">
        <v>117</v>
      </c>
      <c r="U1829" t="s">
        <v>5358</v>
      </c>
      <c r="V1829">
        <v>47000</v>
      </c>
      <c r="W1829" t="s">
        <v>48</v>
      </c>
      <c r="X1829" t="s">
        <v>548</v>
      </c>
      <c r="Y1829" t="s">
        <v>54</v>
      </c>
      <c r="Z1829" s="12">
        <f>IF(N1829&lt;=1,9,9+0.8*ROUNDUP(N1829-1,0))</f>
        <v>9.8000000000000007</v>
      </c>
      <c r="AA1829" s="11">
        <v>-2</v>
      </c>
      <c r="AB1829" s="11">
        <v>0</v>
      </c>
      <c r="AC1829" s="11">
        <v>0</v>
      </c>
      <c r="AD1829" s="11">
        <v>0</v>
      </c>
      <c r="AE1829" s="11">
        <v>0</v>
      </c>
      <c r="AF1829" s="11">
        <f t="shared" si="84"/>
        <v>0.46800000000000003</v>
      </c>
      <c r="AG1829" s="11">
        <f t="shared" si="85"/>
        <v>8.2680000000000007</v>
      </c>
      <c r="AH1829" s="11">
        <v>0</v>
      </c>
      <c r="AI1829" s="11">
        <f t="shared" si="86"/>
        <v>8.2680000000000007</v>
      </c>
      <c r="AJ1829" t="s">
        <v>62</v>
      </c>
    </row>
    <row r="1830" spans="1:36" ht="15" customHeight="1" x14ac:dyDescent="0.35">
      <c r="A1830">
        <v>10428918</v>
      </c>
      <c r="B1830" t="s">
        <v>36</v>
      </c>
      <c r="C1830" t="s">
        <v>37</v>
      </c>
      <c r="D1830" s="6" t="s">
        <v>38</v>
      </c>
      <c r="E1830" t="s">
        <v>5359</v>
      </c>
      <c r="G1830" t="s">
        <v>41</v>
      </c>
      <c r="H1830" t="s">
        <v>5360</v>
      </c>
      <c r="I1830" t="s">
        <v>43</v>
      </c>
      <c r="J1830">
        <v>2</v>
      </c>
      <c r="K1830" t="s">
        <v>44</v>
      </c>
      <c r="L1830" t="s">
        <v>45</v>
      </c>
      <c r="M1830" t="s">
        <v>46</v>
      </c>
      <c r="N1830" s="7">
        <v>1</v>
      </c>
      <c r="O1830" s="8">
        <v>45656.753553240742</v>
      </c>
      <c r="P1830" s="9">
        <v>45657</v>
      </c>
      <c r="Q1830" t="s">
        <v>74</v>
      </c>
      <c r="R1830" t="s">
        <v>48</v>
      </c>
      <c r="S1830" t="s">
        <v>49</v>
      </c>
      <c r="T1830" t="s">
        <v>117</v>
      </c>
      <c r="U1830" t="s">
        <v>5361</v>
      </c>
      <c r="V1830">
        <v>40170</v>
      </c>
      <c r="W1830" t="s">
        <v>48</v>
      </c>
      <c r="X1830" t="s">
        <v>429</v>
      </c>
      <c r="Y1830" t="s">
        <v>54</v>
      </c>
      <c r="Z1830" s="12">
        <f>IF(N1830&lt;=1,9,9+0.8*ROUNDUP(N1830-1,0))</f>
        <v>9</v>
      </c>
      <c r="AA1830" s="11">
        <v>-2</v>
      </c>
      <c r="AB1830" s="11">
        <v>0</v>
      </c>
      <c r="AC1830" s="11">
        <v>0</v>
      </c>
      <c r="AD1830" s="11">
        <v>0</v>
      </c>
      <c r="AE1830" s="11">
        <v>0</v>
      </c>
      <c r="AF1830" s="11">
        <f t="shared" si="84"/>
        <v>0.42</v>
      </c>
      <c r="AG1830" s="11">
        <f t="shared" si="85"/>
        <v>7.42</v>
      </c>
      <c r="AH1830" s="11">
        <v>0</v>
      </c>
      <c r="AI1830" s="11">
        <f t="shared" si="86"/>
        <v>7.42</v>
      </c>
      <c r="AJ1830" t="s">
        <v>62</v>
      </c>
    </row>
    <row r="1831" spans="1:36" ht="15" customHeight="1" x14ac:dyDescent="0.35">
      <c r="A1831">
        <v>10428918</v>
      </c>
      <c r="B1831" t="s">
        <v>36</v>
      </c>
      <c r="C1831" t="s">
        <v>37</v>
      </c>
      <c r="D1831" s="6" t="s">
        <v>38</v>
      </c>
      <c r="E1831" t="s">
        <v>5362</v>
      </c>
      <c r="G1831" t="s">
        <v>41</v>
      </c>
      <c r="H1831" t="s">
        <v>5363</v>
      </c>
      <c r="I1831" t="s">
        <v>43</v>
      </c>
      <c r="J1831">
        <v>2</v>
      </c>
      <c r="K1831" t="s">
        <v>44</v>
      </c>
      <c r="L1831" t="s">
        <v>45</v>
      </c>
      <c r="M1831" t="s">
        <v>46</v>
      </c>
      <c r="N1831" s="7">
        <v>1</v>
      </c>
      <c r="O1831" s="8">
        <v>45654.441666666666</v>
      </c>
      <c r="P1831" s="9">
        <v>45657</v>
      </c>
      <c r="Q1831" t="s">
        <v>74</v>
      </c>
      <c r="R1831" t="s">
        <v>48</v>
      </c>
      <c r="S1831" t="s">
        <v>49</v>
      </c>
      <c r="T1831" t="s">
        <v>101</v>
      </c>
      <c r="U1831" t="s">
        <v>5364</v>
      </c>
      <c r="V1831">
        <v>32000</v>
      </c>
      <c r="W1831" t="s">
        <v>48</v>
      </c>
      <c r="X1831" t="s">
        <v>1120</v>
      </c>
      <c r="Y1831" t="s">
        <v>54</v>
      </c>
      <c r="Z1831" s="12">
        <f>IF(N1831&lt;=1,9,9+0.8*ROUNDUP(N1831-1,0))</f>
        <v>9</v>
      </c>
      <c r="AA1831" s="11">
        <v>-2</v>
      </c>
      <c r="AB1831" s="11">
        <v>0</v>
      </c>
      <c r="AC1831" s="11">
        <v>0</v>
      </c>
      <c r="AD1831" s="11">
        <v>0</v>
      </c>
      <c r="AE1831" s="11">
        <v>0</v>
      </c>
      <c r="AF1831" s="11">
        <f t="shared" si="84"/>
        <v>0.42</v>
      </c>
      <c r="AG1831" s="11">
        <f t="shared" si="85"/>
        <v>7.42</v>
      </c>
      <c r="AH1831" s="11">
        <v>0</v>
      </c>
      <c r="AI1831" s="11">
        <f t="shared" si="86"/>
        <v>7.42</v>
      </c>
      <c r="AJ1831" t="s">
        <v>62</v>
      </c>
    </row>
    <row r="1832" spans="1:36" ht="15" customHeight="1" x14ac:dyDescent="0.35">
      <c r="A1832">
        <v>10428918</v>
      </c>
      <c r="B1832" t="s">
        <v>36</v>
      </c>
      <c r="C1832" t="s">
        <v>37</v>
      </c>
      <c r="D1832" s="6" t="s">
        <v>38</v>
      </c>
      <c r="E1832" t="s">
        <v>5365</v>
      </c>
      <c r="G1832" t="s">
        <v>41</v>
      </c>
      <c r="H1832" t="s">
        <v>5366</v>
      </c>
      <c r="I1832" t="s">
        <v>43</v>
      </c>
      <c r="J1832">
        <v>2</v>
      </c>
      <c r="K1832" t="s">
        <v>44</v>
      </c>
      <c r="L1832" t="s">
        <v>45</v>
      </c>
      <c r="M1832" t="s">
        <v>46</v>
      </c>
      <c r="N1832" s="7">
        <v>2</v>
      </c>
      <c r="O1832" s="8">
        <v>45652.905092592591</v>
      </c>
      <c r="P1832" s="9">
        <v>45657</v>
      </c>
      <c r="Q1832" t="s">
        <v>58</v>
      </c>
      <c r="R1832" t="s">
        <v>48</v>
      </c>
      <c r="S1832" t="s">
        <v>49</v>
      </c>
      <c r="T1832" t="s">
        <v>69</v>
      </c>
      <c r="U1832" t="s">
        <v>5367</v>
      </c>
      <c r="V1832">
        <v>81300</v>
      </c>
      <c r="W1832" t="s">
        <v>48</v>
      </c>
      <c r="X1832" t="s">
        <v>1040</v>
      </c>
      <c r="Y1832" t="s">
        <v>54</v>
      </c>
      <c r="Z1832" s="12">
        <f>IF(N1832&lt;=1,9,9+0.8*ROUNDUP(N1832-1,0))</f>
        <v>9.8000000000000007</v>
      </c>
      <c r="AA1832" s="11">
        <v>-2</v>
      </c>
      <c r="AB1832" s="11">
        <v>0</v>
      </c>
      <c r="AC1832" s="11">
        <v>0</v>
      </c>
      <c r="AD1832" s="11">
        <v>0</v>
      </c>
      <c r="AE1832" s="11">
        <v>0</v>
      </c>
      <c r="AF1832" s="11">
        <f t="shared" si="84"/>
        <v>0.46800000000000003</v>
      </c>
      <c r="AG1832" s="11">
        <f t="shared" si="85"/>
        <v>8.2680000000000007</v>
      </c>
      <c r="AH1832" s="11">
        <v>0</v>
      </c>
      <c r="AI1832" s="11">
        <f t="shared" si="86"/>
        <v>8.2680000000000007</v>
      </c>
      <c r="AJ1832" t="s">
        <v>62</v>
      </c>
    </row>
    <row r="1833" spans="1:36" ht="15" customHeight="1" x14ac:dyDescent="0.35">
      <c r="A1833">
        <v>10428918</v>
      </c>
      <c r="B1833" t="s">
        <v>36</v>
      </c>
      <c r="C1833" t="s">
        <v>37</v>
      </c>
      <c r="D1833" s="6" t="s">
        <v>38</v>
      </c>
      <c r="E1833" t="s">
        <v>5368</v>
      </c>
      <c r="G1833" t="s">
        <v>41</v>
      </c>
      <c r="H1833" t="s">
        <v>5369</v>
      </c>
      <c r="I1833" t="s">
        <v>43</v>
      </c>
      <c r="J1833">
        <v>2</v>
      </c>
      <c r="K1833" t="s">
        <v>44</v>
      </c>
      <c r="L1833" t="s">
        <v>45</v>
      </c>
      <c r="M1833" t="s">
        <v>46</v>
      </c>
      <c r="N1833" s="7">
        <v>1</v>
      </c>
      <c r="O1833" s="8">
        <v>45655.849386574075</v>
      </c>
      <c r="P1833" s="9">
        <v>45657</v>
      </c>
      <c r="Q1833" t="s">
        <v>74</v>
      </c>
      <c r="R1833" t="s">
        <v>48</v>
      </c>
      <c r="S1833" t="s">
        <v>49</v>
      </c>
      <c r="T1833" t="s">
        <v>117</v>
      </c>
      <c r="U1833" t="s">
        <v>5370</v>
      </c>
      <c r="V1833">
        <v>56000</v>
      </c>
      <c r="W1833" t="s">
        <v>48</v>
      </c>
      <c r="X1833" t="s">
        <v>357</v>
      </c>
      <c r="Y1833" t="s">
        <v>54</v>
      </c>
      <c r="Z1833" s="12">
        <f>IF(N1833&lt;=1,9,9+0.8*ROUNDUP(N1833-1,0))</f>
        <v>9</v>
      </c>
      <c r="AA1833" s="11">
        <v>-2</v>
      </c>
      <c r="AB1833" s="11">
        <v>0</v>
      </c>
      <c r="AC1833" s="11">
        <v>0</v>
      </c>
      <c r="AD1833" s="11">
        <v>0</v>
      </c>
      <c r="AE1833" s="11">
        <v>0</v>
      </c>
      <c r="AF1833" s="11">
        <f t="shared" si="84"/>
        <v>0.42</v>
      </c>
      <c r="AG1833" s="11">
        <f t="shared" si="85"/>
        <v>7.42</v>
      </c>
      <c r="AH1833" s="11">
        <v>0</v>
      </c>
      <c r="AI1833" s="11">
        <f t="shared" si="86"/>
        <v>7.42</v>
      </c>
      <c r="AJ1833" t="s">
        <v>62</v>
      </c>
    </row>
    <row r="1834" spans="1:36" ht="15" customHeight="1" x14ac:dyDescent="0.35">
      <c r="A1834">
        <v>10428918</v>
      </c>
      <c r="B1834" t="s">
        <v>36</v>
      </c>
      <c r="C1834" t="s">
        <v>37</v>
      </c>
      <c r="D1834" s="6" t="s">
        <v>38</v>
      </c>
      <c r="E1834" t="s">
        <v>5371</v>
      </c>
      <c r="G1834" t="s">
        <v>41</v>
      </c>
      <c r="H1834" t="s">
        <v>5372</v>
      </c>
      <c r="I1834" t="s">
        <v>43</v>
      </c>
      <c r="J1834">
        <v>2</v>
      </c>
      <c r="K1834" t="s">
        <v>44</v>
      </c>
      <c r="L1834" t="s">
        <v>45</v>
      </c>
      <c r="M1834" t="s">
        <v>46</v>
      </c>
      <c r="N1834" s="7">
        <v>1</v>
      </c>
      <c r="O1834" s="8">
        <v>45655.612129629626</v>
      </c>
      <c r="P1834" s="9">
        <v>45657</v>
      </c>
      <c r="Q1834" t="s">
        <v>74</v>
      </c>
      <c r="R1834" t="s">
        <v>48</v>
      </c>
      <c r="S1834" t="s">
        <v>49</v>
      </c>
      <c r="T1834" t="s">
        <v>69</v>
      </c>
      <c r="U1834" t="s">
        <v>5373</v>
      </c>
      <c r="V1834">
        <v>81700</v>
      </c>
      <c r="W1834" t="s">
        <v>48</v>
      </c>
      <c r="X1834" t="s">
        <v>841</v>
      </c>
      <c r="Y1834" t="s">
        <v>54</v>
      </c>
      <c r="Z1834" s="12">
        <f>IF(N1834&lt;=1,9,9+0.8*ROUNDUP(N1834-1,0))</f>
        <v>9</v>
      </c>
      <c r="AA1834" s="11">
        <v>-2</v>
      </c>
      <c r="AB1834" s="11">
        <v>0</v>
      </c>
      <c r="AC1834" s="11">
        <v>0</v>
      </c>
      <c r="AD1834" s="11">
        <v>0</v>
      </c>
      <c r="AE1834" s="11">
        <v>0</v>
      </c>
      <c r="AF1834" s="11">
        <f t="shared" si="84"/>
        <v>0.42</v>
      </c>
      <c r="AG1834" s="11">
        <f t="shared" si="85"/>
        <v>7.42</v>
      </c>
      <c r="AH1834" s="11">
        <v>0</v>
      </c>
      <c r="AI1834" s="11">
        <f t="shared" si="86"/>
        <v>7.42</v>
      </c>
      <c r="AJ1834" t="s">
        <v>62</v>
      </c>
    </row>
    <row r="1835" spans="1:36" ht="15" customHeight="1" x14ac:dyDescent="0.35">
      <c r="A1835">
        <v>10428918</v>
      </c>
      <c r="B1835" t="s">
        <v>36</v>
      </c>
      <c r="C1835" t="s">
        <v>37</v>
      </c>
      <c r="D1835" s="6" t="s">
        <v>38</v>
      </c>
      <c r="E1835" t="s">
        <v>5374</v>
      </c>
      <c r="G1835" t="s">
        <v>41</v>
      </c>
      <c r="H1835" t="s">
        <v>5375</v>
      </c>
      <c r="I1835" t="s">
        <v>43</v>
      </c>
      <c r="J1835">
        <v>2</v>
      </c>
      <c r="K1835" t="s">
        <v>44</v>
      </c>
      <c r="L1835" t="s">
        <v>45</v>
      </c>
      <c r="M1835" t="s">
        <v>46</v>
      </c>
      <c r="N1835" s="7">
        <v>1</v>
      </c>
      <c r="O1835" s="8">
        <v>45655.415891203702</v>
      </c>
      <c r="P1835" s="9">
        <v>45657</v>
      </c>
      <c r="Q1835" t="s">
        <v>74</v>
      </c>
      <c r="R1835" t="s">
        <v>48</v>
      </c>
      <c r="S1835" t="s">
        <v>49</v>
      </c>
      <c r="T1835" t="s">
        <v>101</v>
      </c>
      <c r="U1835" t="s">
        <v>5376</v>
      </c>
      <c r="V1835">
        <v>34000</v>
      </c>
      <c r="W1835" t="s">
        <v>48</v>
      </c>
      <c r="X1835" t="s">
        <v>827</v>
      </c>
      <c r="Y1835" t="s">
        <v>54</v>
      </c>
      <c r="Z1835" s="12">
        <f>IF(N1835&lt;=1,9,9+0.8*ROUNDUP(N1835-1,0))</f>
        <v>9</v>
      </c>
      <c r="AA1835" s="11">
        <v>-2</v>
      </c>
      <c r="AB1835" s="11">
        <v>0</v>
      </c>
      <c r="AC1835" s="11">
        <v>0</v>
      </c>
      <c r="AD1835" s="11">
        <v>0</v>
      </c>
      <c r="AE1835" s="11">
        <v>0</v>
      </c>
      <c r="AF1835" s="11">
        <f t="shared" si="84"/>
        <v>0.42</v>
      </c>
      <c r="AG1835" s="11">
        <f t="shared" si="85"/>
        <v>7.42</v>
      </c>
      <c r="AH1835" s="11">
        <v>0</v>
      </c>
      <c r="AI1835" s="11">
        <f t="shared" si="86"/>
        <v>7.42</v>
      </c>
      <c r="AJ1835" t="s">
        <v>62</v>
      </c>
    </row>
    <row r="1836" spans="1:36" ht="15" customHeight="1" x14ac:dyDescent="0.35">
      <c r="A1836">
        <v>10428918</v>
      </c>
      <c r="B1836" t="s">
        <v>36</v>
      </c>
      <c r="C1836" t="s">
        <v>37</v>
      </c>
      <c r="D1836" s="6" t="s">
        <v>38</v>
      </c>
      <c r="E1836" t="s">
        <v>5377</v>
      </c>
      <c r="G1836" t="s">
        <v>41</v>
      </c>
      <c r="H1836" t="s">
        <v>5378</v>
      </c>
      <c r="I1836" t="s">
        <v>43</v>
      </c>
      <c r="J1836">
        <v>2</v>
      </c>
      <c r="K1836" t="s">
        <v>44</v>
      </c>
      <c r="L1836" t="s">
        <v>45</v>
      </c>
      <c r="M1836" t="s">
        <v>46</v>
      </c>
      <c r="N1836" s="7">
        <v>1</v>
      </c>
      <c r="O1836" s="8">
        <v>45654.441666666666</v>
      </c>
      <c r="P1836" s="9">
        <v>45657</v>
      </c>
      <c r="Q1836" t="s">
        <v>74</v>
      </c>
      <c r="R1836" t="s">
        <v>48</v>
      </c>
      <c r="S1836" t="s">
        <v>49</v>
      </c>
      <c r="T1836" t="s">
        <v>101</v>
      </c>
      <c r="U1836" t="s">
        <v>5379</v>
      </c>
      <c r="V1836">
        <v>36800</v>
      </c>
      <c r="W1836" t="s">
        <v>48</v>
      </c>
      <c r="X1836" t="s">
        <v>53</v>
      </c>
      <c r="Y1836" t="s">
        <v>54</v>
      </c>
      <c r="Z1836" s="12">
        <f>IF(N1836&lt;=1,9,9+0.8*ROUNDUP(N1836-1,0))</f>
        <v>9</v>
      </c>
      <c r="AA1836" s="11">
        <v>-2</v>
      </c>
      <c r="AB1836" s="11">
        <v>0</v>
      </c>
      <c r="AC1836" s="11">
        <v>0</v>
      </c>
      <c r="AD1836" s="11">
        <v>0</v>
      </c>
      <c r="AE1836" s="11">
        <v>0</v>
      </c>
      <c r="AF1836" s="11">
        <f t="shared" si="84"/>
        <v>0.42</v>
      </c>
      <c r="AG1836" s="11">
        <f t="shared" si="85"/>
        <v>7.42</v>
      </c>
      <c r="AH1836" s="11">
        <v>0</v>
      </c>
      <c r="AI1836" s="11">
        <f t="shared" si="86"/>
        <v>7.42</v>
      </c>
      <c r="AJ1836" t="s">
        <v>62</v>
      </c>
    </row>
    <row r="1837" spans="1:36" ht="15" customHeight="1" x14ac:dyDescent="0.35">
      <c r="A1837">
        <v>10428918</v>
      </c>
      <c r="B1837" t="s">
        <v>36</v>
      </c>
      <c r="C1837" t="s">
        <v>37</v>
      </c>
      <c r="D1837" s="6" t="s">
        <v>38</v>
      </c>
      <c r="E1837" t="s">
        <v>5380</v>
      </c>
      <c r="G1837" t="s">
        <v>41</v>
      </c>
      <c r="H1837" t="s">
        <v>1645</v>
      </c>
      <c r="I1837" t="s">
        <v>43</v>
      </c>
      <c r="J1837">
        <v>2</v>
      </c>
      <c r="K1837" t="s">
        <v>44</v>
      </c>
      <c r="L1837" t="s">
        <v>45</v>
      </c>
      <c r="M1837" t="s">
        <v>46</v>
      </c>
      <c r="N1837" s="7">
        <v>1</v>
      </c>
      <c r="O1837" s="8">
        <v>45654.64403935185</v>
      </c>
      <c r="P1837" s="9">
        <v>45657</v>
      </c>
      <c r="Q1837" t="s">
        <v>74</v>
      </c>
      <c r="R1837" t="s">
        <v>48</v>
      </c>
      <c r="S1837" t="s">
        <v>49</v>
      </c>
      <c r="T1837" t="s">
        <v>101</v>
      </c>
      <c r="U1837" t="s">
        <v>5381</v>
      </c>
      <c r="V1837">
        <v>34400</v>
      </c>
      <c r="W1837" t="s">
        <v>48</v>
      </c>
      <c r="X1837" t="s">
        <v>568</v>
      </c>
      <c r="Y1837" t="s">
        <v>54</v>
      </c>
      <c r="Z1837" s="12">
        <f>IF(N1837&lt;=1,9,9+0.8*ROUNDUP(N1837-1,0))</f>
        <v>9</v>
      </c>
      <c r="AA1837" s="11">
        <v>-2</v>
      </c>
      <c r="AB1837" s="11">
        <v>0</v>
      </c>
      <c r="AC1837" s="11">
        <v>0</v>
      </c>
      <c r="AD1837" s="11">
        <v>0</v>
      </c>
      <c r="AE1837" s="11">
        <v>0</v>
      </c>
      <c r="AF1837" s="11">
        <f t="shared" si="84"/>
        <v>0.42</v>
      </c>
      <c r="AG1837" s="11">
        <f t="shared" si="85"/>
        <v>7.42</v>
      </c>
      <c r="AH1837" s="11">
        <v>0</v>
      </c>
      <c r="AI1837" s="11">
        <f t="shared" si="86"/>
        <v>7.42</v>
      </c>
      <c r="AJ1837" t="s">
        <v>62</v>
      </c>
    </row>
    <row r="1838" spans="1:36" ht="15" customHeight="1" x14ac:dyDescent="0.35">
      <c r="A1838">
        <v>10428918</v>
      </c>
      <c r="B1838" t="s">
        <v>36</v>
      </c>
      <c r="C1838" t="s">
        <v>37</v>
      </c>
      <c r="D1838" s="6" t="s">
        <v>38</v>
      </c>
      <c r="E1838" t="s">
        <v>5382</v>
      </c>
      <c r="G1838" t="s">
        <v>41</v>
      </c>
      <c r="H1838" t="s">
        <v>2723</v>
      </c>
      <c r="I1838" t="s">
        <v>43</v>
      </c>
      <c r="J1838">
        <v>2</v>
      </c>
      <c r="K1838" t="s">
        <v>44</v>
      </c>
      <c r="L1838" t="s">
        <v>45</v>
      </c>
      <c r="M1838" t="s">
        <v>46</v>
      </c>
      <c r="N1838" s="7">
        <v>1</v>
      </c>
      <c r="O1838" s="8">
        <v>45655.723657407405</v>
      </c>
      <c r="P1838" s="9">
        <v>45657</v>
      </c>
      <c r="Q1838" t="s">
        <v>74</v>
      </c>
      <c r="R1838" t="s">
        <v>48</v>
      </c>
      <c r="S1838" t="s">
        <v>49</v>
      </c>
      <c r="T1838" t="s">
        <v>85</v>
      </c>
      <c r="U1838" t="s">
        <v>5383</v>
      </c>
      <c r="V1838">
        <v>71950</v>
      </c>
      <c r="W1838" t="s">
        <v>48</v>
      </c>
      <c r="X1838" t="s">
        <v>503</v>
      </c>
      <c r="Y1838" t="s">
        <v>54</v>
      </c>
      <c r="Z1838" s="12">
        <f>IF(N1838&lt;=1,9,9+0.8*ROUNDUP(N1838-1,0))</f>
        <v>9</v>
      </c>
      <c r="AA1838" s="11">
        <v>-2</v>
      </c>
      <c r="AB1838" s="11">
        <v>0</v>
      </c>
      <c r="AC1838" s="11">
        <v>0</v>
      </c>
      <c r="AD1838" s="11">
        <v>0</v>
      </c>
      <c r="AE1838" s="11">
        <v>0</v>
      </c>
      <c r="AF1838" s="11">
        <f t="shared" si="84"/>
        <v>0.42</v>
      </c>
      <c r="AG1838" s="11">
        <f t="shared" si="85"/>
        <v>7.42</v>
      </c>
      <c r="AH1838" s="11">
        <v>0</v>
      </c>
      <c r="AI1838" s="11">
        <f t="shared" si="86"/>
        <v>7.42</v>
      </c>
      <c r="AJ1838" t="s">
        <v>62</v>
      </c>
    </row>
    <row r="1839" spans="1:36" ht="15" customHeight="1" x14ac:dyDescent="0.35">
      <c r="A1839">
        <v>10428918</v>
      </c>
      <c r="B1839" t="s">
        <v>36</v>
      </c>
      <c r="C1839" t="s">
        <v>37</v>
      </c>
      <c r="D1839" s="6" t="s">
        <v>38</v>
      </c>
      <c r="E1839" t="s">
        <v>5384</v>
      </c>
      <c r="G1839" t="s">
        <v>41</v>
      </c>
      <c r="H1839" t="s">
        <v>5385</v>
      </c>
      <c r="I1839" t="s">
        <v>43</v>
      </c>
      <c r="J1839">
        <v>2</v>
      </c>
      <c r="K1839" t="s">
        <v>44</v>
      </c>
      <c r="L1839" t="s">
        <v>45</v>
      </c>
      <c r="M1839" t="s">
        <v>46</v>
      </c>
      <c r="N1839" s="7">
        <v>4</v>
      </c>
      <c r="O1839" s="8">
        <v>45655.852789351855</v>
      </c>
      <c r="P1839" s="9">
        <v>45657</v>
      </c>
      <c r="Q1839" t="s">
        <v>74</v>
      </c>
      <c r="R1839" t="s">
        <v>48</v>
      </c>
      <c r="S1839" t="s">
        <v>49</v>
      </c>
      <c r="T1839" t="s">
        <v>85</v>
      </c>
      <c r="U1839" t="s">
        <v>5386</v>
      </c>
      <c r="V1839">
        <v>72120</v>
      </c>
      <c r="W1839" t="s">
        <v>48</v>
      </c>
      <c r="X1839" t="s">
        <v>243</v>
      </c>
      <c r="Y1839" t="s">
        <v>54</v>
      </c>
      <c r="Z1839" s="12">
        <f>IF(N1839&lt;=1,9,9+0.8*ROUNDUP(N1839-1,0))</f>
        <v>11.4</v>
      </c>
      <c r="AA1839" s="11">
        <v>-2</v>
      </c>
      <c r="AB1839" s="11">
        <v>0</v>
      </c>
      <c r="AC1839" s="11">
        <v>0</v>
      </c>
      <c r="AD1839" s="11">
        <v>0</v>
      </c>
      <c r="AE1839" s="11">
        <v>0</v>
      </c>
      <c r="AF1839" s="11">
        <f t="shared" si="84"/>
        <v>0.56399999999999995</v>
      </c>
      <c r="AG1839" s="11">
        <f t="shared" si="85"/>
        <v>9.9640000000000004</v>
      </c>
      <c r="AH1839" s="11">
        <v>0</v>
      </c>
      <c r="AI1839" s="11">
        <f t="shared" si="86"/>
        <v>9.9640000000000004</v>
      </c>
      <c r="AJ1839" t="s">
        <v>62</v>
      </c>
    </row>
    <row r="1840" spans="1:36" ht="15" customHeight="1" x14ac:dyDescent="0.35">
      <c r="A1840">
        <v>10428918</v>
      </c>
      <c r="B1840" t="s">
        <v>36</v>
      </c>
      <c r="C1840" t="s">
        <v>37</v>
      </c>
      <c r="D1840" s="6" t="s">
        <v>38</v>
      </c>
      <c r="E1840" t="s">
        <v>5387</v>
      </c>
      <c r="G1840" t="s">
        <v>41</v>
      </c>
      <c r="H1840" t="s">
        <v>5388</v>
      </c>
      <c r="I1840" t="s">
        <v>43</v>
      </c>
      <c r="J1840">
        <v>2</v>
      </c>
      <c r="K1840" t="s">
        <v>44</v>
      </c>
      <c r="L1840" t="s">
        <v>45</v>
      </c>
      <c r="M1840" t="s">
        <v>46</v>
      </c>
      <c r="N1840" s="7">
        <v>1</v>
      </c>
      <c r="O1840" s="8">
        <v>45656.669942129629</v>
      </c>
      <c r="P1840" s="9">
        <v>45657</v>
      </c>
      <c r="Q1840" t="s">
        <v>74</v>
      </c>
      <c r="R1840" t="s">
        <v>48</v>
      </c>
      <c r="S1840" t="s">
        <v>49</v>
      </c>
      <c r="T1840" t="s">
        <v>117</v>
      </c>
      <c r="U1840" t="s">
        <v>5389</v>
      </c>
      <c r="V1840">
        <v>45500</v>
      </c>
      <c r="W1840" t="s">
        <v>48</v>
      </c>
      <c r="X1840" t="s">
        <v>258</v>
      </c>
      <c r="Y1840" t="s">
        <v>54</v>
      </c>
      <c r="Z1840" s="12">
        <f>IF(N1840&lt;=1,9,9+0.8*ROUNDUP(N1840-1,0))</f>
        <v>9</v>
      </c>
      <c r="AA1840" s="11">
        <v>-2</v>
      </c>
      <c r="AB1840" s="11">
        <v>0</v>
      </c>
      <c r="AC1840" s="11">
        <v>0</v>
      </c>
      <c r="AD1840" s="11">
        <v>0</v>
      </c>
      <c r="AE1840" s="11">
        <v>0</v>
      </c>
      <c r="AF1840" s="11">
        <f t="shared" si="84"/>
        <v>0.42</v>
      </c>
      <c r="AG1840" s="11">
        <f t="shared" si="85"/>
        <v>7.42</v>
      </c>
      <c r="AH1840" s="11">
        <v>0</v>
      </c>
      <c r="AI1840" s="11">
        <f t="shared" si="86"/>
        <v>7.42</v>
      </c>
      <c r="AJ1840" t="s">
        <v>62</v>
      </c>
    </row>
    <row r="1841" spans="1:36" ht="15" customHeight="1" x14ac:dyDescent="0.35">
      <c r="A1841">
        <v>10428918</v>
      </c>
      <c r="B1841" t="s">
        <v>36</v>
      </c>
      <c r="C1841" t="s">
        <v>37</v>
      </c>
      <c r="D1841" s="6" t="s">
        <v>38</v>
      </c>
      <c r="E1841" t="s">
        <v>5390</v>
      </c>
      <c r="G1841" t="s">
        <v>41</v>
      </c>
      <c r="H1841" t="s">
        <v>5391</v>
      </c>
      <c r="I1841" t="s">
        <v>43</v>
      </c>
      <c r="J1841">
        <v>2</v>
      </c>
      <c r="K1841" t="s">
        <v>44</v>
      </c>
      <c r="L1841" t="s">
        <v>45</v>
      </c>
      <c r="M1841" t="s">
        <v>46</v>
      </c>
      <c r="N1841" s="7">
        <v>1</v>
      </c>
      <c r="O1841" s="8">
        <v>45655.600856481484</v>
      </c>
      <c r="P1841" s="9">
        <v>45657</v>
      </c>
      <c r="Q1841" t="s">
        <v>74</v>
      </c>
      <c r="R1841" t="s">
        <v>48</v>
      </c>
      <c r="S1841" t="s">
        <v>49</v>
      </c>
      <c r="T1841" t="s">
        <v>80</v>
      </c>
      <c r="U1841" t="s">
        <v>5392</v>
      </c>
      <c r="V1841">
        <v>8600</v>
      </c>
      <c r="W1841" t="s">
        <v>48</v>
      </c>
      <c r="X1841" t="s">
        <v>145</v>
      </c>
      <c r="Y1841" t="s">
        <v>54</v>
      </c>
      <c r="Z1841" s="12">
        <f>IF(N1841&lt;=1,9,9+0.8*ROUNDUP(N1841-1,0))</f>
        <v>9</v>
      </c>
      <c r="AA1841" s="11">
        <v>-2</v>
      </c>
      <c r="AB1841" s="11">
        <v>0</v>
      </c>
      <c r="AC1841" s="11">
        <v>0</v>
      </c>
      <c r="AD1841" s="11">
        <v>0</v>
      </c>
      <c r="AE1841" s="11">
        <v>0</v>
      </c>
      <c r="AF1841" s="11">
        <f t="shared" si="84"/>
        <v>0.42</v>
      </c>
      <c r="AG1841" s="11">
        <f t="shared" si="85"/>
        <v>7.42</v>
      </c>
      <c r="AH1841" s="11">
        <v>0</v>
      </c>
      <c r="AI1841" s="11">
        <f t="shared" si="86"/>
        <v>7.42</v>
      </c>
      <c r="AJ1841" t="s">
        <v>62</v>
      </c>
    </row>
    <row r="1842" spans="1:36" ht="15" customHeight="1" x14ac:dyDescent="0.35">
      <c r="A1842">
        <v>10428918</v>
      </c>
      <c r="B1842" t="s">
        <v>36</v>
      </c>
      <c r="C1842" t="s">
        <v>37</v>
      </c>
      <c r="D1842" s="6" t="s">
        <v>38</v>
      </c>
      <c r="E1842" t="s">
        <v>5393</v>
      </c>
      <c r="G1842" t="s">
        <v>41</v>
      </c>
      <c r="H1842" t="s">
        <v>5394</v>
      </c>
      <c r="I1842" t="s">
        <v>43</v>
      </c>
      <c r="J1842">
        <v>2</v>
      </c>
      <c r="K1842" t="s">
        <v>44</v>
      </c>
      <c r="L1842" t="s">
        <v>45</v>
      </c>
      <c r="M1842" t="s">
        <v>46</v>
      </c>
      <c r="N1842" s="7">
        <v>1</v>
      </c>
      <c r="O1842" s="8">
        <v>45655.812349537038</v>
      </c>
      <c r="P1842" s="9">
        <v>45657</v>
      </c>
      <c r="Q1842" t="s">
        <v>74</v>
      </c>
      <c r="R1842" t="s">
        <v>48</v>
      </c>
      <c r="S1842" t="s">
        <v>49</v>
      </c>
      <c r="T1842" t="s">
        <v>117</v>
      </c>
      <c r="U1842" t="s">
        <v>5395</v>
      </c>
      <c r="V1842">
        <v>47650</v>
      </c>
      <c r="W1842" t="s">
        <v>48</v>
      </c>
      <c r="X1842" t="s">
        <v>943</v>
      </c>
      <c r="Y1842" t="s">
        <v>54</v>
      </c>
      <c r="Z1842" s="12">
        <f>IF(N1842&lt;=1,9,9+0.8*ROUNDUP(N1842-1,0))</f>
        <v>9</v>
      </c>
      <c r="AA1842" s="11">
        <v>-2</v>
      </c>
      <c r="AB1842" s="11">
        <v>0</v>
      </c>
      <c r="AC1842" s="11">
        <v>0</v>
      </c>
      <c r="AD1842" s="11">
        <v>0</v>
      </c>
      <c r="AE1842" s="11">
        <v>0</v>
      </c>
      <c r="AF1842" s="11">
        <f t="shared" si="84"/>
        <v>0.42</v>
      </c>
      <c r="AG1842" s="11">
        <f t="shared" si="85"/>
        <v>7.42</v>
      </c>
      <c r="AH1842" s="11">
        <v>0</v>
      </c>
      <c r="AI1842" s="11">
        <f t="shared" si="86"/>
        <v>7.42</v>
      </c>
      <c r="AJ1842" t="s">
        <v>62</v>
      </c>
    </row>
    <row r="1843" spans="1:36" ht="15" customHeight="1" x14ac:dyDescent="0.35">
      <c r="A1843">
        <v>10428918</v>
      </c>
      <c r="B1843" t="s">
        <v>36</v>
      </c>
      <c r="C1843" t="s">
        <v>37</v>
      </c>
      <c r="D1843" s="6" t="s">
        <v>38</v>
      </c>
      <c r="E1843" t="s">
        <v>5396</v>
      </c>
      <c r="G1843" t="s">
        <v>41</v>
      </c>
      <c r="H1843" t="s">
        <v>5397</v>
      </c>
      <c r="I1843" t="s">
        <v>43</v>
      </c>
      <c r="J1843">
        <v>2</v>
      </c>
      <c r="K1843" t="s">
        <v>44</v>
      </c>
      <c r="L1843" t="s">
        <v>45</v>
      </c>
      <c r="M1843" t="s">
        <v>46</v>
      </c>
      <c r="N1843" s="7">
        <v>2</v>
      </c>
      <c r="O1843" s="8">
        <v>45654.65965277778</v>
      </c>
      <c r="P1843" s="9">
        <v>45657</v>
      </c>
      <c r="Q1843" t="s">
        <v>74</v>
      </c>
      <c r="R1843" t="s">
        <v>48</v>
      </c>
      <c r="S1843" t="s">
        <v>49</v>
      </c>
      <c r="T1843" t="s">
        <v>69</v>
      </c>
      <c r="U1843" t="s">
        <v>5398</v>
      </c>
      <c r="V1843">
        <v>79250</v>
      </c>
      <c r="W1843" t="s">
        <v>48</v>
      </c>
      <c r="X1843" t="s">
        <v>4527</v>
      </c>
      <c r="Y1843" t="s">
        <v>54</v>
      </c>
      <c r="Z1843" s="12">
        <f>IF(N1843&lt;=1,9,9+0.8*ROUNDUP(N1843-1,0))</f>
        <v>9.8000000000000007</v>
      </c>
      <c r="AA1843" s="11">
        <v>-2</v>
      </c>
      <c r="AB1843" s="11">
        <v>0</v>
      </c>
      <c r="AC1843" s="11">
        <v>0</v>
      </c>
      <c r="AD1843" s="11">
        <v>0</v>
      </c>
      <c r="AE1843" s="11">
        <v>0</v>
      </c>
      <c r="AF1843" s="11">
        <f t="shared" si="84"/>
        <v>0.46800000000000003</v>
      </c>
      <c r="AG1843" s="11">
        <f t="shared" si="85"/>
        <v>8.2680000000000007</v>
      </c>
      <c r="AH1843" s="11">
        <v>0</v>
      </c>
      <c r="AI1843" s="11">
        <f t="shared" si="86"/>
        <v>8.2680000000000007</v>
      </c>
      <c r="AJ1843" t="s">
        <v>62</v>
      </c>
    </row>
    <row r="1844" spans="1:36" ht="15" customHeight="1" x14ac:dyDescent="0.35">
      <c r="A1844">
        <v>10428918</v>
      </c>
      <c r="B1844" t="s">
        <v>36</v>
      </c>
      <c r="C1844" t="s">
        <v>37</v>
      </c>
      <c r="D1844" s="6" t="s">
        <v>38</v>
      </c>
      <c r="E1844" t="s">
        <v>5399</v>
      </c>
      <c r="G1844" t="s">
        <v>41</v>
      </c>
      <c r="H1844" t="s">
        <v>5400</v>
      </c>
      <c r="I1844" t="s">
        <v>43</v>
      </c>
      <c r="J1844">
        <v>2</v>
      </c>
      <c r="K1844" t="s">
        <v>44</v>
      </c>
      <c r="L1844" t="s">
        <v>45</v>
      </c>
      <c r="M1844" t="s">
        <v>46</v>
      </c>
      <c r="N1844" s="7">
        <v>1</v>
      </c>
      <c r="O1844" s="8">
        <v>45654.650092592594</v>
      </c>
      <c r="P1844" s="9">
        <v>45657</v>
      </c>
      <c r="Q1844" t="s">
        <v>74</v>
      </c>
      <c r="R1844" t="s">
        <v>48</v>
      </c>
      <c r="S1844" t="s">
        <v>49</v>
      </c>
      <c r="T1844" t="s">
        <v>101</v>
      </c>
      <c r="U1844" t="s">
        <v>5401</v>
      </c>
      <c r="V1844">
        <v>32610</v>
      </c>
      <c r="W1844" t="s">
        <v>48</v>
      </c>
      <c r="X1844" t="s">
        <v>414</v>
      </c>
      <c r="Y1844" t="s">
        <v>54</v>
      </c>
      <c r="Z1844" s="12">
        <f>IF(N1844&lt;=1,9,9+0.8*ROUNDUP(N1844-1,0))</f>
        <v>9</v>
      </c>
      <c r="AA1844" s="11">
        <v>-2</v>
      </c>
      <c r="AB1844" s="11">
        <v>0</v>
      </c>
      <c r="AC1844" s="11">
        <v>0</v>
      </c>
      <c r="AD1844" s="11">
        <v>0</v>
      </c>
      <c r="AE1844" s="11">
        <v>0</v>
      </c>
      <c r="AF1844" s="11">
        <f t="shared" si="84"/>
        <v>0.42</v>
      </c>
      <c r="AG1844" s="11">
        <f t="shared" si="85"/>
        <v>7.42</v>
      </c>
      <c r="AH1844" s="11">
        <v>0</v>
      </c>
      <c r="AI1844" s="11">
        <f t="shared" si="86"/>
        <v>7.42</v>
      </c>
      <c r="AJ1844" t="s">
        <v>62</v>
      </c>
    </row>
    <row r="1845" spans="1:36" ht="15" customHeight="1" x14ac:dyDescent="0.35">
      <c r="A1845">
        <v>10428918</v>
      </c>
      <c r="B1845" t="s">
        <v>36</v>
      </c>
      <c r="C1845" t="s">
        <v>37</v>
      </c>
      <c r="D1845" s="6" t="s">
        <v>38</v>
      </c>
      <c r="E1845" t="s">
        <v>5402</v>
      </c>
      <c r="G1845" t="s">
        <v>41</v>
      </c>
      <c r="H1845" t="s">
        <v>5403</v>
      </c>
      <c r="I1845" t="s">
        <v>43</v>
      </c>
      <c r="J1845">
        <v>2</v>
      </c>
      <c r="K1845" t="s">
        <v>44</v>
      </c>
      <c r="L1845" t="s">
        <v>45</v>
      </c>
      <c r="M1845" t="s">
        <v>46</v>
      </c>
      <c r="N1845" s="7">
        <v>2</v>
      </c>
      <c r="O1845" s="8">
        <v>45656.753564814811</v>
      </c>
      <c r="P1845" s="9">
        <v>45657</v>
      </c>
      <c r="Q1845" t="s">
        <v>74</v>
      </c>
      <c r="R1845" t="s">
        <v>48</v>
      </c>
      <c r="S1845" t="s">
        <v>49</v>
      </c>
      <c r="T1845" t="s">
        <v>65</v>
      </c>
      <c r="U1845" t="s">
        <v>5404</v>
      </c>
      <c r="V1845">
        <v>77000</v>
      </c>
      <c r="W1845" t="s">
        <v>48</v>
      </c>
      <c r="X1845" t="s">
        <v>3116</v>
      </c>
      <c r="Y1845" t="s">
        <v>54</v>
      </c>
      <c r="Z1845" s="12">
        <f>IF(N1845&lt;=1,9,9+0.8*ROUNDUP(N1845-1,0))</f>
        <v>9.8000000000000007</v>
      </c>
      <c r="AA1845" s="11">
        <v>-2</v>
      </c>
      <c r="AB1845" s="11">
        <v>0</v>
      </c>
      <c r="AC1845" s="11">
        <v>0</v>
      </c>
      <c r="AD1845" s="11">
        <v>0</v>
      </c>
      <c r="AE1845" s="11">
        <v>0</v>
      </c>
      <c r="AF1845" s="11">
        <f t="shared" si="84"/>
        <v>0.46800000000000003</v>
      </c>
      <c r="AG1845" s="11">
        <f t="shared" si="85"/>
        <v>8.2680000000000007</v>
      </c>
      <c r="AH1845" s="11">
        <v>0</v>
      </c>
      <c r="AI1845" s="11">
        <f t="shared" si="86"/>
        <v>8.2680000000000007</v>
      </c>
      <c r="AJ1845" t="s">
        <v>62</v>
      </c>
    </row>
    <row r="1846" spans="1:36" ht="15" customHeight="1" x14ac:dyDescent="0.35">
      <c r="A1846">
        <v>10428918</v>
      </c>
      <c r="B1846" t="s">
        <v>36</v>
      </c>
      <c r="C1846" t="s">
        <v>37</v>
      </c>
      <c r="D1846" s="6" t="s">
        <v>38</v>
      </c>
      <c r="E1846" t="s">
        <v>5405</v>
      </c>
      <c r="G1846" t="s">
        <v>41</v>
      </c>
      <c r="H1846" t="s">
        <v>5406</v>
      </c>
      <c r="I1846" t="s">
        <v>43</v>
      </c>
      <c r="J1846">
        <v>2</v>
      </c>
      <c r="K1846" t="s">
        <v>44</v>
      </c>
      <c r="L1846" t="s">
        <v>45</v>
      </c>
      <c r="M1846" t="s">
        <v>46</v>
      </c>
      <c r="N1846" s="7">
        <v>1</v>
      </c>
      <c r="O1846" s="8">
        <v>45654.441666666666</v>
      </c>
      <c r="P1846" s="9">
        <v>45657</v>
      </c>
      <c r="Q1846" t="s">
        <v>74</v>
      </c>
      <c r="R1846" t="s">
        <v>48</v>
      </c>
      <c r="S1846" t="s">
        <v>49</v>
      </c>
      <c r="T1846" t="s">
        <v>80</v>
      </c>
      <c r="U1846" t="s">
        <v>5407</v>
      </c>
      <c r="V1846">
        <v>6000</v>
      </c>
      <c r="W1846" t="s">
        <v>48</v>
      </c>
      <c r="X1846" t="s">
        <v>522</v>
      </c>
      <c r="Y1846" t="s">
        <v>54</v>
      </c>
      <c r="Z1846" s="12">
        <f>IF(N1846&lt;=1,9,9+0.8*ROUNDUP(N1846-1,0))</f>
        <v>9</v>
      </c>
      <c r="AA1846" s="11">
        <v>-2</v>
      </c>
      <c r="AB1846" s="11">
        <v>0</v>
      </c>
      <c r="AC1846" s="11">
        <v>0</v>
      </c>
      <c r="AD1846" s="11">
        <v>0</v>
      </c>
      <c r="AE1846" s="11">
        <v>0</v>
      </c>
      <c r="AF1846" s="11">
        <f t="shared" si="84"/>
        <v>0.42</v>
      </c>
      <c r="AG1846" s="11">
        <f t="shared" si="85"/>
        <v>7.42</v>
      </c>
      <c r="AH1846" s="11">
        <v>0</v>
      </c>
      <c r="AI1846" s="11">
        <f t="shared" si="86"/>
        <v>7.42</v>
      </c>
      <c r="AJ1846" t="s">
        <v>62</v>
      </c>
    </row>
    <row r="1847" spans="1:36" ht="15" customHeight="1" x14ac:dyDescent="0.35">
      <c r="A1847">
        <v>10428918</v>
      </c>
      <c r="B1847" t="s">
        <v>36</v>
      </c>
      <c r="C1847" t="s">
        <v>37</v>
      </c>
      <c r="D1847" s="6" t="s">
        <v>38</v>
      </c>
      <c r="E1847" t="s">
        <v>5408</v>
      </c>
      <c r="G1847" t="s">
        <v>41</v>
      </c>
      <c r="H1847" t="s">
        <v>5409</v>
      </c>
      <c r="I1847" t="s">
        <v>43</v>
      </c>
      <c r="J1847">
        <v>2</v>
      </c>
      <c r="K1847" t="s">
        <v>44</v>
      </c>
      <c r="L1847" t="s">
        <v>45</v>
      </c>
      <c r="M1847" t="s">
        <v>46</v>
      </c>
      <c r="N1847" s="7">
        <v>1</v>
      </c>
      <c r="O1847" s="8">
        <v>45655.605613425927</v>
      </c>
      <c r="P1847" s="9">
        <v>45657</v>
      </c>
      <c r="Q1847" t="s">
        <v>74</v>
      </c>
      <c r="R1847" t="s">
        <v>48</v>
      </c>
      <c r="S1847" t="s">
        <v>49</v>
      </c>
      <c r="T1847" t="s">
        <v>85</v>
      </c>
      <c r="U1847" t="s">
        <v>5410</v>
      </c>
      <c r="V1847">
        <v>73480</v>
      </c>
      <c r="W1847" t="s">
        <v>48</v>
      </c>
      <c r="X1847" t="s">
        <v>53</v>
      </c>
      <c r="Y1847" t="s">
        <v>54</v>
      </c>
      <c r="Z1847" s="12">
        <f>IF(N1847&lt;=1,9,9+0.8*ROUNDUP(N1847-1,0))</f>
        <v>9</v>
      </c>
      <c r="AA1847" s="11">
        <v>-2</v>
      </c>
      <c r="AB1847" s="11">
        <v>0</v>
      </c>
      <c r="AC1847" s="11">
        <v>0</v>
      </c>
      <c r="AD1847" s="11">
        <v>0</v>
      </c>
      <c r="AE1847" s="11">
        <v>0</v>
      </c>
      <c r="AF1847" s="11">
        <f t="shared" si="84"/>
        <v>0.42</v>
      </c>
      <c r="AG1847" s="11">
        <f t="shared" si="85"/>
        <v>7.42</v>
      </c>
      <c r="AH1847" s="11">
        <v>0</v>
      </c>
      <c r="AI1847" s="11">
        <f t="shared" si="86"/>
        <v>7.42</v>
      </c>
      <c r="AJ1847" t="s">
        <v>62</v>
      </c>
    </row>
    <row r="1848" spans="1:36" ht="15" customHeight="1" x14ac:dyDescent="0.35">
      <c r="A1848">
        <v>10428918</v>
      </c>
      <c r="B1848" t="s">
        <v>36</v>
      </c>
      <c r="C1848" t="s">
        <v>37</v>
      </c>
      <c r="D1848" s="6" t="s">
        <v>38</v>
      </c>
      <c r="E1848" t="s">
        <v>5411</v>
      </c>
      <c r="G1848" t="s">
        <v>41</v>
      </c>
      <c r="H1848" t="s">
        <v>5412</v>
      </c>
      <c r="I1848" t="s">
        <v>43</v>
      </c>
      <c r="J1848">
        <v>2</v>
      </c>
      <c r="K1848" t="s">
        <v>44</v>
      </c>
      <c r="L1848" t="s">
        <v>45</v>
      </c>
      <c r="M1848" t="s">
        <v>46</v>
      </c>
      <c r="N1848" s="7">
        <v>1</v>
      </c>
      <c r="O1848" s="8">
        <v>45655.605613425927</v>
      </c>
      <c r="P1848" s="9">
        <v>45657</v>
      </c>
      <c r="Q1848" t="s">
        <v>74</v>
      </c>
      <c r="R1848" t="s">
        <v>48</v>
      </c>
      <c r="S1848" t="s">
        <v>49</v>
      </c>
      <c r="T1848" t="s">
        <v>69</v>
      </c>
      <c r="U1848" t="s">
        <v>5413</v>
      </c>
      <c r="V1848">
        <v>82000</v>
      </c>
      <c r="W1848" t="s">
        <v>48</v>
      </c>
      <c r="X1848" t="s">
        <v>53</v>
      </c>
      <c r="Y1848" t="s">
        <v>54</v>
      </c>
      <c r="Z1848" s="12">
        <f>IF(N1848&lt;=1,9,9+0.8*ROUNDUP(N1848-1,0))</f>
        <v>9</v>
      </c>
      <c r="AA1848" s="11">
        <v>-2</v>
      </c>
      <c r="AB1848" s="11">
        <v>0</v>
      </c>
      <c r="AC1848" s="11">
        <v>0</v>
      </c>
      <c r="AD1848" s="11">
        <v>0</v>
      </c>
      <c r="AE1848" s="11">
        <v>0</v>
      </c>
      <c r="AF1848" s="11">
        <f t="shared" si="84"/>
        <v>0.42</v>
      </c>
      <c r="AG1848" s="11">
        <f t="shared" si="85"/>
        <v>7.42</v>
      </c>
      <c r="AH1848" s="11">
        <v>0</v>
      </c>
      <c r="AI1848" s="11">
        <f t="shared" si="86"/>
        <v>7.42</v>
      </c>
      <c r="AJ1848" t="s">
        <v>62</v>
      </c>
    </row>
    <row r="1849" spans="1:36" ht="15" customHeight="1" x14ac:dyDescent="0.35">
      <c r="A1849">
        <v>10428918</v>
      </c>
      <c r="B1849" t="s">
        <v>36</v>
      </c>
      <c r="C1849" t="s">
        <v>37</v>
      </c>
      <c r="D1849" s="6" t="s">
        <v>38</v>
      </c>
      <c r="E1849" t="s">
        <v>5414</v>
      </c>
      <c r="G1849" t="s">
        <v>41</v>
      </c>
      <c r="H1849" t="s">
        <v>3417</v>
      </c>
      <c r="I1849" t="s">
        <v>43</v>
      </c>
      <c r="J1849">
        <v>2</v>
      </c>
      <c r="K1849" t="s">
        <v>44</v>
      </c>
      <c r="L1849" t="s">
        <v>45</v>
      </c>
      <c r="M1849" t="s">
        <v>46</v>
      </c>
      <c r="N1849" s="7">
        <v>1</v>
      </c>
      <c r="O1849" s="8">
        <v>45655.600856481484</v>
      </c>
      <c r="P1849" s="9">
        <v>45657</v>
      </c>
      <c r="Q1849" t="s">
        <v>74</v>
      </c>
      <c r="R1849" t="s">
        <v>48</v>
      </c>
      <c r="S1849" t="s">
        <v>49</v>
      </c>
      <c r="T1849" t="s">
        <v>69</v>
      </c>
      <c r="U1849" t="s">
        <v>5415</v>
      </c>
      <c r="V1849">
        <v>83400</v>
      </c>
      <c r="W1849" t="s">
        <v>48</v>
      </c>
      <c r="X1849" t="s">
        <v>53</v>
      </c>
      <c r="Y1849" t="s">
        <v>54</v>
      </c>
      <c r="Z1849" s="12">
        <f>IF(N1849&lt;=1,9,9+0.8*ROUNDUP(N1849-1,0))</f>
        <v>9</v>
      </c>
      <c r="AA1849" s="11">
        <v>-2</v>
      </c>
      <c r="AB1849" s="11">
        <v>0</v>
      </c>
      <c r="AC1849" s="11">
        <v>0</v>
      </c>
      <c r="AD1849" s="11">
        <v>0</v>
      </c>
      <c r="AE1849" s="11">
        <v>0</v>
      </c>
      <c r="AF1849" s="11">
        <f t="shared" si="84"/>
        <v>0.42</v>
      </c>
      <c r="AG1849" s="11">
        <f t="shared" si="85"/>
        <v>7.42</v>
      </c>
      <c r="AH1849" s="11">
        <v>0</v>
      </c>
      <c r="AI1849" s="11">
        <f t="shared" si="86"/>
        <v>7.42</v>
      </c>
      <c r="AJ1849" t="s">
        <v>62</v>
      </c>
    </row>
    <row r="1850" spans="1:36" ht="15" customHeight="1" x14ac:dyDescent="0.35">
      <c r="A1850">
        <v>10428918</v>
      </c>
      <c r="B1850" t="s">
        <v>36</v>
      </c>
      <c r="C1850" t="s">
        <v>37</v>
      </c>
      <c r="D1850" s="6" t="s">
        <v>38</v>
      </c>
      <c r="E1850" t="s">
        <v>5416</v>
      </c>
      <c r="G1850" t="s">
        <v>41</v>
      </c>
      <c r="H1850" t="s">
        <v>5417</v>
      </c>
      <c r="I1850" t="s">
        <v>43</v>
      </c>
      <c r="J1850">
        <v>2</v>
      </c>
      <c r="K1850" t="s">
        <v>44</v>
      </c>
      <c r="L1850" t="s">
        <v>45</v>
      </c>
      <c r="M1850" t="s">
        <v>46</v>
      </c>
      <c r="N1850" s="7">
        <v>1</v>
      </c>
      <c r="O1850" s="8">
        <v>45655.732511574075</v>
      </c>
      <c r="P1850" s="9">
        <v>45657</v>
      </c>
      <c r="Q1850" t="s">
        <v>74</v>
      </c>
      <c r="R1850" t="s">
        <v>48</v>
      </c>
      <c r="S1850" t="s">
        <v>49</v>
      </c>
      <c r="T1850" t="s">
        <v>80</v>
      </c>
      <c r="U1850" t="s">
        <v>5418</v>
      </c>
      <c r="V1850">
        <v>8000</v>
      </c>
      <c r="W1850" t="s">
        <v>48</v>
      </c>
      <c r="X1850" t="s">
        <v>53</v>
      </c>
      <c r="Y1850" t="s">
        <v>54</v>
      </c>
      <c r="Z1850" s="12">
        <f>IF(N1850&lt;=1,9,9+0.8*ROUNDUP(N1850-1,0))</f>
        <v>9</v>
      </c>
      <c r="AA1850" s="11">
        <v>-2</v>
      </c>
      <c r="AB1850" s="11">
        <v>0</v>
      </c>
      <c r="AC1850" s="11">
        <v>0</v>
      </c>
      <c r="AD1850" s="11">
        <v>0</v>
      </c>
      <c r="AE1850" s="11">
        <v>0</v>
      </c>
      <c r="AF1850" s="11">
        <f t="shared" si="84"/>
        <v>0.42</v>
      </c>
      <c r="AG1850" s="11">
        <f t="shared" si="85"/>
        <v>7.42</v>
      </c>
      <c r="AH1850" s="11">
        <v>0</v>
      </c>
      <c r="AI1850" s="11">
        <f t="shared" si="86"/>
        <v>7.42</v>
      </c>
      <c r="AJ1850" t="s">
        <v>62</v>
      </c>
    </row>
    <row r="1851" spans="1:36" ht="15" customHeight="1" x14ac:dyDescent="0.35">
      <c r="A1851">
        <v>10428918</v>
      </c>
      <c r="B1851" t="s">
        <v>36</v>
      </c>
      <c r="C1851" t="s">
        <v>37</v>
      </c>
      <c r="D1851" s="6" t="s">
        <v>38</v>
      </c>
      <c r="E1851" t="s">
        <v>5419</v>
      </c>
      <c r="G1851" t="s">
        <v>41</v>
      </c>
      <c r="H1851" t="s">
        <v>196</v>
      </c>
      <c r="I1851" t="s">
        <v>43</v>
      </c>
      <c r="J1851">
        <v>2</v>
      </c>
      <c r="K1851" t="s">
        <v>44</v>
      </c>
      <c r="L1851" t="s">
        <v>45</v>
      </c>
      <c r="M1851" t="s">
        <v>46</v>
      </c>
      <c r="N1851" s="7">
        <v>4</v>
      </c>
      <c r="O1851" s="8">
        <v>45654.65965277778</v>
      </c>
      <c r="P1851" s="9">
        <v>45657</v>
      </c>
      <c r="Q1851" t="s">
        <v>74</v>
      </c>
      <c r="R1851" t="s">
        <v>48</v>
      </c>
      <c r="S1851" t="s">
        <v>49</v>
      </c>
      <c r="T1851" t="s">
        <v>75</v>
      </c>
      <c r="U1851" t="s">
        <v>197</v>
      </c>
      <c r="V1851">
        <v>25150</v>
      </c>
      <c r="W1851" t="s">
        <v>48</v>
      </c>
      <c r="X1851" t="s">
        <v>77</v>
      </c>
      <c r="Y1851" t="s">
        <v>54</v>
      </c>
      <c r="Z1851" s="12">
        <f>IF(N1851&lt;=1,9,9+0.8*ROUNDUP(N1851-1,0))</f>
        <v>11.4</v>
      </c>
      <c r="AA1851" s="11">
        <v>-2</v>
      </c>
      <c r="AB1851" s="11">
        <v>0</v>
      </c>
      <c r="AC1851" s="11">
        <v>0</v>
      </c>
      <c r="AD1851" s="11">
        <v>0</v>
      </c>
      <c r="AE1851" s="11">
        <v>0</v>
      </c>
      <c r="AF1851" s="11">
        <f t="shared" si="84"/>
        <v>0.56399999999999995</v>
      </c>
      <c r="AG1851" s="11">
        <f t="shared" si="85"/>
        <v>9.9640000000000004</v>
      </c>
      <c r="AH1851" s="11">
        <v>0</v>
      </c>
      <c r="AI1851" s="11">
        <f t="shared" si="86"/>
        <v>9.9640000000000004</v>
      </c>
      <c r="AJ1851" t="s">
        <v>62</v>
      </c>
    </row>
    <row r="1852" spans="1:36" ht="15" customHeight="1" x14ac:dyDescent="0.35">
      <c r="A1852">
        <v>10428918</v>
      </c>
      <c r="B1852" t="s">
        <v>36</v>
      </c>
      <c r="C1852" t="s">
        <v>37</v>
      </c>
      <c r="D1852" s="6" t="s">
        <v>38</v>
      </c>
      <c r="E1852" t="s">
        <v>5420</v>
      </c>
      <c r="G1852" t="s">
        <v>41</v>
      </c>
      <c r="H1852" t="s">
        <v>5421</v>
      </c>
      <c r="I1852" t="s">
        <v>43</v>
      </c>
      <c r="J1852">
        <v>2</v>
      </c>
      <c r="K1852" t="s">
        <v>44</v>
      </c>
      <c r="L1852" t="s">
        <v>45</v>
      </c>
      <c r="M1852" t="s">
        <v>46</v>
      </c>
      <c r="N1852" s="7">
        <v>1</v>
      </c>
      <c r="O1852" s="8">
        <v>45656.627916666665</v>
      </c>
      <c r="P1852" s="9">
        <v>45657</v>
      </c>
      <c r="Q1852" t="s">
        <v>74</v>
      </c>
      <c r="R1852" t="s">
        <v>48</v>
      </c>
      <c r="S1852" t="s">
        <v>49</v>
      </c>
      <c r="T1852" t="s">
        <v>59</v>
      </c>
      <c r="U1852" t="s">
        <v>5422</v>
      </c>
      <c r="V1852">
        <v>16800</v>
      </c>
      <c r="W1852" t="s">
        <v>48</v>
      </c>
      <c r="X1852" t="s">
        <v>61</v>
      </c>
      <c r="Y1852" t="s">
        <v>54</v>
      </c>
      <c r="Z1852" s="12">
        <f>IF(N1852&lt;=1,9,9+0.8*ROUNDUP(N1852-1,0))</f>
        <v>9</v>
      </c>
      <c r="AA1852" s="11">
        <v>-2</v>
      </c>
      <c r="AB1852" s="11">
        <v>0</v>
      </c>
      <c r="AC1852" s="11">
        <v>0</v>
      </c>
      <c r="AD1852" s="11">
        <v>0</v>
      </c>
      <c r="AE1852" s="11">
        <v>0</v>
      </c>
      <c r="AF1852" s="11">
        <f t="shared" si="84"/>
        <v>0.42</v>
      </c>
      <c r="AG1852" s="11">
        <f t="shared" si="85"/>
        <v>7.42</v>
      </c>
      <c r="AH1852" s="11">
        <v>0</v>
      </c>
      <c r="AI1852" s="11">
        <f t="shared" si="86"/>
        <v>7.42</v>
      </c>
      <c r="AJ1852" t="s">
        <v>62</v>
      </c>
    </row>
    <row r="1853" spans="1:36" ht="15" customHeight="1" x14ac:dyDescent="0.35">
      <c r="A1853">
        <v>10428918</v>
      </c>
      <c r="B1853" t="s">
        <v>36</v>
      </c>
      <c r="C1853" t="s">
        <v>37</v>
      </c>
      <c r="D1853" s="6" t="s">
        <v>38</v>
      </c>
      <c r="E1853" t="s">
        <v>5423</v>
      </c>
      <c r="G1853" t="s">
        <v>41</v>
      </c>
      <c r="H1853" t="s">
        <v>5424</v>
      </c>
      <c r="I1853" t="s">
        <v>43</v>
      </c>
      <c r="J1853">
        <v>2</v>
      </c>
      <c r="K1853" t="s">
        <v>44</v>
      </c>
      <c r="L1853" t="s">
        <v>45</v>
      </c>
      <c r="M1853" t="s">
        <v>46</v>
      </c>
      <c r="N1853" s="7">
        <v>3</v>
      </c>
      <c r="O1853" s="8">
        <v>45655.710312499999</v>
      </c>
      <c r="P1853" s="9">
        <v>45657</v>
      </c>
      <c r="Q1853" t="s">
        <v>74</v>
      </c>
      <c r="R1853" t="s">
        <v>48</v>
      </c>
      <c r="S1853" t="s">
        <v>49</v>
      </c>
      <c r="T1853" t="s">
        <v>161</v>
      </c>
      <c r="U1853" t="s">
        <v>5425</v>
      </c>
      <c r="V1853">
        <v>13210</v>
      </c>
      <c r="W1853" t="s">
        <v>48</v>
      </c>
      <c r="X1853" t="s">
        <v>812</v>
      </c>
      <c r="Y1853" t="s">
        <v>54</v>
      </c>
      <c r="Z1853" s="12">
        <f>IF(N1853&lt;=1,9,9+0.8*ROUNDUP(N1853-1,0))</f>
        <v>10.6</v>
      </c>
      <c r="AA1853" s="11">
        <v>-2</v>
      </c>
      <c r="AB1853" s="11">
        <v>0</v>
      </c>
      <c r="AC1853" s="11">
        <v>0</v>
      </c>
      <c r="AD1853" s="11">
        <v>0</v>
      </c>
      <c r="AE1853" s="11">
        <v>0</v>
      </c>
      <c r="AF1853" s="11">
        <f t="shared" si="84"/>
        <v>0.51600000000000001</v>
      </c>
      <c r="AG1853" s="11">
        <f t="shared" si="85"/>
        <v>9.1159999999999997</v>
      </c>
      <c r="AH1853" s="11">
        <v>0</v>
      </c>
      <c r="AI1853" s="11">
        <f t="shared" si="86"/>
        <v>9.1159999999999997</v>
      </c>
      <c r="AJ1853" t="s">
        <v>62</v>
      </c>
    </row>
    <row r="1854" spans="1:36" ht="15" customHeight="1" x14ac:dyDescent="0.35">
      <c r="A1854">
        <v>10428918</v>
      </c>
      <c r="B1854" t="s">
        <v>36</v>
      </c>
      <c r="C1854" t="s">
        <v>37</v>
      </c>
      <c r="D1854" s="6" t="s">
        <v>38</v>
      </c>
      <c r="E1854" t="s">
        <v>5426</v>
      </c>
      <c r="G1854" t="s">
        <v>41</v>
      </c>
      <c r="H1854" t="s">
        <v>5427</v>
      </c>
      <c r="I1854" t="s">
        <v>43</v>
      </c>
      <c r="J1854">
        <v>2</v>
      </c>
      <c r="K1854" t="s">
        <v>44</v>
      </c>
      <c r="L1854" t="s">
        <v>45</v>
      </c>
      <c r="M1854" t="s">
        <v>46</v>
      </c>
      <c r="N1854" s="7">
        <v>1</v>
      </c>
      <c r="O1854" s="8">
        <v>45654.441666666666</v>
      </c>
      <c r="P1854" s="9">
        <v>45657</v>
      </c>
      <c r="Q1854" t="s">
        <v>74</v>
      </c>
      <c r="R1854" t="s">
        <v>48</v>
      </c>
      <c r="S1854" t="s">
        <v>49</v>
      </c>
      <c r="T1854" t="s">
        <v>65</v>
      </c>
      <c r="U1854" t="s">
        <v>5428</v>
      </c>
      <c r="V1854">
        <v>75350</v>
      </c>
      <c r="W1854" t="s">
        <v>48</v>
      </c>
      <c r="X1854" t="s">
        <v>480</v>
      </c>
      <c r="Y1854" t="s">
        <v>54</v>
      </c>
      <c r="Z1854" s="12">
        <f>IF(N1854&lt;=1,9,9+0.8*ROUNDUP(N1854-1,0))</f>
        <v>9</v>
      </c>
      <c r="AA1854" s="11">
        <v>-2</v>
      </c>
      <c r="AB1854" s="11">
        <v>0</v>
      </c>
      <c r="AC1854" s="11">
        <v>0</v>
      </c>
      <c r="AD1854" s="11">
        <v>0</v>
      </c>
      <c r="AE1854" s="11">
        <v>0</v>
      </c>
      <c r="AF1854" s="11">
        <f t="shared" si="84"/>
        <v>0.42</v>
      </c>
      <c r="AG1854" s="11">
        <f t="shared" si="85"/>
        <v>7.42</v>
      </c>
      <c r="AH1854" s="11">
        <v>0</v>
      </c>
      <c r="AI1854" s="11">
        <f t="shared" si="86"/>
        <v>7.42</v>
      </c>
      <c r="AJ1854" t="s">
        <v>62</v>
      </c>
    </row>
    <row r="1855" spans="1:36" ht="15" customHeight="1" x14ac:dyDescent="0.35">
      <c r="A1855">
        <v>10428918</v>
      </c>
      <c r="B1855" t="s">
        <v>36</v>
      </c>
      <c r="C1855" t="s">
        <v>37</v>
      </c>
      <c r="D1855" s="6" t="s">
        <v>38</v>
      </c>
      <c r="E1855" t="s">
        <v>5429</v>
      </c>
      <c r="G1855" t="s">
        <v>41</v>
      </c>
      <c r="H1855" t="s">
        <v>5430</v>
      </c>
      <c r="I1855" t="s">
        <v>43</v>
      </c>
      <c r="J1855">
        <v>2</v>
      </c>
      <c r="K1855" t="s">
        <v>44</v>
      </c>
      <c r="L1855" t="s">
        <v>45</v>
      </c>
      <c r="M1855" t="s">
        <v>46</v>
      </c>
      <c r="N1855" s="7">
        <v>1</v>
      </c>
      <c r="O1855" s="8">
        <v>45656.709537037037</v>
      </c>
      <c r="P1855" s="9">
        <v>45657</v>
      </c>
      <c r="Q1855" t="s">
        <v>74</v>
      </c>
      <c r="R1855" t="s">
        <v>48</v>
      </c>
      <c r="S1855" t="s">
        <v>49</v>
      </c>
      <c r="T1855" t="s">
        <v>59</v>
      </c>
      <c r="U1855" t="s">
        <v>5431</v>
      </c>
      <c r="V1855">
        <v>16300</v>
      </c>
      <c r="W1855" t="s">
        <v>48</v>
      </c>
      <c r="X1855" t="s">
        <v>61</v>
      </c>
      <c r="Y1855" t="s">
        <v>54</v>
      </c>
      <c r="Z1855" s="12">
        <f>IF(N1855&lt;=1,9,9+0.8*ROUNDUP(N1855-1,0))</f>
        <v>9</v>
      </c>
      <c r="AA1855" s="11">
        <v>-2</v>
      </c>
      <c r="AB1855" s="11">
        <v>0</v>
      </c>
      <c r="AC1855" s="11">
        <v>0</v>
      </c>
      <c r="AD1855" s="11">
        <v>0</v>
      </c>
      <c r="AE1855" s="11">
        <v>0</v>
      </c>
      <c r="AF1855" s="11">
        <f t="shared" si="84"/>
        <v>0.42</v>
      </c>
      <c r="AG1855" s="11">
        <f t="shared" si="85"/>
        <v>7.42</v>
      </c>
      <c r="AH1855" s="11">
        <v>0</v>
      </c>
      <c r="AI1855" s="11">
        <f t="shared" si="86"/>
        <v>7.42</v>
      </c>
      <c r="AJ1855" t="s">
        <v>62</v>
      </c>
    </row>
    <row r="1856" spans="1:36" ht="15" customHeight="1" x14ac:dyDescent="0.35">
      <c r="A1856">
        <v>10428918</v>
      </c>
      <c r="B1856" t="s">
        <v>36</v>
      </c>
      <c r="C1856" t="s">
        <v>37</v>
      </c>
      <c r="D1856" s="6" t="s">
        <v>38</v>
      </c>
      <c r="E1856" t="s">
        <v>5432</v>
      </c>
      <c r="G1856" t="s">
        <v>41</v>
      </c>
      <c r="H1856" t="s">
        <v>5433</v>
      </c>
      <c r="I1856" t="s">
        <v>43</v>
      </c>
      <c r="J1856">
        <v>2</v>
      </c>
      <c r="K1856" t="s">
        <v>44</v>
      </c>
      <c r="L1856" t="s">
        <v>45</v>
      </c>
      <c r="M1856" t="s">
        <v>46</v>
      </c>
      <c r="N1856" s="7">
        <v>3</v>
      </c>
      <c r="O1856" s="8">
        <v>45643.455613425926</v>
      </c>
      <c r="P1856" s="9">
        <v>45657</v>
      </c>
      <c r="Q1856" t="s">
        <v>74</v>
      </c>
      <c r="R1856" t="s">
        <v>48</v>
      </c>
      <c r="S1856" t="s">
        <v>49</v>
      </c>
      <c r="T1856" t="s">
        <v>75</v>
      </c>
      <c r="U1856" t="s">
        <v>5434</v>
      </c>
      <c r="V1856">
        <v>25150</v>
      </c>
      <c r="W1856" t="s">
        <v>48</v>
      </c>
      <c r="X1856" t="s">
        <v>77</v>
      </c>
      <c r="Y1856" t="s">
        <v>54</v>
      </c>
      <c r="Z1856" s="12">
        <f>IF(N1856&lt;=1,9,9+0.8*ROUNDUP(N1856-1,0))</f>
        <v>10.6</v>
      </c>
      <c r="AA1856" s="11">
        <v>-2</v>
      </c>
      <c r="AB1856" s="11">
        <v>0</v>
      </c>
      <c r="AC1856" s="11">
        <v>0</v>
      </c>
      <c r="AD1856" s="11">
        <v>0</v>
      </c>
      <c r="AE1856" s="11">
        <v>0</v>
      </c>
      <c r="AF1856" s="11">
        <f t="shared" si="84"/>
        <v>0.51600000000000001</v>
      </c>
      <c r="AG1856" s="11">
        <f t="shared" si="85"/>
        <v>9.1159999999999997</v>
      </c>
      <c r="AH1856" s="11">
        <v>0</v>
      </c>
      <c r="AI1856" s="11">
        <f t="shared" si="86"/>
        <v>9.1159999999999997</v>
      </c>
      <c r="AJ1856" t="s">
        <v>62</v>
      </c>
    </row>
    <row r="1857" spans="1:36" ht="15" customHeight="1" x14ac:dyDescent="0.35">
      <c r="A1857">
        <v>10428918</v>
      </c>
      <c r="B1857" t="s">
        <v>36</v>
      </c>
      <c r="C1857" t="s">
        <v>37</v>
      </c>
      <c r="D1857" s="6" t="s">
        <v>38</v>
      </c>
      <c r="E1857" t="s">
        <v>5435</v>
      </c>
      <c r="G1857" t="s">
        <v>41</v>
      </c>
      <c r="H1857" t="s">
        <v>5436</v>
      </c>
      <c r="I1857" t="s">
        <v>43</v>
      </c>
      <c r="J1857">
        <v>2</v>
      </c>
      <c r="K1857" t="s">
        <v>44</v>
      </c>
      <c r="L1857" t="s">
        <v>45</v>
      </c>
      <c r="M1857" t="s">
        <v>46</v>
      </c>
      <c r="N1857" s="7">
        <v>1</v>
      </c>
      <c r="O1857" s="8">
        <v>45655.743807870371</v>
      </c>
      <c r="P1857" s="9">
        <v>45657</v>
      </c>
      <c r="Q1857" t="s">
        <v>74</v>
      </c>
      <c r="R1857" t="s">
        <v>48</v>
      </c>
      <c r="S1857" t="s">
        <v>49</v>
      </c>
      <c r="T1857" t="s">
        <v>170</v>
      </c>
      <c r="U1857" t="s">
        <v>5437</v>
      </c>
      <c r="V1857">
        <v>51200</v>
      </c>
      <c r="W1857" t="s">
        <v>48</v>
      </c>
      <c r="X1857" t="s">
        <v>1794</v>
      </c>
      <c r="Y1857" t="s">
        <v>54</v>
      </c>
      <c r="Z1857" s="12">
        <f>IF(N1857&lt;=1,9,9+0.8*ROUNDUP(N1857-1,0))</f>
        <v>9</v>
      </c>
      <c r="AA1857" s="11">
        <v>-2</v>
      </c>
      <c r="AB1857" s="11">
        <v>0</v>
      </c>
      <c r="AC1857" s="11">
        <v>0</v>
      </c>
      <c r="AD1857" s="11">
        <v>0</v>
      </c>
      <c r="AE1857" s="11">
        <v>0</v>
      </c>
      <c r="AF1857" s="11">
        <f t="shared" si="84"/>
        <v>0.42</v>
      </c>
      <c r="AG1857" s="11">
        <f t="shared" si="85"/>
        <v>7.42</v>
      </c>
      <c r="AH1857" s="11">
        <v>0</v>
      </c>
      <c r="AI1857" s="11">
        <f t="shared" si="86"/>
        <v>7.42</v>
      </c>
      <c r="AJ1857" t="s">
        <v>62</v>
      </c>
    </row>
    <row r="1858" spans="1:36" ht="15" customHeight="1" x14ac:dyDescent="0.35">
      <c r="A1858">
        <v>10428918</v>
      </c>
      <c r="B1858" t="s">
        <v>36</v>
      </c>
      <c r="C1858" t="s">
        <v>37</v>
      </c>
      <c r="D1858" s="6" t="s">
        <v>38</v>
      </c>
      <c r="E1858" t="s">
        <v>5438</v>
      </c>
      <c r="G1858" t="s">
        <v>41</v>
      </c>
      <c r="H1858" t="s">
        <v>5439</v>
      </c>
      <c r="I1858" t="s">
        <v>43</v>
      </c>
      <c r="J1858">
        <v>2</v>
      </c>
      <c r="K1858" t="s">
        <v>44</v>
      </c>
      <c r="L1858" t="s">
        <v>45</v>
      </c>
      <c r="M1858" t="s">
        <v>46</v>
      </c>
      <c r="N1858" s="7">
        <v>1</v>
      </c>
      <c r="O1858" s="8">
        <v>45655.58861111111</v>
      </c>
      <c r="P1858" s="9">
        <v>45657</v>
      </c>
      <c r="Q1858" t="s">
        <v>74</v>
      </c>
      <c r="R1858" t="s">
        <v>48</v>
      </c>
      <c r="S1858" t="s">
        <v>49</v>
      </c>
      <c r="T1858" t="s">
        <v>69</v>
      </c>
      <c r="U1858" t="s">
        <v>5440</v>
      </c>
      <c r="V1858">
        <v>80350</v>
      </c>
      <c r="W1858" t="s">
        <v>48</v>
      </c>
      <c r="X1858" t="s">
        <v>761</v>
      </c>
      <c r="Y1858" t="s">
        <v>54</v>
      </c>
      <c r="Z1858" s="12">
        <f>IF(N1858&lt;=1,9,9+0.8*ROUNDUP(N1858-1,0))</f>
        <v>9</v>
      </c>
      <c r="AA1858" s="11">
        <v>-2</v>
      </c>
      <c r="AB1858" s="11">
        <v>0</v>
      </c>
      <c r="AC1858" s="11">
        <v>0</v>
      </c>
      <c r="AD1858" s="11">
        <v>0</v>
      </c>
      <c r="AE1858" s="11">
        <v>0</v>
      </c>
      <c r="AF1858" s="11">
        <f t="shared" ref="AF1858:AF1893" si="87">(Z1858+AA1858+AC1858+AE1858)*6%</f>
        <v>0.42</v>
      </c>
      <c r="AG1858" s="11">
        <f t="shared" ref="AG1858:AG1893" si="88">Z1858+AA1858+AC1858+AE1858+AF1858</f>
        <v>7.42</v>
      </c>
      <c r="AH1858" s="11">
        <v>0</v>
      </c>
      <c r="AI1858" s="11">
        <f t="shared" ref="AI1858:AI1893" si="89">AG1858+AH1858</f>
        <v>7.42</v>
      </c>
      <c r="AJ1858" t="s">
        <v>62</v>
      </c>
    </row>
    <row r="1859" spans="1:36" ht="15" customHeight="1" x14ac:dyDescent="0.35">
      <c r="A1859">
        <v>10428918</v>
      </c>
      <c r="B1859" t="s">
        <v>36</v>
      </c>
      <c r="C1859" t="s">
        <v>37</v>
      </c>
      <c r="D1859" s="6" t="s">
        <v>38</v>
      </c>
      <c r="E1859" t="s">
        <v>5441</v>
      </c>
      <c r="G1859" t="s">
        <v>41</v>
      </c>
      <c r="H1859" t="s">
        <v>5442</v>
      </c>
      <c r="I1859" t="s">
        <v>43</v>
      </c>
      <c r="J1859">
        <v>2</v>
      </c>
      <c r="K1859" t="s">
        <v>44</v>
      </c>
      <c r="L1859" t="s">
        <v>45</v>
      </c>
      <c r="M1859" t="s">
        <v>46</v>
      </c>
      <c r="N1859" s="7">
        <v>1</v>
      </c>
      <c r="O1859" s="8">
        <v>45655.817627314813</v>
      </c>
      <c r="P1859" s="9">
        <v>45657</v>
      </c>
      <c r="Q1859" t="s">
        <v>74</v>
      </c>
      <c r="R1859" t="s">
        <v>48</v>
      </c>
      <c r="S1859" t="s">
        <v>49</v>
      </c>
      <c r="T1859" t="s">
        <v>90</v>
      </c>
      <c r="U1859" t="s">
        <v>5443</v>
      </c>
      <c r="V1859">
        <v>22000</v>
      </c>
      <c r="W1859" t="s">
        <v>48</v>
      </c>
      <c r="X1859" t="s">
        <v>61</v>
      </c>
      <c r="Y1859" t="s">
        <v>54</v>
      </c>
      <c r="Z1859" s="12">
        <f>IF(N1859&lt;=1,9,9+0.8*ROUNDUP(N1859-1,0))</f>
        <v>9</v>
      </c>
      <c r="AA1859" s="11">
        <v>-2</v>
      </c>
      <c r="AB1859" s="11">
        <v>0</v>
      </c>
      <c r="AC1859" s="11">
        <v>0</v>
      </c>
      <c r="AD1859" s="11">
        <v>0</v>
      </c>
      <c r="AE1859" s="11">
        <v>0</v>
      </c>
      <c r="AF1859" s="11">
        <f t="shared" si="87"/>
        <v>0.42</v>
      </c>
      <c r="AG1859" s="11">
        <f t="shared" si="88"/>
        <v>7.42</v>
      </c>
      <c r="AH1859" s="11">
        <v>0</v>
      </c>
      <c r="AI1859" s="11">
        <f t="shared" si="89"/>
        <v>7.42</v>
      </c>
      <c r="AJ1859" t="s">
        <v>62</v>
      </c>
    </row>
    <row r="1860" spans="1:36" ht="15" customHeight="1" x14ac:dyDescent="0.35">
      <c r="A1860">
        <v>10428918</v>
      </c>
      <c r="B1860" t="s">
        <v>36</v>
      </c>
      <c r="C1860" t="s">
        <v>37</v>
      </c>
      <c r="D1860" s="6" t="s">
        <v>38</v>
      </c>
      <c r="E1860" t="s">
        <v>5444</v>
      </c>
      <c r="G1860" t="s">
        <v>41</v>
      </c>
      <c r="H1860" t="s">
        <v>5445</v>
      </c>
      <c r="I1860" t="s">
        <v>43</v>
      </c>
      <c r="J1860">
        <v>2</v>
      </c>
      <c r="K1860" t="s">
        <v>44</v>
      </c>
      <c r="L1860" t="s">
        <v>45</v>
      </c>
      <c r="M1860" t="s">
        <v>46</v>
      </c>
      <c r="N1860" s="7">
        <v>4</v>
      </c>
      <c r="O1860" s="8">
        <v>45655.600856481484</v>
      </c>
      <c r="P1860" s="9">
        <v>45657</v>
      </c>
      <c r="Q1860" t="s">
        <v>74</v>
      </c>
      <c r="R1860" t="s">
        <v>48</v>
      </c>
      <c r="S1860" t="s">
        <v>49</v>
      </c>
      <c r="T1860" t="s">
        <v>117</v>
      </c>
      <c r="U1860" t="s">
        <v>5446</v>
      </c>
      <c r="V1860">
        <v>40460</v>
      </c>
      <c r="W1860" t="s">
        <v>48</v>
      </c>
      <c r="X1860" t="s">
        <v>1458</v>
      </c>
      <c r="Y1860" t="s">
        <v>54</v>
      </c>
      <c r="Z1860" s="12">
        <f>IF(N1860&lt;=1,9,9+0.8*ROUNDUP(N1860-1,0))</f>
        <v>11.4</v>
      </c>
      <c r="AA1860" s="11">
        <v>-2</v>
      </c>
      <c r="AB1860" s="11">
        <v>0</v>
      </c>
      <c r="AC1860" s="11">
        <v>0</v>
      </c>
      <c r="AD1860" s="11">
        <v>0</v>
      </c>
      <c r="AE1860" s="11">
        <v>0</v>
      </c>
      <c r="AF1860" s="11">
        <f t="shared" si="87"/>
        <v>0.56399999999999995</v>
      </c>
      <c r="AG1860" s="11">
        <f t="shared" si="88"/>
        <v>9.9640000000000004</v>
      </c>
      <c r="AH1860" s="11">
        <v>0</v>
      </c>
      <c r="AI1860" s="11">
        <f t="shared" si="89"/>
        <v>9.9640000000000004</v>
      </c>
      <c r="AJ1860" t="s">
        <v>62</v>
      </c>
    </row>
    <row r="1861" spans="1:36" ht="15" customHeight="1" x14ac:dyDescent="0.35">
      <c r="A1861">
        <v>10428918</v>
      </c>
      <c r="B1861" t="s">
        <v>36</v>
      </c>
      <c r="C1861" t="s">
        <v>37</v>
      </c>
      <c r="D1861" s="6" t="s">
        <v>38</v>
      </c>
      <c r="E1861" t="s">
        <v>5447</v>
      </c>
      <c r="G1861" t="s">
        <v>41</v>
      </c>
      <c r="H1861" t="s">
        <v>5448</v>
      </c>
      <c r="I1861" t="s">
        <v>43</v>
      </c>
      <c r="J1861">
        <v>2</v>
      </c>
      <c r="K1861" t="s">
        <v>44</v>
      </c>
      <c r="L1861" t="s">
        <v>45</v>
      </c>
      <c r="M1861" t="s">
        <v>46</v>
      </c>
      <c r="N1861" s="7">
        <v>2</v>
      </c>
      <c r="O1861" s="8">
        <v>45654.64403935185</v>
      </c>
      <c r="P1861" s="9">
        <v>45657</v>
      </c>
      <c r="Q1861" t="s">
        <v>74</v>
      </c>
      <c r="R1861" t="s">
        <v>48</v>
      </c>
      <c r="S1861" t="s">
        <v>49</v>
      </c>
      <c r="T1861" t="s">
        <v>117</v>
      </c>
      <c r="U1861" t="s">
        <v>5449</v>
      </c>
      <c r="V1861">
        <v>40150</v>
      </c>
      <c r="W1861" t="s">
        <v>48</v>
      </c>
      <c r="X1861" t="s">
        <v>53</v>
      </c>
      <c r="Y1861" t="s">
        <v>54</v>
      </c>
      <c r="Z1861" s="12">
        <f>IF(N1861&lt;=1,9,9+0.8*ROUNDUP(N1861-1,0))</f>
        <v>9.8000000000000007</v>
      </c>
      <c r="AA1861" s="11">
        <v>-2</v>
      </c>
      <c r="AB1861" s="11">
        <v>0</v>
      </c>
      <c r="AC1861" s="11">
        <v>0</v>
      </c>
      <c r="AD1861" s="11">
        <v>0</v>
      </c>
      <c r="AE1861" s="11">
        <v>0</v>
      </c>
      <c r="AF1861" s="11">
        <f t="shared" si="87"/>
        <v>0.46800000000000003</v>
      </c>
      <c r="AG1861" s="11">
        <f t="shared" si="88"/>
        <v>8.2680000000000007</v>
      </c>
      <c r="AH1861" s="11">
        <v>0</v>
      </c>
      <c r="AI1861" s="11">
        <f t="shared" si="89"/>
        <v>8.2680000000000007</v>
      </c>
      <c r="AJ1861" t="s">
        <v>62</v>
      </c>
    </row>
    <row r="1862" spans="1:36" ht="15" customHeight="1" x14ac:dyDescent="0.35">
      <c r="A1862">
        <v>10428918</v>
      </c>
      <c r="B1862" t="s">
        <v>36</v>
      </c>
      <c r="C1862" t="s">
        <v>37</v>
      </c>
      <c r="D1862" s="6" t="s">
        <v>38</v>
      </c>
      <c r="E1862" t="s">
        <v>5450</v>
      </c>
      <c r="G1862" t="s">
        <v>41</v>
      </c>
      <c r="H1862" t="s">
        <v>5451</v>
      </c>
      <c r="I1862" t="s">
        <v>43</v>
      </c>
      <c r="J1862">
        <v>2</v>
      </c>
      <c r="K1862" t="s">
        <v>44</v>
      </c>
      <c r="L1862" t="s">
        <v>45</v>
      </c>
      <c r="M1862" t="s">
        <v>46</v>
      </c>
      <c r="N1862" s="7">
        <v>5</v>
      </c>
      <c r="O1862" s="8">
        <v>45654.843113425923</v>
      </c>
      <c r="P1862" s="9">
        <v>45657</v>
      </c>
      <c r="Q1862" t="s">
        <v>74</v>
      </c>
      <c r="R1862" t="s">
        <v>48</v>
      </c>
      <c r="S1862" t="s">
        <v>49</v>
      </c>
      <c r="T1862" t="s">
        <v>117</v>
      </c>
      <c r="U1862" t="s">
        <v>5452</v>
      </c>
      <c r="V1862">
        <v>48000</v>
      </c>
      <c r="W1862" t="s">
        <v>48</v>
      </c>
      <c r="X1862" t="s">
        <v>254</v>
      </c>
      <c r="Y1862" t="s">
        <v>54</v>
      </c>
      <c r="Z1862" s="12">
        <f>IF(N1862&lt;=1,9,9+0.8*ROUNDUP(N1862-1,0))</f>
        <v>12.2</v>
      </c>
      <c r="AA1862" s="11">
        <v>-2</v>
      </c>
      <c r="AB1862" s="11">
        <v>0</v>
      </c>
      <c r="AC1862" s="11">
        <v>0</v>
      </c>
      <c r="AD1862" s="11">
        <v>0</v>
      </c>
      <c r="AE1862" s="11">
        <v>0</v>
      </c>
      <c r="AF1862" s="11">
        <f t="shared" si="87"/>
        <v>0.61199999999999999</v>
      </c>
      <c r="AG1862" s="11">
        <f t="shared" si="88"/>
        <v>10.811999999999999</v>
      </c>
      <c r="AH1862" s="11">
        <v>0</v>
      </c>
      <c r="AI1862" s="11">
        <f t="shared" si="89"/>
        <v>10.811999999999999</v>
      </c>
      <c r="AJ1862" t="s">
        <v>62</v>
      </c>
    </row>
    <row r="1863" spans="1:36" ht="15" customHeight="1" x14ac:dyDescent="0.35">
      <c r="A1863">
        <v>10428918</v>
      </c>
      <c r="B1863" t="s">
        <v>36</v>
      </c>
      <c r="C1863" t="s">
        <v>37</v>
      </c>
      <c r="D1863" s="6" t="s">
        <v>38</v>
      </c>
      <c r="E1863" t="s">
        <v>5453</v>
      </c>
      <c r="G1863" t="s">
        <v>41</v>
      </c>
      <c r="H1863" t="s">
        <v>5454</v>
      </c>
      <c r="I1863" t="s">
        <v>43</v>
      </c>
      <c r="J1863">
        <v>2</v>
      </c>
      <c r="K1863" t="s">
        <v>44</v>
      </c>
      <c r="L1863" t="s">
        <v>45</v>
      </c>
      <c r="M1863" t="s">
        <v>46</v>
      </c>
      <c r="N1863" s="7">
        <v>1</v>
      </c>
      <c r="O1863" s="8">
        <v>45655.817627314813</v>
      </c>
      <c r="P1863" s="9">
        <v>45657</v>
      </c>
      <c r="Q1863" t="s">
        <v>74</v>
      </c>
      <c r="R1863" t="s">
        <v>48</v>
      </c>
      <c r="S1863" t="s">
        <v>49</v>
      </c>
      <c r="T1863" t="s">
        <v>59</v>
      </c>
      <c r="U1863" t="s">
        <v>5455</v>
      </c>
      <c r="V1863">
        <v>18000</v>
      </c>
      <c r="W1863" t="s">
        <v>48</v>
      </c>
      <c r="X1863" t="s">
        <v>61</v>
      </c>
      <c r="Y1863" t="s">
        <v>54</v>
      </c>
      <c r="Z1863" s="12">
        <f>IF(N1863&lt;=1,9,9+0.8*ROUNDUP(N1863-1,0))</f>
        <v>9</v>
      </c>
      <c r="AA1863" s="11">
        <v>-2</v>
      </c>
      <c r="AB1863" s="11">
        <v>0</v>
      </c>
      <c r="AC1863" s="11">
        <v>0</v>
      </c>
      <c r="AD1863" s="11">
        <v>0</v>
      </c>
      <c r="AE1863" s="11">
        <v>0</v>
      </c>
      <c r="AF1863" s="11">
        <f t="shared" si="87"/>
        <v>0.42</v>
      </c>
      <c r="AG1863" s="11">
        <f t="shared" si="88"/>
        <v>7.42</v>
      </c>
      <c r="AH1863" s="11">
        <v>0</v>
      </c>
      <c r="AI1863" s="11">
        <f t="shared" si="89"/>
        <v>7.42</v>
      </c>
      <c r="AJ1863" t="s">
        <v>62</v>
      </c>
    </row>
    <row r="1864" spans="1:36" ht="15" customHeight="1" x14ac:dyDescent="0.35">
      <c r="A1864">
        <v>10428918</v>
      </c>
      <c r="B1864" t="s">
        <v>36</v>
      </c>
      <c r="C1864" t="s">
        <v>37</v>
      </c>
      <c r="D1864" s="6" t="s">
        <v>38</v>
      </c>
      <c r="E1864" t="s">
        <v>5456</v>
      </c>
      <c r="G1864" t="s">
        <v>41</v>
      </c>
      <c r="H1864" t="s">
        <v>5457</v>
      </c>
      <c r="I1864" t="s">
        <v>43</v>
      </c>
      <c r="J1864">
        <v>2</v>
      </c>
      <c r="K1864" t="s">
        <v>44</v>
      </c>
      <c r="L1864" t="s">
        <v>45</v>
      </c>
      <c r="M1864" t="s">
        <v>46</v>
      </c>
      <c r="N1864" s="7">
        <v>1</v>
      </c>
      <c r="O1864" s="8">
        <v>45655.605613425927</v>
      </c>
      <c r="P1864" s="9">
        <v>45657</v>
      </c>
      <c r="Q1864" t="s">
        <v>74</v>
      </c>
      <c r="R1864" t="s">
        <v>48</v>
      </c>
      <c r="S1864" t="s">
        <v>49</v>
      </c>
      <c r="T1864" t="s">
        <v>80</v>
      </c>
      <c r="U1864" t="s">
        <v>5458</v>
      </c>
      <c r="V1864">
        <v>9400</v>
      </c>
      <c r="W1864" t="s">
        <v>48</v>
      </c>
      <c r="X1864" t="s">
        <v>690</v>
      </c>
      <c r="Y1864" t="s">
        <v>54</v>
      </c>
      <c r="Z1864" s="12">
        <f>IF(N1864&lt;=1,9,9+0.8*ROUNDUP(N1864-1,0))</f>
        <v>9</v>
      </c>
      <c r="AA1864" s="11">
        <v>-2</v>
      </c>
      <c r="AB1864" s="11">
        <v>0</v>
      </c>
      <c r="AC1864" s="11">
        <v>0</v>
      </c>
      <c r="AD1864" s="11">
        <v>0</v>
      </c>
      <c r="AE1864" s="11">
        <v>0</v>
      </c>
      <c r="AF1864" s="11">
        <f t="shared" si="87"/>
        <v>0.42</v>
      </c>
      <c r="AG1864" s="11">
        <f t="shared" si="88"/>
        <v>7.42</v>
      </c>
      <c r="AH1864" s="11">
        <v>0</v>
      </c>
      <c r="AI1864" s="11">
        <f t="shared" si="89"/>
        <v>7.42</v>
      </c>
      <c r="AJ1864" t="s">
        <v>62</v>
      </c>
    </row>
    <row r="1865" spans="1:36" ht="15" customHeight="1" x14ac:dyDescent="0.35">
      <c r="A1865">
        <v>10428918</v>
      </c>
      <c r="B1865" t="s">
        <v>36</v>
      </c>
      <c r="C1865" t="s">
        <v>37</v>
      </c>
      <c r="D1865" s="6" t="s">
        <v>38</v>
      </c>
      <c r="E1865" t="s">
        <v>5459</v>
      </c>
      <c r="G1865" t="s">
        <v>41</v>
      </c>
      <c r="H1865" t="s">
        <v>5460</v>
      </c>
      <c r="I1865" t="s">
        <v>43</v>
      </c>
      <c r="J1865">
        <v>2</v>
      </c>
      <c r="K1865" t="s">
        <v>44</v>
      </c>
      <c r="L1865" t="s">
        <v>45</v>
      </c>
      <c r="M1865" t="s">
        <v>46</v>
      </c>
      <c r="N1865" s="7">
        <v>1</v>
      </c>
      <c r="O1865" s="8">
        <v>45654.441666666666</v>
      </c>
      <c r="P1865" s="9">
        <v>45657</v>
      </c>
      <c r="Q1865" t="s">
        <v>74</v>
      </c>
      <c r="R1865" t="s">
        <v>48</v>
      </c>
      <c r="S1865" t="s">
        <v>49</v>
      </c>
      <c r="T1865" t="s">
        <v>85</v>
      </c>
      <c r="U1865" t="s">
        <v>5461</v>
      </c>
      <c r="V1865">
        <v>71950</v>
      </c>
      <c r="W1865" t="s">
        <v>48</v>
      </c>
      <c r="X1865" t="s">
        <v>503</v>
      </c>
      <c r="Y1865" t="s">
        <v>54</v>
      </c>
      <c r="Z1865" s="12">
        <f>IF(N1865&lt;=1,9,9+0.8*ROUNDUP(N1865-1,0))</f>
        <v>9</v>
      </c>
      <c r="AA1865" s="11">
        <v>-2</v>
      </c>
      <c r="AB1865" s="11">
        <v>0</v>
      </c>
      <c r="AC1865" s="11">
        <v>0</v>
      </c>
      <c r="AD1865" s="11">
        <v>0</v>
      </c>
      <c r="AE1865" s="11">
        <v>0</v>
      </c>
      <c r="AF1865" s="11">
        <f t="shared" si="87"/>
        <v>0.42</v>
      </c>
      <c r="AG1865" s="11">
        <f t="shared" si="88"/>
        <v>7.42</v>
      </c>
      <c r="AH1865" s="11">
        <v>0</v>
      </c>
      <c r="AI1865" s="11">
        <f t="shared" si="89"/>
        <v>7.42</v>
      </c>
      <c r="AJ1865" t="s">
        <v>62</v>
      </c>
    </row>
    <row r="1866" spans="1:36" ht="15" customHeight="1" x14ac:dyDescent="0.35">
      <c r="A1866">
        <v>10428918</v>
      </c>
      <c r="B1866" t="s">
        <v>36</v>
      </c>
      <c r="C1866" t="s">
        <v>37</v>
      </c>
      <c r="D1866" s="6" t="s">
        <v>38</v>
      </c>
      <c r="E1866" t="s">
        <v>5462</v>
      </c>
      <c r="G1866" t="s">
        <v>41</v>
      </c>
      <c r="H1866" t="s">
        <v>5463</v>
      </c>
      <c r="I1866" t="s">
        <v>43</v>
      </c>
      <c r="J1866">
        <v>2</v>
      </c>
      <c r="K1866" t="s">
        <v>44</v>
      </c>
      <c r="L1866" t="s">
        <v>45</v>
      </c>
      <c r="M1866" t="s">
        <v>46</v>
      </c>
      <c r="N1866" s="7">
        <v>2</v>
      </c>
      <c r="O1866" s="8">
        <v>45654.441666666666</v>
      </c>
      <c r="P1866" s="9">
        <v>45657</v>
      </c>
      <c r="Q1866" t="s">
        <v>74</v>
      </c>
      <c r="R1866" t="s">
        <v>48</v>
      </c>
      <c r="S1866" t="s">
        <v>49</v>
      </c>
      <c r="T1866" t="s">
        <v>69</v>
      </c>
      <c r="U1866" t="s">
        <v>5464</v>
      </c>
      <c r="V1866">
        <v>80350</v>
      </c>
      <c r="W1866" t="s">
        <v>48</v>
      </c>
      <c r="X1866" t="s">
        <v>53</v>
      </c>
      <c r="Y1866" t="s">
        <v>54</v>
      </c>
      <c r="Z1866" s="12">
        <f>IF(N1866&lt;=1,9,9+0.8*ROUNDUP(N1866-1,0))</f>
        <v>9.8000000000000007</v>
      </c>
      <c r="AA1866" s="11">
        <v>-2</v>
      </c>
      <c r="AB1866" s="11">
        <v>0</v>
      </c>
      <c r="AC1866" s="11">
        <v>0</v>
      </c>
      <c r="AD1866" s="11">
        <v>0</v>
      </c>
      <c r="AE1866" s="11">
        <v>0</v>
      </c>
      <c r="AF1866" s="11">
        <f t="shared" si="87"/>
        <v>0.46800000000000003</v>
      </c>
      <c r="AG1866" s="11">
        <f t="shared" si="88"/>
        <v>8.2680000000000007</v>
      </c>
      <c r="AH1866" s="11">
        <v>0</v>
      </c>
      <c r="AI1866" s="11">
        <f t="shared" si="89"/>
        <v>8.2680000000000007</v>
      </c>
      <c r="AJ1866" t="s">
        <v>62</v>
      </c>
    </row>
    <row r="1867" spans="1:36" ht="15" customHeight="1" x14ac:dyDescent="0.35">
      <c r="A1867">
        <v>10428918</v>
      </c>
      <c r="B1867" t="s">
        <v>36</v>
      </c>
      <c r="C1867" t="s">
        <v>37</v>
      </c>
      <c r="D1867" s="6" t="s">
        <v>38</v>
      </c>
      <c r="E1867" t="s">
        <v>5465</v>
      </c>
      <c r="G1867" t="s">
        <v>41</v>
      </c>
      <c r="H1867" t="s">
        <v>5466</v>
      </c>
      <c r="I1867" t="s">
        <v>43</v>
      </c>
      <c r="J1867">
        <v>2</v>
      </c>
      <c r="K1867" t="s">
        <v>44</v>
      </c>
      <c r="L1867" t="s">
        <v>45</v>
      </c>
      <c r="M1867" t="s">
        <v>46</v>
      </c>
      <c r="N1867" s="7">
        <v>3</v>
      </c>
      <c r="O1867" s="8">
        <v>45654.650868055556</v>
      </c>
      <c r="P1867" s="9">
        <v>45657</v>
      </c>
      <c r="Q1867" t="s">
        <v>74</v>
      </c>
      <c r="R1867" t="s">
        <v>48</v>
      </c>
      <c r="S1867" t="s">
        <v>49</v>
      </c>
      <c r="T1867" t="s">
        <v>80</v>
      </c>
      <c r="U1867" t="s">
        <v>5467</v>
      </c>
      <c r="V1867">
        <v>6600</v>
      </c>
      <c r="W1867" t="s">
        <v>48</v>
      </c>
      <c r="X1867" t="s">
        <v>137</v>
      </c>
      <c r="Y1867" t="s">
        <v>54</v>
      </c>
      <c r="Z1867" s="12">
        <f>IF(N1867&lt;=1,9,9+0.8*ROUNDUP(N1867-1,0))</f>
        <v>10.6</v>
      </c>
      <c r="AA1867" s="11">
        <v>-2</v>
      </c>
      <c r="AB1867" s="11">
        <v>0</v>
      </c>
      <c r="AC1867" s="11">
        <v>0</v>
      </c>
      <c r="AD1867" s="11">
        <v>0</v>
      </c>
      <c r="AE1867" s="11">
        <v>0</v>
      </c>
      <c r="AF1867" s="11">
        <f t="shared" si="87"/>
        <v>0.51600000000000001</v>
      </c>
      <c r="AG1867" s="11">
        <f t="shared" si="88"/>
        <v>9.1159999999999997</v>
      </c>
      <c r="AH1867" s="11">
        <v>0</v>
      </c>
      <c r="AI1867" s="11">
        <f t="shared" si="89"/>
        <v>9.1159999999999997</v>
      </c>
      <c r="AJ1867" t="s">
        <v>62</v>
      </c>
    </row>
    <row r="1868" spans="1:36" ht="15" customHeight="1" x14ac:dyDescent="0.35">
      <c r="A1868">
        <v>10428918</v>
      </c>
      <c r="B1868" t="s">
        <v>36</v>
      </c>
      <c r="C1868" t="s">
        <v>37</v>
      </c>
      <c r="D1868" s="6" t="s">
        <v>38</v>
      </c>
      <c r="E1868" t="s">
        <v>5468</v>
      </c>
      <c r="G1868" t="s">
        <v>41</v>
      </c>
      <c r="H1868" t="s">
        <v>3995</v>
      </c>
      <c r="I1868" t="s">
        <v>43</v>
      </c>
      <c r="J1868">
        <v>2</v>
      </c>
      <c r="K1868" t="s">
        <v>44</v>
      </c>
      <c r="L1868" t="s">
        <v>45</v>
      </c>
      <c r="M1868" t="s">
        <v>46</v>
      </c>
      <c r="N1868" s="7">
        <v>1</v>
      </c>
      <c r="O1868" s="8">
        <v>45655.532719907409</v>
      </c>
      <c r="P1868" s="9">
        <v>45657</v>
      </c>
      <c r="Q1868" t="s">
        <v>74</v>
      </c>
      <c r="R1868" t="s">
        <v>48</v>
      </c>
      <c r="S1868" t="s">
        <v>49</v>
      </c>
      <c r="T1868" t="s">
        <v>75</v>
      </c>
      <c r="U1868" t="s">
        <v>5469</v>
      </c>
      <c r="V1868">
        <v>28030</v>
      </c>
      <c r="W1868" t="s">
        <v>48</v>
      </c>
      <c r="X1868" t="s">
        <v>77</v>
      </c>
      <c r="Y1868" t="s">
        <v>54</v>
      </c>
      <c r="Z1868" s="12">
        <f>IF(N1868&lt;=1,9,9+0.8*ROUNDUP(N1868-1,0))</f>
        <v>9</v>
      </c>
      <c r="AA1868" s="11">
        <v>-2</v>
      </c>
      <c r="AB1868" s="11">
        <v>0</v>
      </c>
      <c r="AC1868" s="11">
        <v>0</v>
      </c>
      <c r="AD1868" s="11">
        <v>0</v>
      </c>
      <c r="AE1868" s="11">
        <v>0</v>
      </c>
      <c r="AF1868" s="11">
        <f t="shared" si="87"/>
        <v>0.42</v>
      </c>
      <c r="AG1868" s="11">
        <f t="shared" si="88"/>
        <v>7.42</v>
      </c>
      <c r="AH1868" s="11">
        <v>0</v>
      </c>
      <c r="AI1868" s="11">
        <f t="shared" si="89"/>
        <v>7.42</v>
      </c>
      <c r="AJ1868" t="s">
        <v>62</v>
      </c>
    </row>
    <row r="1869" spans="1:36" ht="15" customHeight="1" x14ac:dyDescent="0.35">
      <c r="A1869">
        <v>10428918</v>
      </c>
      <c r="B1869" t="s">
        <v>36</v>
      </c>
      <c r="C1869" t="s">
        <v>37</v>
      </c>
      <c r="D1869" s="6" t="s">
        <v>38</v>
      </c>
      <c r="E1869" t="s">
        <v>5470</v>
      </c>
      <c r="G1869" t="s">
        <v>41</v>
      </c>
      <c r="H1869" t="s">
        <v>5471</v>
      </c>
      <c r="I1869" t="s">
        <v>43</v>
      </c>
      <c r="J1869">
        <v>2</v>
      </c>
      <c r="K1869" t="s">
        <v>44</v>
      </c>
      <c r="L1869" t="s">
        <v>45</v>
      </c>
      <c r="M1869" t="s">
        <v>46</v>
      </c>
      <c r="N1869" s="7">
        <v>1</v>
      </c>
      <c r="O1869" s="8">
        <v>45655.550740740742</v>
      </c>
      <c r="P1869" s="9">
        <v>45657</v>
      </c>
      <c r="Q1869" t="s">
        <v>74</v>
      </c>
      <c r="R1869" t="s">
        <v>48</v>
      </c>
      <c r="S1869" t="s">
        <v>49</v>
      </c>
      <c r="T1869" t="s">
        <v>85</v>
      </c>
      <c r="U1869" t="s">
        <v>5472</v>
      </c>
      <c r="V1869">
        <v>71800</v>
      </c>
      <c r="W1869" t="s">
        <v>48</v>
      </c>
      <c r="X1869" t="s">
        <v>266</v>
      </c>
      <c r="Y1869" t="s">
        <v>54</v>
      </c>
      <c r="Z1869" s="12">
        <f>IF(N1869&lt;=1,9,9+0.8*ROUNDUP(N1869-1,0))</f>
        <v>9</v>
      </c>
      <c r="AA1869" s="11">
        <v>-2</v>
      </c>
      <c r="AB1869" s="11">
        <v>0</v>
      </c>
      <c r="AC1869" s="11">
        <v>0</v>
      </c>
      <c r="AD1869" s="11">
        <v>0</v>
      </c>
      <c r="AE1869" s="11">
        <v>0</v>
      </c>
      <c r="AF1869" s="11">
        <f t="shared" si="87"/>
        <v>0.42</v>
      </c>
      <c r="AG1869" s="11">
        <f t="shared" si="88"/>
        <v>7.42</v>
      </c>
      <c r="AH1869" s="11">
        <v>0</v>
      </c>
      <c r="AI1869" s="11">
        <f t="shared" si="89"/>
        <v>7.42</v>
      </c>
      <c r="AJ1869" t="s">
        <v>62</v>
      </c>
    </row>
    <row r="1870" spans="1:36" ht="15" customHeight="1" x14ac:dyDescent="0.35">
      <c r="A1870">
        <v>10428918</v>
      </c>
      <c r="B1870" t="s">
        <v>36</v>
      </c>
      <c r="C1870" t="s">
        <v>37</v>
      </c>
      <c r="D1870" s="6" t="s">
        <v>38</v>
      </c>
      <c r="E1870" t="s">
        <v>5473</v>
      </c>
      <c r="G1870" t="s">
        <v>41</v>
      </c>
      <c r="H1870" t="s">
        <v>5474</v>
      </c>
      <c r="I1870" t="s">
        <v>43</v>
      </c>
      <c r="J1870">
        <v>2</v>
      </c>
      <c r="K1870" t="s">
        <v>44</v>
      </c>
      <c r="L1870" t="s">
        <v>45</v>
      </c>
      <c r="M1870" t="s">
        <v>46</v>
      </c>
      <c r="N1870" s="7">
        <v>2</v>
      </c>
      <c r="O1870" s="8">
        <v>45654.650081018517</v>
      </c>
      <c r="P1870" s="9">
        <v>45657</v>
      </c>
      <c r="Q1870" t="s">
        <v>74</v>
      </c>
      <c r="R1870" t="s">
        <v>48</v>
      </c>
      <c r="S1870" t="s">
        <v>49</v>
      </c>
      <c r="T1870" t="s">
        <v>101</v>
      </c>
      <c r="U1870" t="s">
        <v>5475</v>
      </c>
      <c r="V1870">
        <v>31350</v>
      </c>
      <c r="W1870" t="s">
        <v>48</v>
      </c>
      <c r="X1870" t="s">
        <v>53</v>
      </c>
      <c r="Y1870" t="s">
        <v>54</v>
      </c>
      <c r="Z1870" s="12">
        <f>IF(N1870&lt;=1,9,9+0.8*ROUNDUP(N1870-1,0))</f>
        <v>9.8000000000000007</v>
      </c>
      <c r="AA1870" s="11">
        <v>-2</v>
      </c>
      <c r="AB1870" s="11">
        <v>0</v>
      </c>
      <c r="AC1870" s="11">
        <v>0</v>
      </c>
      <c r="AD1870" s="11">
        <v>0</v>
      </c>
      <c r="AE1870" s="11">
        <v>0</v>
      </c>
      <c r="AF1870" s="11">
        <f t="shared" si="87"/>
        <v>0.46800000000000003</v>
      </c>
      <c r="AG1870" s="11">
        <f t="shared" si="88"/>
        <v>8.2680000000000007</v>
      </c>
      <c r="AH1870" s="11">
        <v>0</v>
      </c>
      <c r="AI1870" s="11">
        <f t="shared" si="89"/>
        <v>8.2680000000000007</v>
      </c>
      <c r="AJ1870" t="s">
        <v>62</v>
      </c>
    </row>
    <row r="1871" spans="1:36" ht="15" customHeight="1" x14ac:dyDescent="0.35">
      <c r="A1871">
        <v>10428918</v>
      </c>
      <c r="B1871" t="s">
        <v>36</v>
      </c>
      <c r="C1871" t="s">
        <v>37</v>
      </c>
      <c r="D1871" s="6" t="s">
        <v>38</v>
      </c>
      <c r="E1871" t="s">
        <v>5476</v>
      </c>
      <c r="G1871" t="s">
        <v>41</v>
      </c>
      <c r="H1871" t="s">
        <v>5477</v>
      </c>
      <c r="I1871" t="s">
        <v>43</v>
      </c>
      <c r="J1871">
        <v>2</v>
      </c>
      <c r="K1871" t="s">
        <v>44</v>
      </c>
      <c r="L1871" t="s">
        <v>45</v>
      </c>
      <c r="M1871" t="s">
        <v>46</v>
      </c>
      <c r="N1871" s="7">
        <v>1</v>
      </c>
      <c r="O1871" s="8">
        <v>45654.441678240742</v>
      </c>
      <c r="P1871" s="9">
        <v>45657</v>
      </c>
      <c r="Q1871" t="s">
        <v>74</v>
      </c>
      <c r="R1871" t="s">
        <v>48</v>
      </c>
      <c r="S1871" t="s">
        <v>49</v>
      </c>
      <c r="T1871" t="s">
        <v>117</v>
      </c>
      <c r="U1871" t="s">
        <v>5478</v>
      </c>
      <c r="V1871">
        <v>40170</v>
      </c>
      <c r="W1871" t="s">
        <v>48</v>
      </c>
      <c r="X1871" t="s">
        <v>429</v>
      </c>
      <c r="Y1871" t="s">
        <v>54</v>
      </c>
      <c r="Z1871" s="12">
        <f>IF(N1871&lt;=1,9,9+0.8*ROUNDUP(N1871-1,0))</f>
        <v>9</v>
      </c>
      <c r="AA1871" s="11">
        <v>-2</v>
      </c>
      <c r="AB1871" s="11">
        <v>0</v>
      </c>
      <c r="AC1871" s="11">
        <v>0</v>
      </c>
      <c r="AD1871" s="11">
        <v>0</v>
      </c>
      <c r="AE1871" s="11">
        <v>0</v>
      </c>
      <c r="AF1871" s="11">
        <f t="shared" si="87"/>
        <v>0.42</v>
      </c>
      <c r="AG1871" s="11">
        <f t="shared" si="88"/>
        <v>7.42</v>
      </c>
      <c r="AH1871" s="11">
        <v>0</v>
      </c>
      <c r="AI1871" s="11">
        <f t="shared" si="89"/>
        <v>7.42</v>
      </c>
      <c r="AJ1871" t="s">
        <v>62</v>
      </c>
    </row>
    <row r="1872" spans="1:36" ht="15" customHeight="1" x14ac:dyDescent="0.35">
      <c r="A1872">
        <v>10428918</v>
      </c>
      <c r="B1872" t="s">
        <v>36</v>
      </c>
      <c r="C1872" t="s">
        <v>37</v>
      </c>
      <c r="D1872" s="6" t="s">
        <v>38</v>
      </c>
      <c r="E1872" t="s">
        <v>5479</v>
      </c>
      <c r="G1872" t="s">
        <v>41</v>
      </c>
      <c r="H1872" t="s">
        <v>5480</v>
      </c>
      <c r="I1872" t="s">
        <v>43</v>
      </c>
      <c r="J1872">
        <v>2</v>
      </c>
      <c r="K1872" t="s">
        <v>44</v>
      </c>
      <c r="L1872" t="s">
        <v>45</v>
      </c>
      <c r="M1872" t="s">
        <v>46</v>
      </c>
      <c r="N1872" s="7">
        <v>3</v>
      </c>
      <c r="O1872" s="8">
        <v>45654.64403935185</v>
      </c>
      <c r="P1872" s="9">
        <v>45657</v>
      </c>
      <c r="Q1872" t="s">
        <v>74</v>
      </c>
      <c r="R1872" t="s">
        <v>48</v>
      </c>
      <c r="S1872" t="s">
        <v>49</v>
      </c>
      <c r="T1872" t="s">
        <v>69</v>
      </c>
      <c r="U1872" t="s">
        <v>5481</v>
      </c>
      <c r="V1872">
        <v>81200</v>
      </c>
      <c r="W1872" t="s">
        <v>48</v>
      </c>
      <c r="X1872" t="s">
        <v>211</v>
      </c>
      <c r="Y1872" t="s">
        <v>54</v>
      </c>
      <c r="Z1872" s="12">
        <f>IF(N1872&lt;=1,9,9+0.8*ROUNDUP(N1872-1,0))</f>
        <v>10.6</v>
      </c>
      <c r="AA1872" s="11">
        <v>-2</v>
      </c>
      <c r="AB1872" s="11">
        <v>0</v>
      </c>
      <c r="AC1872" s="11">
        <v>0</v>
      </c>
      <c r="AD1872" s="11">
        <v>0</v>
      </c>
      <c r="AE1872" s="11">
        <v>0</v>
      </c>
      <c r="AF1872" s="11">
        <f t="shared" si="87"/>
        <v>0.51600000000000001</v>
      </c>
      <c r="AG1872" s="11">
        <f t="shared" si="88"/>
        <v>9.1159999999999997</v>
      </c>
      <c r="AH1872" s="11">
        <v>0</v>
      </c>
      <c r="AI1872" s="11">
        <f t="shared" si="89"/>
        <v>9.1159999999999997</v>
      </c>
      <c r="AJ1872" t="s">
        <v>62</v>
      </c>
    </row>
    <row r="1873" spans="1:36" ht="15" customHeight="1" x14ac:dyDescent="0.35">
      <c r="A1873">
        <v>10428918</v>
      </c>
      <c r="B1873" t="s">
        <v>36</v>
      </c>
      <c r="C1873" t="s">
        <v>37</v>
      </c>
      <c r="D1873" s="6" t="s">
        <v>38</v>
      </c>
      <c r="E1873" t="s">
        <v>5482</v>
      </c>
      <c r="G1873" t="s">
        <v>41</v>
      </c>
      <c r="H1873" t="s">
        <v>5483</v>
      </c>
      <c r="I1873" t="s">
        <v>43</v>
      </c>
      <c r="J1873">
        <v>2</v>
      </c>
      <c r="K1873" t="s">
        <v>44</v>
      </c>
      <c r="L1873" t="s">
        <v>45</v>
      </c>
      <c r="M1873" t="s">
        <v>46</v>
      </c>
      <c r="N1873" s="7">
        <v>2</v>
      </c>
      <c r="O1873" s="8">
        <v>45654.65966435185</v>
      </c>
      <c r="P1873" s="9">
        <v>45657</v>
      </c>
      <c r="Q1873" t="s">
        <v>74</v>
      </c>
      <c r="R1873" t="s">
        <v>48</v>
      </c>
      <c r="S1873" t="s">
        <v>49</v>
      </c>
      <c r="T1873" t="s">
        <v>117</v>
      </c>
      <c r="U1873" t="s">
        <v>5484</v>
      </c>
      <c r="V1873">
        <v>47100</v>
      </c>
      <c r="W1873" t="s">
        <v>48</v>
      </c>
      <c r="X1873" t="s">
        <v>53</v>
      </c>
      <c r="Y1873" t="s">
        <v>54</v>
      </c>
      <c r="Z1873" s="12">
        <f>IF(N1873&lt;=1,9,9+0.8*ROUNDUP(N1873-1,0))</f>
        <v>9.8000000000000007</v>
      </c>
      <c r="AA1873" s="11">
        <v>-2</v>
      </c>
      <c r="AB1873" s="11">
        <v>0</v>
      </c>
      <c r="AC1873" s="11">
        <v>0</v>
      </c>
      <c r="AD1873" s="11">
        <v>0</v>
      </c>
      <c r="AE1873" s="11">
        <v>0</v>
      </c>
      <c r="AF1873" s="11">
        <f t="shared" si="87"/>
        <v>0.46800000000000003</v>
      </c>
      <c r="AG1873" s="11">
        <f t="shared" si="88"/>
        <v>8.2680000000000007</v>
      </c>
      <c r="AH1873" s="11">
        <v>0</v>
      </c>
      <c r="AI1873" s="11">
        <f t="shared" si="89"/>
        <v>8.2680000000000007</v>
      </c>
      <c r="AJ1873" t="s">
        <v>62</v>
      </c>
    </row>
    <row r="1874" spans="1:36" ht="15" customHeight="1" x14ac:dyDescent="0.35">
      <c r="A1874">
        <v>10428918</v>
      </c>
      <c r="B1874" t="s">
        <v>36</v>
      </c>
      <c r="C1874" t="s">
        <v>37</v>
      </c>
      <c r="D1874" s="6" t="s">
        <v>38</v>
      </c>
      <c r="E1874" t="s">
        <v>5485</v>
      </c>
      <c r="G1874" t="s">
        <v>41</v>
      </c>
      <c r="H1874" t="s">
        <v>5486</v>
      </c>
      <c r="I1874" t="s">
        <v>43</v>
      </c>
      <c r="J1874">
        <v>2</v>
      </c>
      <c r="K1874" t="s">
        <v>44</v>
      </c>
      <c r="L1874" t="s">
        <v>45</v>
      </c>
      <c r="M1874" t="s">
        <v>46</v>
      </c>
      <c r="N1874" s="7">
        <v>2</v>
      </c>
      <c r="O1874" s="8">
        <v>45654.441666666666</v>
      </c>
      <c r="P1874" s="9">
        <v>45657</v>
      </c>
      <c r="Q1874" t="s">
        <v>74</v>
      </c>
      <c r="R1874" t="s">
        <v>48</v>
      </c>
      <c r="S1874" t="s">
        <v>49</v>
      </c>
      <c r="T1874" t="s">
        <v>69</v>
      </c>
      <c r="U1874" t="s">
        <v>5487</v>
      </c>
      <c r="V1874">
        <v>81440</v>
      </c>
      <c r="W1874" t="s">
        <v>48</v>
      </c>
      <c r="X1874" t="s">
        <v>861</v>
      </c>
      <c r="Y1874" t="s">
        <v>54</v>
      </c>
      <c r="Z1874" s="12">
        <f>IF(N1874&lt;=1,9,9+0.8*ROUNDUP(N1874-1,0))</f>
        <v>9.8000000000000007</v>
      </c>
      <c r="AA1874" s="11">
        <v>-2</v>
      </c>
      <c r="AB1874" s="11">
        <v>0</v>
      </c>
      <c r="AC1874" s="11">
        <v>0</v>
      </c>
      <c r="AD1874" s="11">
        <v>0</v>
      </c>
      <c r="AE1874" s="11">
        <v>0</v>
      </c>
      <c r="AF1874" s="11">
        <f t="shared" si="87"/>
        <v>0.46800000000000003</v>
      </c>
      <c r="AG1874" s="11">
        <f t="shared" si="88"/>
        <v>8.2680000000000007</v>
      </c>
      <c r="AH1874" s="11">
        <v>0</v>
      </c>
      <c r="AI1874" s="11">
        <f t="shared" si="89"/>
        <v>8.2680000000000007</v>
      </c>
      <c r="AJ1874" t="s">
        <v>62</v>
      </c>
    </row>
    <row r="1875" spans="1:36" ht="15" customHeight="1" x14ac:dyDescent="0.35">
      <c r="A1875">
        <v>10428918</v>
      </c>
      <c r="B1875" t="s">
        <v>36</v>
      </c>
      <c r="C1875" t="s">
        <v>37</v>
      </c>
      <c r="D1875" s="6" t="s">
        <v>38</v>
      </c>
      <c r="E1875" t="s">
        <v>5488</v>
      </c>
      <c r="G1875" t="s">
        <v>41</v>
      </c>
      <c r="H1875" t="s">
        <v>5489</v>
      </c>
      <c r="I1875" t="s">
        <v>43</v>
      </c>
      <c r="J1875">
        <v>2</v>
      </c>
      <c r="K1875" t="s">
        <v>44</v>
      </c>
      <c r="L1875" t="s">
        <v>45</v>
      </c>
      <c r="M1875" t="s">
        <v>46</v>
      </c>
      <c r="N1875" s="7">
        <v>1</v>
      </c>
      <c r="O1875" s="8">
        <v>45656.618275462963</v>
      </c>
      <c r="P1875" s="9">
        <v>45657</v>
      </c>
      <c r="Q1875" t="s">
        <v>74</v>
      </c>
      <c r="R1875" t="s">
        <v>48</v>
      </c>
      <c r="S1875" t="s">
        <v>49</v>
      </c>
      <c r="T1875" t="s">
        <v>117</v>
      </c>
      <c r="U1875" t="s">
        <v>5490</v>
      </c>
      <c r="V1875">
        <v>43800</v>
      </c>
      <c r="W1875" t="s">
        <v>48</v>
      </c>
      <c r="X1875" t="s">
        <v>254</v>
      </c>
      <c r="Y1875" t="s">
        <v>54</v>
      </c>
      <c r="Z1875" s="12">
        <f>IF(N1875&lt;=1,9,9+0.8*ROUNDUP(N1875-1,0))</f>
        <v>9</v>
      </c>
      <c r="AA1875" s="11">
        <v>-2</v>
      </c>
      <c r="AB1875" s="11">
        <v>0</v>
      </c>
      <c r="AC1875" s="11">
        <v>0</v>
      </c>
      <c r="AD1875" s="11">
        <v>0</v>
      </c>
      <c r="AE1875" s="11">
        <v>0</v>
      </c>
      <c r="AF1875" s="11">
        <f t="shared" si="87"/>
        <v>0.42</v>
      </c>
      <c r="AG1875" s="11">
        <f t="shared" si="88"/>
        <v>7.42</v>
      </c>
      <c r="AH1875" s="11">
        <v>0</v>
      </c>
      <c r="AI1875" s="11">
        <f t="shared" si="89"/>
        <v>7.42</v>
      </c>
      <c r="AJ1875" t="s">
        <v>62</v>
      </c>
    </row>
    <row r="1876" spans="1:36" ht="15" customHeight="1" x14ac:dyDescent="0.35">
      <c r="A1876">
        <v>10428918</v>
      </c>
      <c r="B1876" t="s">
        <v>36</v>
      </c>
      <c r="C1876" t="s">
        <v>37</v>
      </c>
      <c r="D1876" s="6" t="s">
        <v>38</v>
      </c>
      <c r="E1876" t="s">
        <v>5491</v>
      </c>
      <c r="G1876" t="s">
        <v>41</v>
      </c>
      <c r="H1876" t="s">
        <v>5492</v>
      </c>
      <c r="I1876" t="s">
        <v>43</v>
      </c>
      <c r="J1876">
        <v>2</v>
      </c>
      <c r="K1876" t="s">
        <v>44</v>
      </c>
      <c r="L1876" t="s">
        <v>45</v>
      </c>
      <c r="M1876" t="s">
        <v>46</v>
      </c>
      <c r="N1876" s="7">
        <v>1</v>
      </c>
      <c r="O1876" s="8">
        <v>45656.636238425926</v>
      </c>
      <c r="P1876" s="9">
        <v>45657</v>
      </c>
      <c r="Q1876" t="s">
        <v>74</v>
      </c>
      <c r="R1876" t="s">
        <v>48</v>
      </c>
      <c r="S1876" t="s">
        <v>49</v>
      </c>
      <c r="T1876" t="s">
        <v>117</v>
      </c>
      <c r="U1876" t="s">
        <v>5493</v>
      </c>
      <c r="V1876">
        <v>42700</v>
      </c>
      <c r="W1876" t="s">
        <v>48</v>
      </c>
      <c r="X1876" t="s">
        <v>901</v>
      </c>
      <c r="Y1876" t="s">
        <v>54</v>
      </c>
      <c r="Z1876" s="12">
        <f>IF(N1876&lt;=1,9,9+0.8*ROUNDUP(N1876-1,0))</f>
        <v>9</v>
      </c>
      <c r="AA1876" s="11">
        <v>-2</v>
      </c>
      <c r="AB1876" s="11">
        <v>0</v>
      </c>
      <c r="AC1876" s="11">
        <v>0</v>
      </c>
      <c r="AD1876" s="11">
        <v>0</v>
      </c>
      <c r="AE1876" s="11">
        <v>0</v>
      </c>
      <c r="AF1876" s="11">
        <f t="shared" si="87"/>
        <v>0.42</v>
      </c>
      <c r="AG1876" s="11">
        <f t="shared" si="88"/>
        <v>7.42</v>
      </c>
      <c r="AH1876" s="11">
        <v>0</v>
      </c>
      <c r="AI1876" s="11">
        <f t="shared" si="89"/>
        <v>7.42</v>
      </c>
      <c r="AJ1876" t="s">
        <v>62</v>
      </c>
    </row>
    <row r="1877" spans="1:36" ht="15" customHeight="1" x14ac:dyDescent="0.35">
      <c r="A1877">
        <v>10428918</v>
      </c>
      <c r="B1877" t="s">
        <v>36</v>
      </c>
      <c r="C1877" t="s">
        <v>37</v>
      </c>
      <c r="D1877" s="6" t="s">
        <v>38</v>
      </c>
      <c r="E1877" t="s">
        <v>5494</v>
      </c>
      <c r="G1877" t="s">
        <v>41</v>
      </c>
      <c r="H1877" t="s">
        <v>5495</v>
      </c>
      <c r="I1877" t="s">
        <v>43</v>
      </c>
      <c r="J1877">
        <v>2</v>
      </c>
      <c r="K1877" t="s">
        <v>44</v>
      </c>
      <c r="L1877" t="s">
        <v>45</v>
      </c>
      <c r="M1877" t="s">
        <v>46</v>
      </c>
      <c r="N1877" s="7">
        <v>1</v>
      </c>
      <c r="O1877" s="8">
        <v>45655.655868055554</v>
      </c>
      <c r="P1877" s="9">
        <v>45657</v>
      </c>
      <c r="Q1877" t="s">
        <v>74</v>
      </c>
      <c r="R1877" t="s">
        <v>48</v>
      </c>
      <c r="S1877" t="s">
        <v>49</v>
      </c>
      <c r="T1877" t="s">
        <v>59</v>
      </c>
      <c r="U1877" t="s">
        <v>5496</v>
      </c>
      <c r="V1877">
        <v>17500</v>
      </c>
      <c r="W1877" t="s">
        <v>48</v>
      </c>
      <c r="X1877" t="s">
        <v>61</v>
      </c>
      <c r="Y1877" t="s">
        <v>54</v>
      </c>
      <c r="Z1877" s="12">
        <f>IF(N1877&lt;=1,9,9+0.8*ROUNDUP(N1877-1,0))</f>
        <v>9</v>
      </c>
      <c r="AA1877" s="11">
        <v>-2</v>
      </c>
      <c r="AB1877" s="11">
        <v>0</v>
      </c>
      <c r="AC1877" s="11">
        <v>0</v>
      </c>
      <c r="AD1877" s="11">
        <v>0</v>
      </c>
      <c r="AE1877" s="11">
        <v>0</v>
      </c>
      <c r="AF1877" s="11">
        <f t="shared" si="87"/>
        <v>0.42</v>
      </c>
      <c r="AG1877" s="11">
        <f t="shared" si="88"/>
        <v>7.42</v>
      </c>
      <c r="AH1877" s="11">
        <v>0</v>
      </c>
      <c r="AI1877" s="11">
        <f t="shared" si="89"/>
        <v>7.42</v>
      </c>
      <c r="AJ1877" t="s">
        <v>62</v>
      </c>
    </row>
    <row r="1878" spans="1:36" ht="15" customHeight="1" x14ac:dyDescent="0.35">
      <c r="A1878">
        <v>10428918</v>
      </c>
      <c r="B1878" t="s">
        <v>36</v>
      </c>
      <c r="C1878" t="s">
        <v>37</v>
      </c>
      <c r="D1878" s="6" t="s">
        <v>38</v>
      </c>
      <c r="E1878" t="s">
        <v>5497</v>
      </c>
      <c r="G1878" t="s">
        <v>41</v>
      </c>
      <c r="H1878" t="s">
        <v>5498</v>
      </c>
      <c r="I1878" t="s">
        <v>43</v>
      </c>
      <c r="J1878">
        <v>2</v>
      </c>
      <c r="K1878" t="s">
        <v>44</v>
      </c>
      <c r="L1878" t="s">
        <v>45</v>
      </c>
      <c r="M1878" t="s">
        <v>46</v>
      </c>
      <c r="N1878" s="7">
        <v>1</v>
      </c>
      <c r="O1878" s="8">
        <v>45655.539687500001</v>
      </c>
      <c r="P1878" s="9">
        <v>45657</v>
      </c>
      <c r="Q1878" t="s">
        <v>74</v>
      </c>
      <c r="R1878" t="s">
        <v>48</v>
      </c>
      <c r="S1878" t="s">
        <v>49</v>
      </c>
      <c r="T1878" t="s">
        <v>80</v>
      </c>
      <c r="U1878" t="s">
        <v>5499</v>
      </c>
      <c r="V1878">
        <v>9000</v>
      </c>
      <c r="W1878" t="s">
        <v>48</v>
      </c>
      <c r="X1878" t="s">
        <v>53</v>
      </c>
      <c r="Y1878" t="s">
        <v>54</v>
      </c>
      <c r="Z1878" s="12">
        <f>IF(N1878&lt;=1,9,9+0.8*ROUNDUP(N1878-1,0))</f>
        <v>9</v>
      </c>
      <c r="AA1878" s="11">
        <v>-2</v>
      </c>
      <c r="AB1878" s="11">
        <v>0</v>
      </c>
      <c r="AC1878" s="11">
        <v>0</v>
      </c>
      <c r="AD1878" s="11">
        <v>0</v>
      </c>
      <c r="AE1878" s="11">
        <v>0</v>
      </c>
      <c r="AF1878" s="11">
        <f t="shared" si="87"/>
        <v>0.42</v>
      </c>
      <c r="AG1878" s="11">
        <f t="shared" si="88"/>
        <v>7.42</v>
      </c>
      <c r="AH1878" s="11">
        <v>0</v>
      </c>
      <c r="AI1878" s="11">
        <f t="shared" si="89"/>
        <v>7.42</v>
      </c>
      <c r="AJ1878" t="s">
        <v>62</v>
      </c>
    </row>
    <row r="1879" spans="1:36" ht="15" customHeight="1" x14ac:dyDescent="0.35">
      <c r="A1879">
        <v>10428918</v>
      </c>
      <c r="B1879" t="s">
        <v>36</v>
      </c>
      <c r="C1879" t="s">
        <v>37</v>
      </c>
      <c r="D1879" s="6" t="s">
        <v>38</v>
      </c>
      <c r="E1879" t="s">
        <v>5500</v>
      </c>
      <c r="G1879" t="s">
        <v>41</v>
      </c>
      <c r="H1879" t="s">
        <v>5501</v>
      </c>
      <c r="I1879" t="s">
        <v>43</v>
      </c>
      <c r="J1879">
        <v>2</v>
      </c>
      <c r="K1879" t="s">
        <v>44</v>
      </c>
      <c r="L1879" t="s">
        <v>45</v>
      </c>
      <c r="M1879" t="s">
        <v>46</v>
      </c>
      <c r="N1879" s="7">
        <v>1</v>
      </c>
      <c r="O1879" s="8">
        <v>45654.441678240742</v>
      </c>
      <c r="P1879" s="9">
        <v>45657</v>
      </c>
      <c r="Q1879" t="s">
        <v>74</v>
      </c>
      <c r="R1879" t="s">
        <v>48</v>
      </c>
      <c r="S1879" t="s">
        <v>49</v>
      </c>
      <c r="T1879" t="s">
        <v>117</v>
      </c>
      <c r="U1879" t="s">
        <v>5502</v>
      </c>
      <c r="V1879">
        <v>48000</v>
      </c>
      <c r="W1879" t="s">
        <v>48</v>
      </c>
      <c r="X1879" t="s">
        <v>254</v>
      </c>
      <c r="Y1879" t="s">
        <v>54</v>
      </c>
      <c r="Z1879" s="12">
        <f>IF(N1879&lt;=1,9,9+0.8*ROUNDUP(N1879-1,0))</f>
        <v>9</v>
      </c>
      <c r="AA1879" s="11">
        <v>-2</v>
      </c>
      <c r="AB1879" s="11">
        <v>0</v>
      </c>
      <c r="AC1879" s="11">
        <v>0</v>
      </c>
      <c r="AD1879" s="11">
        <v>0</v>
      </c>
      <c r="AE1879" s="11">
        <v>0</v>
      </c>
      <c r="AF1879" s="11">
        <f t="shared" si="87"/>
        <v>0.42</v>
      </c>
      <c r="AG1879" s="11">
        <f t="shared" si="88"/>
        <v>7.42</v>
      </c>
      <c r="AH1879" s="11">
        <v>0</v>
      </c>
      <c r="AI1879" s="11">
        <f t="shared" si="89"/>
        <v>7.42</v>
      </c>
      <c r="AJ1879" t="s">
        <v>62</v>
      </c>
    </row>
    <row r="1880" spans="1:36" ht="15" customHeight="1" x14ac:dyDescent="0.35">
      <c r="A1880">
        <v>10428918</v>
      </c>
      <c r="B1880" t="s">
        <v>36</v>
      </c>
      <c r="C1880" t="s">
        <v>37</v>
      </c>
      <c r="D1880" s="6" t="s">
        <v>38</v>
      </c>
      <c r="E1880" t="s">
        <v>5503</v>
      </c>
      <c r="G1880" t="s">
        <v>41</v>
      </c>
      <c r="H1880" t="s">
        <v>5504</v>
      </c>
      <c r="I1880" t="s">
        <v>43</v>
      </c>
      <c r="J1880">
        <v>2</v>
      </c>
      <c r="K1880" t="s">
        <v>44</v>
      </c>
      <c r="L1880" t="s">
        <v>45</v>
      </c>
      <c r="M1880" t="s">
        <v>46</v>
      </c>
      <c r="N1880" s="7">
        <v>2</v>
      </c>
      <c r="O1880" s="8">
        <v>45654.441678240742</v>
      </c>
      <c r="P1880" s="9">
        <v>45657</v>
      </c>
      <c r="Q1880" t="s">
        <v>74</v>
      </c>
      <c r="R1880" t="s">
        <v>48</v>
      </c>
      <c r="S1880" t="s">
        <v>49</v>
      </c>
      <c r="T1880" t="s">
        <v>101</v>
      </c>
      <c r="U1880" t="s">
        <v>5505</v>
      </c>
      <c r="V1880">
        <v>34300</v>
      </c>
      <c r="W1880" t="s">
        <v>48</v>
      </c>
      <c r="X1880" t="s">
        <v>53</v>
      </c>
      <c r="Y1880" t="s">
        <v>54</v>
      </c>
      <c r="Z1880" s="12">
        <f>IF(N1880&lt;=1,9,9+0.8*ROUNDUP(N1880-1,0))</f>
        <v>9.8000000000000007</v>
      </c>
      <c r="AA1880" s="11">
        <v>-2</v>
      </c>
      <c r="AB1880" s="11">
        <v>0</v>
      </c>
      <c r="AC1880" s="11">
        <v>0</v>
      </c>
      <c r="AD1880" s="11">
        <v>0</v>
      </c>
      <c r="AE1880" s="11">
        <v>0</v>
      </c>
      <c r="AF1880" s="11">
        <f t="shared" si="87"/>
        <v>0.46800000000000003</v>
      </c>
      <c r="AG1880" s="11">
        <f t="shared" si="88"/>
        <v>8.2680000000000007</v>
      </c>
      <c r="AH1880" s="11">
        <v>0</v>
      </c>
      <c r="AI1880" s="11">
        <f t="shared" si="89"/>
        <v>8.2680000000000007</v>
      </c>
      <c r="AJ1880" t="s">
        <v>62</v>
      </c>
    </row>
    <row r="1881" spans="1:36" ht="15" customHeight="1" x14ac:dyDescent="0.35">
      <c r="A1881">
        <v>10428918</v>
      </c>
      <c r="B1881" t="s">
        <v>36</v>
      </c>
      <c r="C1881" t="s">
        <v>37</v>
      </c>
      <c r="D1881" s="6" t="s">
        <v>38</v>
      </c>
      <c r="E1881" t="s">
        <v>5506</v>
      </c>
      <c r="G1881" t="s">
        <v>41</v>
      </c>
      <c r="H1881" t="s">
        <v>5507</v>
      </c>
      <c r="I1881" t="s">
        <v>43</v>
      </c>
      <c r="J1881">
        <v>2</v>
      </c>
      <c r="K1881" t="s">
        <v>44</v>
      </c>
      <c r="L1881" t="s">
        <v>45</v>
      </c>
      <c r="M1881" t="s">
        <v>46</v>
      </c>
      <c r="N1881" s="7">
        <v>1</v>
      </c>
      <c r="O1881" s="8">
        <v>45655.612129629626</v>
      </c>
      <c r="P1881" s="9">
        <v>45657</v>
      </c>
      <c r="Q1881" t="s">
        <v>74</v>
      </c>
      <c r="R1881" t="s">
        <v>48</v>
      </c>
      <c r="S1881" t="s">
        <v>49</v>
      </c>
      <c r="T1881" t="s">
        <v>80</v>
      </c>
      <c r="U1881" t="s">
        <v>5508</v>
      </c>
      <c r="V1881">
        <v>6400</v>
      </c>
      <c r="W1881" t="s">
        <v>48</v>
      </c>
      <c r="X1881" t="s">
        <v>312</v>
      </c>
      <c r="Y1881" t="s">
        <v>54</v>
      </c>
      <c r="Z1881" s="12">
        <f>IF(N1881&lt;=1,9,9+0.8*ROUNDUP(N1881-1,0))</f>
        <v>9</v>
      </c>
      <c r="AA1881" s="11">
        <v>-2</v>
      </c>
      <c r="AB1881" s="11">
        <v>0</v>
      </c>
      <c r="AC1881" s="11">
        <v>0</v>
      </c>
      <c r="AD1881" s="11">
        <v>0</v>
      </c>
      <c r="AE1881" s="11">
        <v>0</v>
      </c>
      <c r="AF1881" s="11">
        <f t="shared" si="87"/>
        <v>0.42</v>
      </c>
      <c r="AG1881" s="11">
        <f t="shared" si="88"/>
        <v>7.42</v>
      </c>
      <c r="AH1881" s="11">
        <v>0</v>
      </c>
      <c r="AI1881" s="11">
        <f t="shared" si="89"/>
        <v>7.42</v>
      </c>
      <c r="AJ1881" t="s">
        <v>62</v>
      </c>
    </row>
    <row r="1882" spans="1:36" ht="15" customHeight="1" x14ac:dyDescent="0.35">
      <c r="A1882">
        <v>10428918</v>
      </c>
      <c r="B1882" t="s">
        <v>36</v>
      </c>
      <c r="C1882" t="s">
        <v>37</v>
      </c>
      <c r="D1882" s="6" t="s">
        <v>38</v>
      </c>
      <c r="E1882" t="s">
        <v>5509</v>
      </c>
      <c r="G1882" t="s">
        <v>41</v>
      </c>
      <c r="H1882" t="s">
        <v>5510</v>
      </c>
      <c r="I1882" t="s">
        <v>43</v>
      </c>
      <c r="J1882">
        <v>2</v>
      </c>
      <c r="K1882" t="s">
        <v>44</v>
      </c>
      <c r="L1882" t="s">
        <v>45</v>
      </c>
      <c r="M1882" t="s">
        <v>46</v>
      </c>
      <c r="N1882" s="7">
        <v>1</v>
      </c>
      <c r="O1882" s="8">
        <v>45656.52753472222</v>
      </c>
      <c r="P1882" s="9">
        <v>45657</v>
      </c>
      <c r="Q1882" t="s">
        <v>74</v>
      </c>
      <c r="R1882" t="s">
        <v>48</v>
      </c>
      <c r="S1882" t="s">
        <v>49</v>
      </c>
      <c r="T1882" t="s">
        <v>117</v>
      </c>
      <c r="U1882" t="s">
        <v>5511</v>
      </c>
      <c r="V1882">
        <v>48000</v>
      </c>
      <c r="W1882" t="s">
        <v>48</v>
      </c>
      <c r="X1882" t="s">
        <v>254</v>
      </c>
      <c r="Y1882" t="s">
        <v>54</v>
      </c>
      <c r="Z1882" s="12">
        <f>IF(N1882&lt;=1,9,9+0.8*ROUNDUP(N1882-1,0))</f>
        <v>9</v>
      </c>
      <c r="AA1882" s="11">
        <v>-2</v>
      </c>
      <c r="AB1882" s="11">
        <v>0</v>
      </c>
      <c r="AC1882" s="11">
        <v>0</v>
      </c>
      <c r="AD1882" s="11">
        <v>0</v>
      </c>
      <c r="AE1882" s="11">
        <v>0</v>
      </c>
      <c r="AF1882" s="11">
        <f t="shared" si="87"/>
        <v>0.42</v>
      </c>
      <c r="AG1882" s="11">
        <f t="shared" si="88"/>
        <v>7.42</v>
      </c>
      <c r="AH1882" s="11">
        <v>0</v>
      </c>
      <c r="AI1882" s="11">
        <f t="shared" si="89"/>
        <v>7.42</v>
      </c>
      <c r="AJ1882" t="s">
        <v>62</v>
      </c>
    </row>
    <row r="1883" spans="1:36" ht="15" customHeight="1" x14ac:dyDescent="0.35">
      <c r="A1883">
        <v>10428918</v>
      </c>
      <c r="B1883" t="s">
        <v>36</v>
      </c>
      <c r="C1883" t="s">
        <v>37</v>
      </c>
      <c r="D1883" s="6" t="s">
        <v>38</v>
      </c>
      <c r="E1883" t="s">
        <v>5512</v>
      </c>
      <c r="G1883" t="s">
        <v>41</v>
      </c>
      <c r="H1883" t="s">
        <v>5513</v>
      </c>
      <c r="I1883" t="s">
        <v>43</v>
      </c>
      <c r="J1883">
        <v>2</v>
      </c>
      <c r="K1883" t="s">
        <v>44</v>
      </c>
      <c r="L1883" t="s">
        <v>45</v>
      </c>
      <c r="M1883" t="s">
        <v>46</v>
      </c>
      <c r="N1883" s="7">
        <v>1</v>
      </c>
      <c r="O1883" s="8">
        <v>45655.532708333332</v>
      </c>
      <c r="P1883" s="9">
        <v>45657</v>
      </c>
      <c r="Q1883" t="s">
        <v>74</v>
      </c>
      <c r="R1883" t="s">
        <v>48</v>
      </c>
      <c r="S1883" t="s">
        <v>49</v>
      </c>
      <c r="T1883" t="s">
        <v>80</v>
      </c>
      <c r="U1883" t="s">
        <v>5514</v>
      </c>
      <c r="V1883">
        <v>9700</v>
      </c>
      <c r="W1883" t="s">
        <v>48</v>
      </c>
      <c r="X1883" t="s">
        <v>690</v>
      </c>
      <c r="Y1883" t="s">
        <v>54</v>
      </c>
      <c r="Z1883" s="12">
        <f>IF(N1883&lt;=1,9,9+0.8*ROUNDUP(N1883-1,0))</f>
        <v>9</v>
      </c>
      <c r="AA1883" s="11">
        <v>-2</v>
      </c>
      <c r="AB1883" s="11">
        <v>0</v>
      </c>
      <c r="AC1883" s="11">
        <v>0</v>
      </c>
      <c r="AD1883" s="11">
        <v>0</v>
      </c>
      <c r="AE1883" s="11">
        <v>0</v>
      </c>
      <c r="AF1883" s="11">
        <f t="shared" si="87"/>
        <v>0.42</v>
      </c>
      <c r="AG1883" s="11">
        <f t="shared" si="88"/>
        <v>7.42</v>
      </c>
      <c r="AH1883" s="11">
        <v>0</v>
      </c>
      <c r="AI1883" s="11">
        <f t="shared" si="89"/>
        <v>7.42</v>
      </c>
      <c r="AJ1883" t="s">
        <v>62</v>
      </c>
    </row>
    <row r="1884" spans="1:36" ht="15" customHeight="1" x14ac:dyDescent="0.35">
      <c r="A1884">
        <v>10428918</v>
      </c>
      <c r="B1884" t="s">
        <v>36</v>
      </c>
      <c r="C1884" t="s">
        <v>37</v>
      </c>
      <c r="D1884" s="6" t="s">
        <v>38</v>
      </c>
      <c r="E1884" t="s">
        <v>5515</v>
      </c>
      <c r="G1884" t="s">
        <v>41</v>
      </c>
      <c r="H1884" t="s">
        <v>5516</v>
      </c>
      <c r="I1884" t="s">
        <v>43</v>
      </c>
      <c r="J1884">
        <v>2</v>
      </c>
      <c r="K1884" t="s">
        <v>44</v>
      </c>
      <c r="L1884" t="s">
        <v>45</v>
      </c>
      <c r="M1884" t="s">
        <v>46</v>
      </c>
      <c r="N1884" s="7">
        <v>1</v>
      </c>
      <c r="O1884" s="8">
        <v>45656.436481481483</v>
      </c>
      <c r="P1884" s="9">
        <v>45657</v>
      </c>
      <c r="Q1884" t="s">
        <v>74</v>
      </c>
      <c r="R1884" t="s">
        <v>48</v>
      </c>
      <c r="S1884" t="s">
        <v>49</v>
      </c>
      <c r="T1884" t="s">
        <v>117</v>
      </c>
      <c r="U1884" t="s">
        <v>5517</v>
      </c>
      <c r="V1884">
        <v>42100</v>
      </c>
      <c r="W1884" t="s">
        <v>48</v>
      </c>
      <c r="X1884" t="s">
        <v>623</v>
      </c>
      <c r="Y1884" t="s">
        <v>54</v>
      </c>
      <c r="Z1884" s="12">
        <f>IF(N1884&lt;=1,9,9+0.8*ROUNDUP(N1884-1,0))</f>
        <v>9</v>
      </c>
      <c r="AA1884" s="11">
        <v>-2</v>
      </c>
      <c r="AB1884" s="11">
        <v>0</v>
      </c>
      <c r="AC1884" s="11">
        <v>0</v>
      </c>
      <c r="AD1884" s="11">
        <v>0</v>
      </c>
      <c r="AE1884" s="11">
        <v>0</v>
      </c>
      <c r="AF1884" s="11">
        <f t="shared" si="87"/>
        <v>0.42</v>
      </c>
      <c r="AG1884" s="11">
        <f t="shared" si="88"/>
        <v>7.42</v>
      </c>
      <c r="AH1884" s="11">
        <v>0</v>
      </c>
      <c r="AI1884" s="11">
        <f t="shared" si="89"/>
        <v>7.42</v>
      </c>
      <c r="AJ1884" t="s">
        <v>62</v>
      </c>
    </row>
    <row r="1885" spans="1:36" ht="15" customHeight="1" x14ac:dyDescent="0.35">
      <c r="A1885">
        <v>10428918</v>
      </c>
      <c r="B1885" t="s">
        <v>36</v>
      </c>
      <c r="C1885" t="s">
        <v>37</v>
      </c>
      <c r="D1885" s="6" t="s">
        <v>38</v>
      </c>
      <c r="E1885" t="s">
        <v>5518</v>
      </c>
      <c r="G1885" t="s">
        <v>41</v>
      </c>
      <c r="H1885" t="s">
        <v>5519</v>
      </c>
      <c r="I1885" t="s">
        <v>43</v>
      </c>
      <c r="J1885">
        <v>2</v>
      </c>
      <c r="K1885" t="s">
        <v>44</v>
      </c>
      <c r="L1885" t="s">
        <v>45</v>
      </c>
      <c r="M1885" t="s">
        <v>46</v>
      </c>
      <c r="N1885" s="7">
        <v>21</v>
      </c>
      <c r="O1885" s="8">
        <v>45654.65966435185</v>
      </c>
      <c r="P1885" s="9">
        <v>45657</v>
      </c>
      <c r="Q1885" t="s">
        <v>74</v>
      </c>
      <c r="R1885" t="s">
        <v>48</v>
      </c>
      <c r="S1885" t="s">
        <v>49</v>
      </c>
      <c r="T1885" t="s">
        <v>69</v>
      </c>
      <c r="U1885" t="s">
        <v>5520</v>
      </c>
      <c r="V1885">
        <v>80100</v>
      </c>
      <c r="W1885" t="s">
        <v>48</v>
      </c>
      <c r="X1885" t="s">
        <v>211</v>
      </c>
      <c r="Y1885" t="s">
        <v>54</v>
      </c>
      <c r="Z1885" s="12">
        <f>IF(N1885&lt;=1,9,9+0.8*ROUNDUP(N1885-1,0))</f>
        <v>25</v>
      </c>
      <c r="AA1885" s="11">
        <v>-2</v>
      </c>
      <c r="AB1885" s="11">
        <v>0</v>
      </c>
      <c r="AC1885" s="11">
        <v>0</v>
      </c>
      <c r="AD1885" s="11">
        <v>0</v>
      </c>
      <c r="AE1885" s="11">
        <v>0</v>
      </c>
      <c r="AF1885" s="11">
        <f t="shared" si="87"/>
        <v>1.38</v>
      </c>
      <c r="AG1885" s="11">
        <f t="shared" si="88"/>
        <v>24.38</v>
      </c>
      <c r="AH1885" s="11">
        <v>0</v>
      </c>
      <c r="AI1885" s="11">
        <f t="shared" si="89"/>
        <v>24.38</v>
      </c>
      <c r="AJ1885" t="s">
        <v>62</v>
      </c>
    </row>
    <row r="1886" spans="1:36" ht="15" customHeight="1" x14ac:dyDescent="0.35">
      <c r="A1886">
        <v>10428918</v>
      </c>
      <c r="B1886" t="s">
        <v>36</v>
      </c>
      <c r="C1886" t="s">
        <v>37</v>
      </c>
      <c r="D1886" s="6" t="s">
        <v>38</v>
      </c>
      <c r="E1886" t="s">
        <v>5521</v>
      </c>
      <c r="G1886" t="s">
        <v>41</v>
      </c>
      <c r="H1886" t="s">
        <v>5522</v>
      </c>
      <c r="I1886" t="s">
        <v>43</v>
      </c>
      <c r="J1886">
        <v>2</v>
      </c>
      <c r="K1886" t="s">
        <v>44</v>
      </c>
      <c r="L1886" t="s">
        <v>45</v>
      </c>
      <c r="M1886" t="s">
        <v>46</v>
      </c>
      <c r="N1886" s="7">
        <v>2</v>
      </c>
      <c r="O1886" s="8">
        <v>45655.600856481484</v>
      </c>
      <c r="P1886" s="9">
        <v>45657</v>
      </c>
      <c r="Q1886" t="s">
        <v>74</v>
      </c>
      <c r="R1886" t="s">
        <v>48</v>
      </c>
      <c r="S1886" t="s">
        <v>49</v>
      </c>
      <c r="T1886" t="s">
        <v>65</v>
      </c>
      <c r="U1886" t="s">
        <v>5523</v>
      </c>
      <c r="V1886">
        <v>75050</v>
      </c>
      <c r="W1886" t="s">
        <v>48</v>
      </c>
      <c r="X1886" t="s">
        <v>167</v>
      </c>
      <c r="Y1886" t="s">
        <v>54</v>
      </c>
      <c r="Z1886" s="12">
        <f>IF(N1886&lt;=1,9,9+0.8*ROUNDUP(N1886-1,0))</f>
        <v>9.8000000000000007</v>
      </c>
      <c r="AA1886" s="11">
        <v>-2</v>
      </c>
      <c r="AB1886" s="11">
        <v>0</v>
      </c>
      <c r="AC1886" s="11">
        <v>0</v>
      </c>
      <c r="AD1886" s="11">
        <v>0</v>
      </c>
      <c r="AE1886" s="11">
        <v>0</v>
      </c>
      <c r="AF1886" s="11">
        <f t="shared" si="87"/>
        <v>0.46800000000000003</v>
      </c>
      <c r="AG1886" s="11">
        <f t="shared" si="88"/>
        <v>8.2680000000000007</v>
      </c>
      <c r="AH1886" s="11">
        <v>0</v>
      </c>
      <c r="AI1886" s="11">
        <f t="shared" si="89"/>
        <v>8.2680000000000007</v>
      </c>
      <c r="AJ1886" t="s">
        <v>62</v>
      </c>
    </row>
    <row r="1887" spans="1:36" ht="15" customHeight="1" x14ac:dyDescent="0.35">
      <c r="A1887">
        <v>10428918</v>
      </c>
      <c r="B1887" t="s">
        <v>36</v>
      </c>
      <c r="C1887" t="s">
        <v>37</v>
      </c>
      <c r="D1887" s="6" t="s">
        <v>38</v>
      </c>
      <c r="E1887" t="s">
        <v>5524</v>
      </c>
      <c r="G1887" t="s">
        <v>41</v>
      </c>
      <c r="H1887" t="s">
        <v>5525</v>
      </c>
      <c r="I1887" t="s">
        <v>43</v>
      </c>
      <c r="J1887">
        <v>2</v>
      </c>
      <c r="K1887" t="s">
        <v>44</v>
      </c>
      <c r="L1887" t="s">
        <v>45</v>
      </c>
      <c r="M1887" t="s">
        <v>46</v>
      </c>
      <c r="N1887" s="7">
        <v>2</v>
      </c>
      <c r="O1887" s="8">
        <v>45654.65965277778</v>
      </c>
      <c r="P1887" s="9">
        <v>45657</v>
      </c>
      <c r="Q1887" t="s">
        <v>74</v>
      </c>
      <c r="R1887" t="s">
        <v>48</v>
      </c>
      <c r="S1887" t="s">
        <v>49</v>
      </c>
      <c r="T1887" t="s">
        <v>101</v>
      </c>
      <c r="U1887" t="s">
        <v>5526</v>
      </c>
      <c r="V1887">
        <v>36000</v>
      </c>
      <c r="W1887" t="s">
        <v>48</v>
      </c>
      <c r="X1887" t="s">
        <v>674</v>
      </c>
      <c r="Y1887" t="s">
        <v>54</v>
      </c>
      <c r="Z1887" s="12">
        <f>IF(N1887&lt;=1,9,9+0.8*ROUNDUP(N1887-1,0))</f>
        <v>9.8000000000000007</v>
      </c>
      <c r="AA1887" s="11">
        <v>-2</v>
      </c>
      <c r="AB1887" s="11">
        <v>0</v>
      </c>
      <c r="AC1887" s="11">
        <v>0</v>
      </c>
      <c r="AD1887" s="11">
        <v>0</v>
      </c>
      <c r="AE1887" s="11">
        <v>0</v>
      </c>
      <c r="AF1887" s="11">
        <f t="shared" si="87"/>
        <v>0.46800000000000003</v>
      </c>
      <c r="AG1887" s="11">
        <f t="shared" si="88"/>
        <v>8.2680000000000007</v>
      </c>
      <c r="AH1887" s="11">
        <v>0</v>
      </c>
      <c r="AI1887" s="11">
        <f t="shared" si="89"/>
        <v>8.2680000000000007</v>
      </c>
      <c r="AJ1887" t="s">
        <v>62</v>
      </c>
    </row>
    <row r="1888" spans="1:36" ht="15" customHeight="1" x14ac:dyDescent="0.35">
      <c r="A1888">
        <v>10428918</v>
      </c>
      <c r="B1888" t="s">
        <v>36</v>
      </c>
      <c r="C1888" t="s">
        <v>37</v>
      </c>
      <c r="D1888" s="6" t="s">
        <v>38</v>
      </c>
      <c r="E1888" t="s">
        <v>5527</v>
      </c>
      <c r="G1888" t="s">
        <v>41</v>
      </c>
      <c r="H1888" t="s">
        <v>5528</v>
      </c>
      <c r="I1888" t="s">
        <v>43</v>
      </c>
      <c r="J1888">
        <v>2</v>
      </c>
      <c r="K1888" t="s">
        <v>44</v>
      </c>
      <c r="L1888" t="s">
        <v>45</v>
      </c>
      <c r="M1888" t="s">
        <v>46</v>
      </c>
      <c r="N1888" s="7">
        <v>1</v>
      </c>
      <c r="O1888" s="8">
        <v>45655.849386574075</v>
      </c>
      <c r="P1888" s="9">
        <v>45657</v>
      </c>
      <c r="Q1888" t="s">
        <v>74</v>
      </c>
      <c r="R1888" t="s">
        <v>48</v>
      </c>
      <c r="S1888" t="s">
        <v>49</v>
      </c>
      <c r="T1888" t="s">
        <v>117</v>
      </c>
      <c r="U1888" t="s">
        <v>5529</v>
      </c>
      <c r="V1888">
        <v>56100</v>
      </c>
      <c r="W1888" t="s">
        <v>48</v>
      </c>
      <c r="X1888" t="s">
        <v>556</v>
      </c>
      <c r="Y1888" t="s">
        <v>54</v>
      </c>
      <c r="Z1888" s="12">
        <f>IF(N1888&lt;=1,9,9+0.8*ROUNDUP(N1888-1,0))</f>
        <v>9</v>
      </c>
      <c r="AA1888" s="11">
        <v>-2</v>
      </c>
      <c r="AB1888" s="11">
        <v>0</v>
      </c>
      <c r="AC1888" s="11">
        <v>0</v>
      </c>
      <c r="AD1888" s="11">
        <v>0</v>
      </c>
      <c r="AE1888" s="11">
        <v>0</v>
      </c>
      <c r="AF1888" s="11">
        <f t="shared" si="87"/>
        <v>0.42</v>
      </c>
      <c r="AG1888" s="11">
        <f t="shared" si="88"/>
        <v>7.42</v>
      </c>
      <c r="AH1888" s="11">
        <v>0</v>
      </c>
      <c r="AI1888" s="11">
        <f t="shared" si="89"/>
        <v>7.42</v>
      </c>
      <c r="AJ1888" t="s">
        <v>62</v>
      </c>
    </row>
    <row r="1889" spans="1:36" ht="15" customHeight="1" x14ac:dyDescent="0.35">
      <c r="A1889">
        <v>10428918</v>
      </c>
      <c r="B1889" t="s">
        <v>36</v>
      </c>
      <c r="C1889" t="s">
        <v>37</v>
      </c>
      <c r="D1889" s="6" t="s">
        <v>38</v>
      </c>
      <c r="E1889" t="s">
        <v>5530</v>
      </c>
      <c r="G1889" t="s">
        <v>41</v>
      </c>
      <c r="H1889" t="s">
        <v>5531</v>
      </c>
      <c r="I1889" t="s">
        <v>43</v>
      </c>
      <c r="J1889">
        <v>2</v>
      </c>
      <c r="K1889" t="s">
        <v>44</v>
      </c>
      <c r="L1889" t="s">
        <v>45</v>
      </c>
      <c r="M1889" t="s">
        <v>46</v>
      </c>
      <c r="N1889" s="7">
        <v>1</v>
      </c>
      <c r="O1889" s="8">
        <v>45655.763043981482</v>
      </c>
      <c r="P1889" s="9">
        <v>45657</v>
      </c>
      <c r="Q1889" t="s">
        <v>74</v>
      </c>
      <c r="R1889" t="s">
        <v>48</v>
      </c>
      <c r="S1889" t="s">
        <v>49</v>
      </c>
      <c r="T1889" t="s">
        <v>117</v>
      </c>
      <c r="U1889" t="s">
        <v>5532</v>
      </c>
      <c r="V1889">
        <v>43800</v>
      </c>
      <c r="W1889" t="s">
        <v>48</v>
      </c>
      <c r="X1889" t="s">
        <v>228</v>
      </c>
      <c r="Y1889" t="s">
        <v>54</v>
      </c>
      <c r="Z1889" s="12">
        <f>IF(N1889&lt;=1,9,9+0.8*ROUNDUP(N1889-1,0))</f>
        <v>9</v>
      </c>
      <c r="AA1889" s="11">
        <v>-2</v>
      </c>
      <c r="AB1889" s="11">
        <v>0</v>
      </c>
      <c r="AC1889" s="11">
        <v>0</v>
      </c>
      <c r="AD1889" s="11">
        <v>0</v>
      </c>
      <c r="AE1889" s="11">
        <v>0</v>
      </c>
      <c r="AF1889" s="11">
        <f t="shared" si="87"/>
        <v>0.42</v>
      </c>
      <c r="AG1889" s="11">
        <f t="shared" si="88"/>
        <v>7.42</v>
      </c>
      <c r="AH1889" s="11">
        <v>0</v>
      </c>
      <c r="AI1889" s="11">
        <f t="shared" si="89"/>
        <v>7.42</v>
      </c>
      <c r="AJ1889" t="s">
        <v>62</v>
      </c>
    </row>
    <row r="1890" spans="1:36" ht="15" customHeight="1" x14ac:dyDescent="0.35">
      <c r="A1890">
        <v>10428918</v>
      </c>
      <c r="B1890" t="s">
        <v>36</v>
      </c>
      <c r="C1890" t="s">
        <v>37</v>
      </c>
      <c r="D1890" s="6" t="s">
        <v>38</v>
      </c>
      <c r="E1890" t="s">
        <v>5533</v>
      </c>
      <c r="G1890" t="s">
        <v>41</v>
      </c>
      <c r="H1890" t="s">
        <v>5534</v>
      </c>
      <c r="I1890" t="s">
        <v>43</v>
      </c>
      <c r="J1890">
        <v>2</v>
      </c>
      <c r="K1890" t="s">
        <v>44</v>
      </c>
      <c r="L1890" t="s">
        <v>45</v>
      </c>
      <c r="M1890" t="s">
        <v>46</v>
      </c>
      <c r="N1890" s="7">
        <v>1</v>
      </c>
      <c r="O1890" s="8">
        <v>45655.664548611108</v>
      </c>
      <c r="P1890" s="9">
        <v>45657</v>
      </c>
      <c r="Q1890" t="s">
        <v>74</v>
      </c>
      <c r="R1890" t="s">
        <v>48</v>
      </c>
      <c r="S1890" t="s">
        <v>49</v>
      </c>
      <c r="T1890" t="s">
        <v>69</v>
      </c>
      <c r="U1890" t="s">
        <v>5535</v>
      </c>
      <c r="V1890">
        <v>81800</v>
      </c>
      <c r="W1890" t="s">
        <v>48</v>
      </c>
      <c r="X1890" t="s">
        <v>183</v>
      </c>
      <c r="Y1890" t="s">
        <v>54</v>
      </c>
      <c r="Z1890" s="12">
        <f>IF(N1890&lt;=1,9,9+0.8*ROUNDUP(N1890-1,0))</f>
        <v>9</v>
      </c>
      <c r="AA1890" s="11">
        <v>-2</v>
      </c>
      <c r="AB1890" s="11">
        <v>0</v>
      </c>
      <c r="AC1890" s="11">
        <v>0</v>
      </c>
      <c r="AD1890" s="11">
        <v>0</v>
      </c>
      <c r="AE1890" s="11">
        <v>0</v>
      </c>
      <c r="AF1890" s="11">
        <f t="shared" si="87"/>
        <v>0.42</v>
      </c>
      <c r="AG1890" s="11">
        <f t="shared" si="88"/>
        <v>7.42</v>
      </c>
      <c r="AH1890" s="11">
        <v>0</v>
      </c>
      <c r="AI1890" s="11">
        <f t="shared" si="89"/>
        <v>7.42</v>
      </c>
      <c r="AJ1890" t="s">
        <v>62</v>
      </c>
    </row>
    <row r="1891" spans="1:36" ht="15" customHeight="1" x14ac:dyDescent="0.35">
      <c r="A1891">
        <v>10428918</v>
      </c>
      <c r="B1891" t="s">
        <v>36</v>
      </c>
      <c r="C1891" t="s">
        <v>37</v>
      </c>
      <c r="D1891" s="6" t="s">
        <v>38</v>
      </c>
      <c r="E1891" t="s">
        <v>5536</v>
      </c>
      <c r="G1891" t="s">
        <v>41</v>
      </c>
      <c r="H1891" t="s">
        <v>2354</v>
      </c>
      <c r="I1891" t="s">
        <v>43</v>
      </c>
      <c r="J1891">
        <v>2</v>
      </c>
      <c r="K1891" t="s">
        <v>44</v>
      </c>
      <c r="L1891" t="s">
        <v>45</v>
      </c>
      <c r="M1891" t="s">
        <v>46</v>
      </c>
      <c r="N1891" s="7">
        <v>1</v>
      </c>
      <c r="O1891" s="8">
        <v>45655.539687500001</v>
      </c>
      <c r="P1891" s="9">
        <v>45657</v>
      </c>
      <c r="Q1891" t="s">
        <v>74</v>
      </c>
      <c r="R1891" t="s">
        <v>48</v>
      </c>
      <c r="S1891" t="s">
        <v>49</v>
      </c>
      <c r="T1891" t="s">
        <v>69</v>
      </c>
      <c r="U1891" t="s">
        <v>5537</v>
      </c>
      <c r="V1891">
        <v>81000</v>
      </c>
      <c r="W1891" t="s">
        <v>48</v>
      </c>
      <c r="X1891" t="s">
        <v>861</v>
      </c>
      <c r="Y1891" t="s">
        <v>54</v>
      </c>
      <c r="Z1891" s="12">
        <f>IF(N1891&lt;=1,9,9+0.8*ROUNDUP(N1891-1,0))</f>
        <v>9</v>
      </c>
      <c r="AA1891" s="11">
        <v>-2</v>
      </c>
      <c r="AB1891" s="11">
        <v>0</v>
      </c>
      <c r="AC1891" s="11">
        <v>0</v>
      </c>
      <c r="AD1891" s="11">
        <v>0</v>
      </c>
      <c r="AE1891" s="11">
        <v>0</v>
      </c>
      <c r="AF1891" s="11">
        <f t="shared" si="87"/>
        <v>0.42</v>
      </c>
      <c r="AG1891" s="11">
        <f t="shared" si="88"/>
        <v>7.42</v>
      </c>
      <c r="AH1891" s="11">
        <v>0</v>
      </c>
      <c r="AI1891" s="11">
        <f t="shared" si="89"/>
        <v>7.42</v>
      </c>
      <c r="AJ1891" t="s">
        <v>62</v>
      </c>
    </row>
    <row r="1892" spans="1:36" ht="15" customHeight="1" x14ac:dyDescent="0.35">
      <c r="A1892">
        <v>10428918</v>
      </c>
      <c r="B1892" t="s">
        <v>36</v>
      </c>
      <c r="C1892" t="s">
        <v>37</v>
      </c>
      <c r="D1892" s="6" t="s">
        <v>38</v>
      </c>
      <c r="E1892" t="s">
        <v>5538</v>
      </c>
      <c r="G1892" t="s">
        <v>41</v>
      </c>
      <c r="H1892" t="s">
        <v>5539</v>
      </c>
      <c r="I1892" t="s">
        <v>43</v>
      </c>
      <c r="J1892">
        <v>2</v>
      </c>
      <c r="K1892" t="s">
        <v>44</v>
      </c>
      <c r="L1892" t="s">
        <v>45</v>
      </c>
      <c r="M1892" t="s">
        <v>46</v>
      </c>
      <c r="N1892" s="7">
        <v>1</v>
      </c>
      <c r="O1892" s="8">
        <v>45654.441666666666</v>
      </c>
      <c r="P1892" s="9">
        <v>45657</v>
      </c>
      <c r="Q1892" t="s">
        <v>74</v>
      </c>
      <c r="R1892" t="s">
        <v>48</v>
      </c>
      <c r="S1892" t="s">
        <v>49</v>
      </c>
      <c r="T1892" t="s">
        <v>69</v>
      </c>
      <c r="U1892" t="s">
        <v>5540</v>
      </c>
      <c r="V1892">
        <v>79100</v>
      </c>
      <c r="W1892" t="s">
        <v>48</v>
      </c>
      <c r="X1892" t="s">
        <v>4527</v>
      </c>
      <c r="Y1892" t="s">
        <v>54</v>
      </c>
      <c r="Z1892" s="12">
        <f>IF(N1892&lt;=1,9,9+0.8*ROUNDUP(N1892-1,0))</f>
        <v>9</v>
      </c>
      <c r="AA1892" s="11">
        <v>-2</v>
      </c>
      <c r="AB1892" s="11">
        <v>0</v>
      </c>
      <c r="AC1892" s="11">
        <v>0</v>
      </c>
      <c r="AD1892" s="11">
        <v>0</v>
      </c>
      <c r="AE1892" s="11">
        <v>0</v>
      </c>
      <c r="AF1892" s="11">
        <f t="shared" si="87"/>
        <v>0.42</v>
      </c>
      <c r="AG1892" s="11">
        <f t="shared" si="88"/>
        <v>7.42</v>
      </c>
      <c r="AH1892" s="11">
        <v>0</v>
      </c>
      <c r="AI1892" s="11">
        <f t="shared" si="89"/>
        <v>7.42</v>
      </c>
      <c r="AJ1892" t="s">
        <v>62</v>
      </c>
    </row>
    <row r="1893" spans="1:36" ht="15" customHeight="1" x14ac:dyDescent="0.35">
      <c r="A1893">
        <v>10428918</v>
      </c>
      <c r="B1893" t="s">
        <v>36</v>
      </c>
      <c r="C1893" t="s">
        <v>37</v>
      </c>
      <c r="D1893" s="6" t="s">
        <v>38</v>
      </c>
      <c r="E1893" t="s">
        <v>5541</v>
      </c>
      <c r="G1893" t="s">
        <v>41</v>
      </c>
      <c r="H1893" t="s">
        <v>5542</v>
      </c>
      <c r="I1893" t="s">
        <v>43</v>
      </c>
      <c r="J1893">
        <v>2</v>
      </c>
      <c r="K1893" t="s">
        <v>44</v>
      </c>
      <c r="L1893" t="s">
        <v>45</v>
      </c>
      <c r="M1893" t="s">
        <v>46</v>
      </c>
      <c r="N1893" s="7">
        <v>1</v>
      </c>
      <c r="O1893" s="8">
        <v>45654.441678240742</v>
      </c>
      <c r="P1893" s="9">
        <v>45657</v>
      </c>
      <c r="Q1893" t="s">
        <v>74</v>
      </c>
      <c r="R1893" t="s">
        <v>48</v>
      </c>
      <c r="S1893" t="s">
        <v>49</v>
      </c>
      <c r="T1893" t="s">
        <v>69</v>
      </c>
      <c r="U1893" t="s">
        <v>5543</v>
      </c>
      <c r="V1893">
        <v>81400</v>
      </c>
      <c r="W1893" t="s">
        <v>48</v>
      </c>
      <c r="X1893" t="s">
        <v>1040</v>
      </c>
      <c r="Y1893" t="s">
        <v>54</v>
      </c>
      <c r="Z1893" s="12">
        <f>IF(N1893&lt;=1,9,9+0.8*ROUNDUP(N1893-1,0))</f>
        <v>9</v>
      </c>
      <c r="AA1893" s="11">
        <v>-2</v>
      </c>
      <c r="AB1893" s="11">
        <v>0</v>
      </c>
      <c r="AC1893" s="11">
        <v>0</v>
      </c>
      <c r="AD1893" s="11">
        <v>0</v>
      </c>
      <c r="AE1893" s="11">
        <v>0</v>
      </c>
      <c r="AF1893" s="11">
        <f t="shared" si="87"/>
        <v>0.42</v>
      </c>
      <c r="AG1893" s="11">
        <f t="shared" si="88"/>
        <v>7.42</v>
      </c>
      <c r="AH1893" s="11">
        <v>0</v>
      </c>
      <c r="AI1893" s="11">
        <f t="shared" si="89"/>
        <v>7.42</v>
      </c>
      <c r="AJ1893" t="s">
        <v>62</v>
      </c>
    </row>
    <row r="1895" spans="1:36" x14ac:dyDescent="0.35">
      <c r="Z1895" s="13">
        <f>SUM(Z2:Z1893)</f>
        <v>19136.399999999896</v>
      </c>
      <c r="AA1895" s="13">
        <f>SUM(AA2:AA1893)</f>
        <v>-3660</v>
      </c>
      <c r="AB1895" s="13">
        <f>SUM(AB2:AB1893)</f>
        <v>0</v>
      </c>
      <c r="AC1895" s="13">
        <f>SUM(AC2:AC1893)</f>
        <v>0</v>
      </c>
      <c r="AD1895" s="13">
        <f>SUM(AD2:AD1893)</f>
        <v>2200</v>
      </c>
      <c r="AE1895" s="13">
        <f>SUM(AE2:AE1893)</f>
        <v>33</v>
      </c>
      <c r="AF1895" s="13">
        <f>SUM(AF2:AF1893)</f>
        <v>930.56399999997109</v>
      </c>
      <c r="AG1895" s="13">
        <f>SUM(AG2:AG1893)</f>
        <v>16439.964000000065</v>
      </c>
      <c r="AH1895" s="13">
        <f>SUM(AH2:HG1893)</f>
        <v>16439.964000000065</v>
      </c>
      <c r="AI1895" s="13">
        <f>SUM(AI2:AI1893)</f>
        <v>16439.964000000065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Kai Jun</dc:creator>
  <cp:lastModifiedBy>Cheng Kai Jun</cp:lastModifiedBy>
  <dcterms:created xsi:type="dcterms:W3CDTF">2025-01-03T12:01:21Z</dcterms:created>
  <dcterms:modified xsi:type="dcterms:W3CDTF">2025-01-03T12:01:22Z</dcterms:modified>
</cp:coreProperties>
</file>